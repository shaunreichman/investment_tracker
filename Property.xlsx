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haunreichman/Documents/laptop backup/Work/Money/Property/"/>
    </mc:Choice>
  </mc:AlternateContent>
  <xr:revisionPtr revIDLastSave="0" documentId="13_ncr:1_{4473BBB7-D626-8B48-B143-A0E55292E1F3}" xr6:coauthVersionLast="47" xr6:coauthVersionMax="47" xr10:uidLastSave="{00000000-0000-0000-0000-000000000000}"/>
  <bookViews>
    <workbookView xWindow="1780" yWindow="500" windowWidth="32700" windowHeight="20340" activeTab="1" xr2:uid="{4A50AA68-8618-A648-8B34-91206A82AB91}"/>
  </bookViews>
  <sheets>
    <sheet name="Summary" sheetId="1" r:id="rId1"/>
    <sheet name="17|34 Hamilton St" sheetId="2" r:id="rId2"/>
    <sheet name="Inputs" sheetId="3" r:id="rId3"/>
    <sheet name="Monthly" sheetId="4" r:id="rId4"/>
    <sheet name="Yearly Balances" sheetId="5" r:id="rId5"/>
  </sheets>
  <externalReferences>
    <externalReference r:id="rId6"/>
  </externalReferences>
  <definedNames>
    <definedName name="_xlnm._FilterDatabase" localSheetId="1" hidden="1">'17|34 Hamilton St'!$A$2:$N$583</definedName>
    <definedName name="CompoundingRate">Inputs!$D$2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7" i="2" l="1"/>
  <c r="E344" i="2"/>
  <c r="E34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L371" i="2" s="1"/>
  <c r="AG372" i="2"/>
  <c r="AG373" i="2"/>
  <c r="AL373" i="2" s="1"/>
  <c r="AG374" i="2"/>
  <c r="AG375" i="2"/>
  <c r="AG376" i="2"/>
  <c r="AG377" i="2"/>
  <c r="AG378" i="2"/>
  <c r="AG379" i="2"/>
  <c r="AG380" i="2"/>
  <c r="AG381" i="2"/>
  <c r="AI381" i="2" s="1"/>
  <c r="AG382" i="2"/>
  <c r="AL382" i="2" s="1"/>
  <c r="AG383" i="2"/>
  <c r="AL383" i="2" s="1"/>
  <c r="AG384" i="2"/>
  <c r="AI384" i="2" s="1"/>
  <c r="AG385" i="2"/>
  <c r="AL385" i="2" s="1"/>
  <c r="AG386" i="2"/>
  <c r="AI386" i="2" s="1"/>
  <c r="AG387" i="2"/>
  <c r="AI387" i="2" s="1"/>
  <c r="AG388" i="2"/>
  <c r="AG389" i="2"/>
  <c r="AG390" i="2"/>
  <c r="AG391" i="2"/>
  <c r="AG392" i="2"/>
  <c r="AG393" i="2"/>
  <c r="AG394" i="2"/>
  <c r="AL394" i="2" s="1"/>
  <c r="AG395" i="2"/>
  <c r="AG396" i="2"/>
  <c r="AL396" i="2" s="1"/>
  <c r="AG397" i="2"/>
  <c r="AL397" i="2" s="1"/>
  <c r="AG398" i="2"/>
  <c r="AI398" i="2" s="1"/>
  <c r="AG399" i="2"/>
  <c r="AG400" i="2"/>
  <c r="AG401" i="2"/>
  <c r="AG402" i="2"/>
  <c r="AG403" i="2"/>
  <c r="AI403" i="2" s="1"/>
  <c r="AG404" i="2"/>
  <c r="AG405" i="2"/>
  <c r="AG406" i="2"/>
  <c r="AG407" i="2"/>
  <c r="AL407" i="2" s="1"/>
  <c r="AG408" i="2"/>
  <c r="AL408" i="2" s="1"/>
  <c r="AG409" i="2"/>
  <c r="AI409" i="2" s="1"/>
  <c r="AG410" i="2"/>
  <c r="AI410" i="2" s="1"/>
  <c r="AG411" i="2"/>
  <c r="AI411" i="2" s="1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3" i="2"/>
  <c r="AH410" i="2"/>
  <c r="AC411" i="2"/>
  <c r="AE411" i="2" s="1"/>
  <c r="AD411" i="2"/>
  <c r="AH411" i="2"/>
  <c r="AA412" i="2"/>
  <c r="AB412" i="2"/>
  <c r="AC412" i="2"/>
  <c r="AD412" i="2"/>
  <c r="AE412" i="2"/>
  <c r="AH412" i="2"/>
  <c r="AI412" i="2"/>
  <c r="AL412" i="2"/>
  <c r="AM412" i="2"/>
  <c r="AA413" i="2"/>
  <c r="AB413" i="2"/>
  <c r="AC413" i="2"/>
  <c r="AD413" i="2"/>
  <c r="AE413" i="2"/>
  <c r="AH413" i="2"/>
  <c r="AI413" i="2"/>
  <c r="AL413" i="2"/>
  <c r="AM413" i="2"/>
  <c r="AA414" i="2"/>
  <c r="AB414" i="2"/>
  <c r="AC414" i="2"/>
  <c r="AD414" i="2"/>
  <c r="AE414" i="2"/>
  <c r="AH414" i="2"/>
  <c r="AI414" i="2"/>
  <c r="AL414" i="2"/>
  <c r="AM414" i="2"/>
  <c r="AA415" i="2"/>
  <c r="AB415" i="2"/>
  <c r="AC415" i="2"/>
  <c r="AD415" i="2"/>
  <c r="AE415" i="2"/>
  <c r="AH415" i="2"/>
  <c r="AI415" i="2"/>
  <c r="AL415" i="2"/>
  <c r="AM415" i="2"/>
  <c r="AA416" i="2"/>
  <c r="AB416" i="2"/>
  <c r="AC416" i="2"/>
  <c r="AD416" i="2"/>
  <c r="AE416" i="2"/>
  <c r="AH416" i="2"/>
  <c r="AI416" i="2"/>
  <c r="AL416" i="2"/>
  <c r="AM416" i="2"/>
  <c r="AA417" i="2"/>
  <c r="AB417" i="2"/>
  <c r="AC417" i="2"/>
  <c r="AD417" i="2"/>
  <c r="AE417" i="2"/>
  <c r="AH417" i="2"/>
  <c r="AI417" i="2"/>
  <c r="AL417" i="2"/>
  <c r="AM417" i="2"/>
  <c r="AA418" i="2"/>
  <c r="AB418" i="2"/>
  <c r="AC418" i="2"/>
  <c r="AD418" i="2"/>
  <c r="AE418" i="2"/>
  <c r="AH418" i="2"/>
  <c r="AI418" i="2"/>
  <c r="AL418" i="2"/>
  <c r="AM418" i="2"/>
  <c r="AA419" i="2"/>
  <c r="AB419" i="2"/>
  <c r="AC419" i="2"/>
  <c r="AD419" i="2"/>
  <c r="AE419" i="2"/>
  <c r="AH419" i="2"/>
  <c r="AI419" i="2"/>
  <c r="AL419" i="2"/>
  <c r="AM419" i="2"/>
  <c r="AA420" i="2"/>
  <c r="AB420" i="2"/>
  <c r="AC420" i="2"/>
  <c r="AD420" i="2"/>
  <c r="AE420" i="2"/>
  <c r="AH420" i="2"/>
  <c r="AI420" i="2"/>
  <c r="AL420" i="2"/>
  <c r="AM420" i="2"/>
  <c r="AA421" i="2"/>
  <c r="AB421" i="2"/>
  <c r="AC421" i="2"/>
  <c r="AD421" i="2"/>
  <c r="AE421" i="2"/>
  <c r="AH421" i="2"/>
  <c r="AI421" i="2"/>
  <c r="AL421" i="2"/>
  <c r="AM421" i="2"/>
  <c r="AA422" i="2"/>
  <c r="AB422" i="2"/>
  <c r="AC422" i="2"/>
  <c r="AD422" i="2"/>
  <c r="AE422" i="2"/>
  <c r="AH422" i="2"/>
  <c r="AI422" i="2"/>
  <c r="AL422" i="2"/>
  <c r="AM422" i="2"/>
  <c r="AA423" i="2"/>
  <c r="AB423" i="2"/>
  <c r="AC423" i="2"/>
  <c r="AD423" i="2"/>
  <c r="AE423" i="2"/>
  <c r="AH423" i="2"/>
  <c r="AI423" i="2"/>
  <c r="AL423" i="2"/>
  <c r="AM423" i="2"/>
  <c r="AA424" i="2"/>
  <c r="AB424" i="2"/>
  <c r="AC424" i="2"/>
  <c r="AD424" i="2"/>
  <c r="AE424" i="2"/>
  <c r="AH424" i="2"/>
  <c r="AI424" i="2"/>
  <c r="AL424" i="2"/>
  <c r="AM424" i="2"/>
  <c r="AA425" i="2"/>
  <c r="AB425" i="2"/>
  <c r="AC425" i="2"/>
  <c r="AD425" i="2"/>
  <c r="AE425" i="2"/>
  <c r="AH425" i="2"/>
  <c r="AI425" i="2"/>
  <c r="AL425" i="2"/>
  <c r="AM425" i="2"/>
  <c r="AA426" i="2"/>
  <c r="AB426" i="2"/>
  <c r="AC426" i="2"/>
  <c r="AD426" i="2"/>
  <c r="AE426" i="2"/>
  <c r="AH426" i="2"/>
  <c r="AI426" i="2"/>
  <c r="AL426" i="2"/>
  <c r="AM426" i="2"/>
  <c r="AA427" i="2"/>
  <c r="AB427" i="2"/>
  <c r="AC427" i="2"/>
  <c r="AD427" i="2"/>
  <c r="AE427" i="2"/>
  <c r="AH427" i="2"/>
  <c r="AI427" i="2"/>
  <c r="AL427" i="2"/>
  <c r="AM427" i="2"/>
  <c r="AA428" i="2"/>
  <c r="AB428" i="2"/>
  <c r="AC428" i="2"/>
  <c r="AD428" i="2"/>
  <c r="AE428" i="2"/>
  <c r="AH428" i="2"/>
  <c r="AI428" i="2"/>
  <c r="AL428" i="2"/>
  <c r="AM428" i="2"/>
  <c r="AA429" i="2"/>
  <c r="AB429" i="2"/>
  <c r="AC429" i="2"/>
  <c r="AD429" i="2"/>
  <c r="AE429" i="2"/>
  <c r="AH429" i="2"/>
  <c r="AI429" i="2"/>
  <c r="AL429" i="2"/>
  <c r="AM429" i="2"/>
  <c r="AA430" i="2"/>
  <c r="AB430" i="2"/>
  <c r="AC430" i="2"/>
  <c r="AD430" i="2"/>
  <c r="AE430" i="2"/>
  <c r="AH430" i="2"/>
  <c r="AI430" i="2"/>
  <c r="AL430" i="2"/>
  <c r="AM430" i="2"/>
  <c r="AA431" i="2"/>
  <c r="AB431" i="2"/>
  <c r="AC431" i="2"/>
  <c r="AD431" i="2"/>
  <c r="AE431" i="2"/>
  <c r="AH431" i="2"/>
  <c r="AI431" i="2"/>
  <c r="AL431" i="2"/>
  <c r="AM431" i="2"/>
  <c r="AA432" i="2"/>
  <c r="AB432" i="2"/>
  <c r="AC432" i="2"/>
  <c r="AD432" i="2"/>
  <c r="AE432" i="2"/>
  <c r="AH432" i="2"/>
  <c r="AI432" i="2"/>
  <c r="AL432" i="2"/>
  <c r="AM432" i="2"/>
  <c r="AA433" i="2"/>
  <c r="AB433" i="2"/>
  <c r="AC433" i="2"/>
  <c r="AD433" i="2"/>
  <c r="AE433" i="2"/>
  <c r="AH433" i="2"/>
  <c r="AI433" i="2"/>
  <c r="AL433" i="2"/>
  <c r="AM433" i="2"/>
  <c r="AA434" i="2"/>
  <c r="AB434" i="2"/>
  <c r="AC434" i="2"/>
  <c r="AD434" i="2"/>
  <c r="AE434" i="2"/>
  <c r="AH434" i="2"/>
  <c r="AI434" i="2"/>
  <c r="AL434" i="2"/>
  <c r="AM434" i="2"/>
  <c r="AA435" i="2"/>
  <c r="AB435" i="2"/>
  <c r="AC435" i="2"/>
  <c r="AD435" i="2"/>
  <c r="AE435" i="2"/>
  <c r="AH435" i="2"/>
  <c r="AI435" i="2"/>
  <c r="AL435" i="2"/>
  <c r="AM435" i="2"/>
  <c r="AA436" i="2"/>
  <c r="AB436" i="2"/>
  <c r="AC436" i="2"/>
  <c r="AD436" i="2"/>
  <c r="AE436" i="2"/>
  <c r="AH436" i="2"/>
  <c r="AI436" i="2"/>
  <c r="AL436" i="2"/>
  <c r="AM436" i="2"/>
  <c r="AA437" i="2"/>
  <c r="AB437" i="2"/>
  <c r="AC437" i="2"/>
  <c r="AD437" i="2"/>
  <c r="AE437" i="2"/>
  <c r="AH437" i="2"/>
  <c r="AI437" i="2"/>
  <c r="AL437" i="2"/>
  <c r="AM437" i="2"/>
  <c r="AA438" i="2"/>
  <c r="AB438" i="2"/>
  <c r="AC438" i="2"/>
  <c r="AD438" i="2"/>
  <c r="AE438" i="2"/>
  <c r="AH438" i="2"/>
  <c r="AI438" i="2"/>
  <c r="AL438" i="2"/>
  <c r="AM438" i="2"/>
  <c r="AA439" i="2"/>
  <c r="AB439" i="2"/>
  <c r="AC439" i="2"/>
  <c r="AD439" i="2"/>
  <c r="AE439" i="2"/>
  <c r="AH439" i="2"/>
  <c r="AI439" i="2"/>
  <c r="AL439" i="2"/>
  <c r="AM439" i="2"/>
  <c r="AA440" i="2"/>
  <c r="AB440" i="2"/>
  <c r="AC440" i="2"/>
  <c r="AD440" i="2"/>
  <c r="AE440" i="2"/>
  <c r="AH440" i="2"/>
  <c r="AI440" i="2"/>
  <c r="AL440" i="2"/>
  <c r="AM440" i="2"/>
  <c r="AA441" i="2"/>
  <c r="AB441" i="2"/>
  <c r="AC441" i="2"/>
  <c r="AD441" i="2"/>
  <c r="AE441" i="2"/>
  <c r="AH441" i="2"/>
  <c r="AI441" i="2"/>
  <c r="AL441" i="2"/>
  <c r="AM441" i="2"/>
  <c r="AA442" i="2"/>
  <c r="AB442" i="2"/>
  <c r="AC442" i="2"/>
  <c r="AD442" i="2"/>
  <c r="AE442" i="2"/>
  <c r="AH442" i="2"/>
  <c r="AI442" i="2"/>
  <c r="AL442" i="2"/>
  <c r="AM442" i="2"/>
  <c r="AA443" i="2"/>
  <c r="AB443" i="2"/>
  <c r="AC443" i="2"/>
  <c r="AD443" i="2"/>
  <c r="AE443" i="2"/>
  <c r="AH443" i="2"/>
  <c r="AI443" i="2"/>
  <c r="AL443" i="2"/>
  <c r="AM443" i="2"/>
  <c r="AA444" i="2"/>
  <c r="AB444" i="2"/>
  <c r="AC444" i="2"/>
  <c r="AD444" i="2"/>
  <c r="AE444" i="2"/>
  <c r="AH444" i="2"/>
  <c r="AI444" i="2"/>
  <c r="AL444" i="2"/>
  <c r="AM444" i="2"/>
  <c r="AA445" i="2"/>
  <c r="AB445" i="2"/>
  <c r="AC445" i="2"/>
  <c r="AD445" i="2"/>
  <c r="AE445" i="2"/>
  <c r="AH445" i="2"/>
  <c r="AI445" i="2"/>
  <c r="AL445" i="2"/>
  <c r="AM445" i="2"/>
  <c r="AA446" i="2"/>
  <c r="AB446" i="2"/>
  <c r="AC446" i="2"/>
  <c r="AD446" i="2"/>
  <c r="AE446" i="2"/>
  <c r="AH446" i="2"/>
  <c r="AI446" i="2"/>
  <c r="AL446" i="2"/>
  <c r="AM446" i="2"/>
  <c r="AA447" i="2"/>
  <c r="AB447" i="2"/>
  <c r="AC447" i="2"/>
  <c r="AD447" i="2"/>
  <c r="AE447" i="2"/>
  <c r="AH447" i="2"/>
  <c r="AI447" i="2"/>
  <c r="AL447" i="2"/>
  <c r="AM447" i="2"/>
  <c r="AA448" i="2"/>
  <c r="AB448" i="2"/>
  <c r="AC448" i="2"/>
  <c r="AD448" i="2"/>
  <c r="AE448" i="2"/>
  <c r="AH448" i="2"/>
  <c r="AI448" i="2"/>
  <c r="AL448" i="2"/>
  <c r="AM448" i="2"/>
  <c r="AA449" i="2"/>
  <c r="AB449" i="2"/>
  <c r="AC449" i="2"/>
  <c r="AD449" i="2"/>
  <c r="AE449" i="2"/>
  <c r="AH449" i="2"/>
  <c r="AI449" i="2"/>
  <c r="AL449" i="2"/>
  <c r="AM449" i="2"/>
  <c r="AA450" i="2"/>
  <c r="AB450" i="2"/>
  <c r="AC450" i="2"/>
  <c r="AD450" i="2"/>
  <c r="AE450" i="2"/>
  <c r="AH450" i="2"/>
  <c r="AI450" i="2"/>
  <c r="AL450" i="2"/>
  <c r="AM450" i="2"/>
  <c r="AA451" i="2"/>
  <c r="AB451" i="2"/>
  <c r="AC451" i="2"/>
  <c r="AD451" i="2"/>
  <c r="AE451" i="2"/>
  <c r="AH451" i="2"/>
  <c r="AI451" i="2"/>
  <c r="AL451" i="2"/>
  <c r="AM451" i="2"/>
  <c r="AA452" i="2"/>
  <c r="AB452" i="2"/>
  <c r="AC452" i="2"/>
  <c r="AD452" i="2"/>
  <c r="AE452" i="2"/>
  <c r="AH452" i="2"/>
  <c r="AI452" i="2"/>
  <c r="AL452" i="2"/>
  <c r="AM452" i="2"/>
  <c r="AA453" i="2"/>
  <c r="AB453" i="2"/>
  <c r="AC453" i="2"/>
  <c r="AD453" i="2"/>
  <c r="AE453" i="2"/>
  <c r="AH453" i="2"/>
  <c r="AI453" i="2"/>
  <c r="AL453" i="2"/>
  <c r="AM453" i="2"/>
  <c r="AA454" i="2"/>
  <c r="AB454" i="2"/>
  <c r="AC454" i="2"/>
  <c r="AD454" i="2"/>
  <c r="AE454" i="2"/>
  <c r="AH454" i="2"/>
  <c r="AI454" i="2"/>
  <c r="AL454" i="2"/>
  <c r="AM454" i="2"/>
  <c r="AA455" i="2"/>
  <c r="AB455" i="2"/>
  <c r="AC455" i="2"/>
  <c r="AD455" i="2"/>
  <c r="AE455" i="2"/>
  <c r="AH455" i="2"/>
  <c r="AI455" i="2"/>
  <c r="AL455" i="2"/>
  <c r="AM455" i="2"/>
  <c r="AA456" i="2"/>
  <c r="AB456" i="2"/>
  <c r="AC456" i="2"/>
  <c r="AD456" i="2"/>
  <c r="AE456" i="2"/>
  <c r="AH456" i="2"/>
  <c r="AI456" i="2"/>
  <c r="AL456" i="2"/>
  <c r="AM456" i="2"/>
  <c r="AA457" i="2"/>
  <c r="AB457" i="2"/>
  <c r="AC457" i="2"/>
  <c r="AD457" i="2"/>
  <c r="AE457" i="2"/>
  <c r="AH457" i="2"/>
  <c r="AI457" i="2"/>
  <c r="AL457" i="2"/>
  <c r="AM457" i="2"/>
  <c r="AA458" i="2"/>
  <c r="AB458" i="2"/>
  <c r="AC458" i="2"/>
  <c r="AD458" i="2"/>
  <c r="AE458" i="2"/>
  <c r="AH458" i="2"/>
  <c r="AI458" i="2"/>
  <c r="AL458" i="2"/>
  <c r="AM458" i="2"/>
  <c r="AA459" i="2"/>
  <c r="AB459" i="2"/>
  <c r="AC459" i="2"/>
  <c r="AD459" i="2"/>
  <c r="AE459" i="2"/>
  <c r="AH459" i="2"/>
  <c r="AI459" i="2"/>
  <c r="AL459" i="2"/>
  <c r="AM459" i="2"/>
  <c r="AA460" i="2"/>
  <c r="AB460" i="2"/>
  <c r="AC460" i="2"/>
  <c r="AD460" i="2"/>
  <c r="AE460" i="2"/>
  <c r="AH460" i="2"/>
  <c r="AI460" i="2"/>
  <c r="AL460" i="2"/>
  <c r="AM460" i="2"/>
  <c r="AA461" i="2"/>
  <c r="AB461" i="2"/>
  <c r="AC461" i="2"/>
  <c r="AD461" i="2"/>
  <c r="AE461" i="2"/>
  <c r="AH461" i="2"/>
  <c r="AI461" i="2"/>
  <c r="AL461" i="2"/>
  <c r="AM461" i="2"/>
  <c r="AA462" i="2"/>
  <c r="AB462" i="2"/>
  <c r="AC462" i="2"/>
  <c r="AD462" i="2"/>
  <c r="AE462" i="2"/>
  <c r="AH462" i="2"/>
  <c r="AI462" i="2"/>
  <c r="AL462" i="2"/>
  <c r="AM462" i="2"/>
  <c r="AA463" i="2"/>
  <c r="AB463" i="2"/>
  <c r="AC463" i="2"/>
  <c r="AD463" i="2"/>
  <c r="AE463" i="2"/>
  <c r="AH463" i="2"/>
  <c r="AI463" i="2"/>
  <c r="AL463" i="2"/>
  <c r="AM463" i="2"/>
  <c r="AA464" i="2"/>
  <c r="AB464" i="2"/>
  <c r="AC464" i="2"/>
  <c r="AD464" i="2"/>
  <c r="AE464" i="2"/>
  <c r="AH464" i="2"/>
  <c r="AI464" i="2"/>
  <c r="AL464" i="2"/>
  <c r="AM464" i="2"/>
  <c r="AA465" i="2"/>
  <c r="AB465" i="2"/>
  <c r="AC465" i="2"/>
  <c r="AD465" i="2"/>
  <c r="AE465" i="2"/>
  <c r="AH465" i="2"/>
  <c r="AI465" i="2"/>
  <c r="AL465" i="2"/>
  <c r="AM465" i="2"/>
  <c r="AA466" i="2"/>
  <c r="AB466" i="2"/>
  <c r="AC466" i="2"/>
  <c r="AD466" i="2"/>
  <c r="AE466" i="2"/>
  <c r="AH466" i="2"/>
  <c r="AI466" i="2"/>
  <c r="AL466" i="2"/>
  <c r="AM466" i="2"/>
  <c r="AA467" i="2"/>
  <c r="AB467" i="2"/>
  <c r="AC467" i="2"/>
  <c r="AD467" i="2"/>
  <c r="AE467" i="2"/>
  <c r="AH467" i="2"/>
  <c r="AI467" i="2"/>
  <c r="AL467" i="2"/>
  <c r="AM467" i="2"/>
  <c r="AA468" i="2"/>
  <c r="AB468" i="2"/>
  <c r="AC468" i="2"/>
  <c r="AD468" i="2"/>
  <c r="AE468" i="2"/>
  <c r="AH468" i="2"/>
  <c r="AI468" i="2"/>
  <c r="AL468" i="2"/>
  <c r="AM468" i="2"/>
  <c r="AA469" i="2"/>
  <c r="AB469" i="2"/>
  <c r="AC469" i="2"/>
  <c r="AD469" i="2"/>
  <c r="AE469" i="2"/>
  <c r="AH469" i="2"/>
  <c r="AI469" i="2"/>
  <c r="AL469" i="2"/>
  <c r="AM469" i="2"/>
  <c r="AA470" i="2"/>
  <c r="AB470" i="2"/>
  <c r="AC470" i="2"/>
  <c r="AD470" i="2"/>
  <c r="AE470" i="2"/>
  <c r="AH470" i="2"/>
  <c r="AI470" i="2"/>
  <c r="AL470" i="2"/>
  <c r="AM470" i="2"/>
  <c r="AA471" i="2"/>
  <c r="AB471" i="2"/>
  <c r="AC471" i="2"/>
  <c r="AD471" i="2"/>
  <c r="AE471" i="2"/>
  <c r="AH471" i="2"/>
  <c r="AI471" i="2"/>
  <c r="AL471" i="2"/>
  <c r="AM471" i="2"/>
  <c r="AA472" i="2"/>
  <c r="AB472" i="2"/>
  <c r="AC472" i="2"/>
  <c r="AD472" i="2"/>
  <c r="AE472" i="2"/>
  <c r="AH472" i="2"/>
  <c r="AI472" i="2"/>
  <c r="AL472" i="2"/>
  <c r="AM472" i="2"/>
  <c r="AA473" i="2"/>
  <c r="AB473" i="2"/>
  <c r="AC473" i="2"/>
  <c r="AD473" i="2"/>
  <c r="AE473" i="2"/>
  <c r="AH473" i="2"/>
  <c r="AI473" i="2"/>
  <c r="AL473" i="2"/>
  <c r="AM473" i="2"/>
  <c r="AA474" i="2"/>
  <c r="AB474" i="2"/>
  <c r="AC474" i="2"/>
  <c r="AD474" i="2"/>
  <c r="AE474" i="2"/>
  <c r="AH474" i="2"/>
  <c r="AI474" i="2"/>
  <c r="AL474" i="2"/>
  <c r="AM474" i="2"/>
  <c r="AA475" i="2"/>
  <c r="AB475" i="2"/>
  <c r="AC475" i="2"/>
  <c r="AD475" i="2"/>
  <c r="AE475" i="2"/>
  <c r="AH475" i="2"/>
  <c r="AI475" i="2"/>
  <c r="AL475" i="2"/>
  <c r="AM475" i="2"/>
  <c r="AA476" i="2"/>
  <c r="AB476" i="2"/>
  <c r="AC476" i="2"/>
  <c r="AD476" i="2"/>
  <c r="AE476" i="2"/>
  <c r="AH476" i="2"/>
  <c r="AI476" i="2"/>
  <c r="AL476" i="2"/>
  <c r="AM476" i="2"/>
  <c r="AA477" i="2"/>
  <c r="AB477" i="2"/>
  <c r="AC477" i="2"/>
  <c r="AD477" i="2"/>
  <c r="AE477" i="2"/>
  <c r="AH477" i="2"/>
  <c r="AI477" i="2"/>
  <c r="AL477" i="2"/>
  <c r="AM477" i="2"/>
  <c r="AA478" i="2"/>
  <c r="AB478" i="2"/>
  <c r="AC478" i="2"/>
  <c r="AD478" i="2"/>
  <c r="AE478" i="2"/>
  <c r="AH478" i="2"/>
  <c r="AI478" i="2"/>
  <c r="AL478" i="2"/>
  <c r="AM478" i="2"/>
  <c r="AA479" i="2"/>
  <c r="AB479" i="2"/>
  <c r="AC479" i="2"/>
  <c r="AD479" i="2"/>
  <c r="AE479" i="2"/>
  <c r="AH479" i="2"/>
  <c r="AI479" i="2"/>
  <c r="AL479" i="2"/>
  <c r="AM479" i="2"/>
  <c r="AA480" i="2"/>
  <c r="AB480" i="2"/>
  <c r="AC480" i="2"/>
  <c r="AD480" i="2"/>
  <c r="AE480" i="2"/>
  <c r="AH480" i="2"/>
  <c r="AI480" i="2"/>
  <c r="AL480" i="2"/>
  <c r="AM480" i="2"/>
  <c r="AA481" i="2"/>
  <c r="AB481" i="2"/>
  <c r="AC481" i="2"/>
  <c r="AD481" i="2"/>
  <c r="AE481" i="2"/>
  <c r="AH481" i="2"/>
  <c r="AI481" i="2"/>
  <c r="AL481" i="2"/>
  <c r="AM481" i="2"/>
  <c r="AA482" i="2"/>
  <c r="AB482" i="2"/>
  <c r="AC482" i="2"/>
  <c r="AD482" i="2"/>
  <c r="AE482" i="2"/>
  <c r="AH482" i="2"/>
  <c r="AI482" i="2"/>
  <c r="AL482" i="2"/>
  <c r="AM482" i="2"/>
  <c r="AA483" i="2"/>
  <c r="AB483" i="2"/>
  <c r="AC483" i="2"/>
  <c r="AD483" i="2"/>
  <c r="AE483" i="2"/>
  <c r="AH483" i="2"/>
  <c r="AI483" i="2"/>
  <c r="AL483" i="2"/>
  <c r="AM483" i="2"/>
  <c r="AA484" i="2"/>
  <c r="AB484" i="2"/>
  <c r="AC484" i="2"/>
  <c r="AD484" i="2"/>
  <c r="AE484" i="2"/>
  <c r="AH484" i="2"/>
  <c r="AI484" i="2"/>
  <c r="AL484" i="2"/>
  <c r="AM484" i="2"/>
  <c r="AA485" i="2"/>
  <c r="AB485" i="2"/>
  <c r="AC485" i="2"/>
  <c r="AD485" i="2"/>
  <c r="AE485" i="2"/>
  <c r="AH485" i="2"/>
  <c r="AI485" i="2"/>
  <c r="AL485" i="2"/>
  <c r="AM485" i="2"/>
  <c r="AA486" i="2"/>
  <c r="AB486" i="2"/>
  <c r="AC486" i="2"/>
  <c r="AD486" i="2"/>
  <c r="AE486" i="2"/>
  <c r="AH486" i="2"/>
  <c r="AI486" i="2"/>
  <c r="AL486" i="2"/>
  <c r="AM486" i="2"/>
  <c r="AA487" i="2"/>
  <c r="AB487" i="2"/>
  <c r="AC487" i="2"/>
  <c r="AD487" i="2"/>
  <c r="AE487" i="2"/>
  <c r="AH487" i="2"/>
  <c r="AI487" i="2"/>
  <c r="AL487" i="2"/>
  <c r="AM487" i="2"/>
  <c r="AA488" i="2"/>
  <c r="AB488" i="2"/>
  <c r="AC488" i="2"/>
  <c r="AD488" i="2"/>
  <c r="AE488" i="2"/>
  <c r="AH488" i="2"/>
  <c r="AI488" i="2"/>
  <c r="AL488" i="2"/>
  <c r="AM488" i="2"/>
  <c r="AA489" i="2"/>
  <c r="AB489" i="2"/>
  <c r="AC489" i="2"/>
  <c r="AD489" i="2"/>
  <c r="AE489" i="2"/>
  <c r="AH489" i="2"/>
  <c r="AI489" i="2"/>
  <c r="AL489" i="2"/>
  <c r="AM489" i="2"/>
  <c r="AA490" i="2"/>
  <c r="AB490" i="2"/>
  <c r="AC490" i="2"/>
  <c r="AD490" i="2"/>
  <c r="AE490" i="2"/>
  <c r="AH490" i="2"/>
  <c r="AI490" i="2"/>
  <c r="AL490" i="2"/>
  <c r="AM490" i="2"/>
  <c r="AA491" i="2"/>
  <c r="AB491" i="2"/>
  <c r="AC491" i="2"/>
  <c r="AD491" i="2"/>
  <c r="AE491" i="2"/>
  <c r="AH491" i="2"/>
  <c r="AI491" i="2"/>
  <c r="AL491" i="2"/>
  <c r="AM491" i="2"/>
  <c r="AA492" i="2"/>
  <c r="AB492" i="2"/>
  <c r="AC492" i="2"/>
  <c r="AD492" i="2"/>
  <c r="AE492" i="2"/>
  <c r="AH492" i="2"/>
  <c r="AI492" i="2"/>
  <c r="AL492" i="2"/>
  <c r="AM492" i="2"/>
  <c r="AA493" i="2"/>
  <c r="AB493" i="2"/>
  <c r="AC493" i="2"/>
  <c r="AD493" i="2"/>
  <c r="AE493" i="2"/>
  <c r="AH493" i="2"/>
  <c r="AI493" i="2"/>
  <c r="AL493" i="2"/>
  <c r="AM493" i="2"/>
  <c r="AA494" i="2"/>
  <c r="AB494" i="2"/>
  <c r="AC494" i="2"/>
  <c r="AD494" i="2"/>
  <c r="AE494" i="2"/>
  <c r="AH494" i="2"/>
  <c r="AI494" i="2"/>
  <c r="AL494" i="2"/>
  <c r="AM494" i="2"/>
  <c r="AA495" i="2"/>
  <c r="AB495" i="2"/>
  <c r="AC495" i="2"/>
  <c r="AD495" i="2"/>
  <c r="AE495" i="2"/>
  <c r="AH495" i="2"/>
  <c r="AI495" i="2"/>
  <c r="AL495" i="2"/>
  <c r="AM495" i="2"/>
  <c r="AA496" i="2"/>
  <c r="AB496" i="2"/>
  <c r="AC496" i="2"/>
  <c r="AD496" i="2"/>
  <c r="AE496" i="2"/>
  <c r="AH496" i="2"/>
  <c r="AI496" i="2"/>
  <c r="AL496" i="2"/>
  <c r="AM496" i="2"/>
  <c r="AA497" i="2"/>
  <c r="AB497" i="2"/>
  <c r="AC497" i="2"/>
  <c r="AD497" i="2"/>
  <c r="AE497" i="2"/>
  <c r="AH497" i="2"/>
  <c r="AI497" i="2"/>
  <c r="AL497" i="2"/>
  <c r="AM497" i="2"/>
  <c r="AA498" i="2"/>
  <c r="AB498" i="2"/>
  <c r="AC498" i="2"/>
  <c r="AD498" i="2"/>
  <c r="AE498" i="2"/>
  <c r="AH498" i="2"/>
  <c r="AI498" i="2"/>
  <c r="AL498" i="2"/>
  <c r="AM498" i="2"/>
  <c r="AA499" i="2"/>
  <c r="AB499" i="2"/>
  <c r="AC499" i="2"/>
  <c r="AD499" i="2"/>
  <c r="AE499" i="2"/>
  <c r="AH499" i="2"/>
  <c r="AI499" i="2"/>
  <c r="AL499" i="2"/>
  <c r="AM499" i="2"/>
  <c r="AA500" i="2"/>
  <c r="AB500" i="2"/>
  <c r="AC500" i="2"/>
  <c r="AD500" i="2"/>
  <c r="AE500" i="2"/>
  <c r="AH500" i="2"/>
  <c r="AI500" i="2"/>
  <c r="AL500" i="2"/>
  <c r="AM500" i="2"/>
  <c r="AE407" i="2"/>
  <c r="AH407" i="2"/>
  <c r="AI407" i="2"/>
  <c r="AE408" i="2"/>
  <c r="AH408" i="2"/>
  <c r="AH409" i="2"/>
  <c r="AE384" i="2"/>
  <c r="AH384" i="2"/>
  <c r="AE385" i="2"/>
  <c r="AH385" i="2"/>
  <c r="AE386" i="2"/>
  <c r="AH386" i="2"/>
  <c r="AL386" i="2"/>
  <c r="AE387" i="2"/>
  <c r="AH387" i="2"/>
  <c r="AE388" i="2"/>
  <c r="AL388" i="2"/>
  <c r="AH388" i="2"/>
  <c r="AI388" i="2"/>
  <c r="AE389" i="2"/>
  <c r="AH389" i="2"/>
  <c r="AI389" i="2"/>
  <c r="AL389" i="2"/>
  <c r="AE390" i="2"/>
  <c r="AL390" i="2"/>
  <c r="AH390" i="2"/>
  <c r="AI390" i="2"/>
  <c r="AE391" i="2"/>
  <c r="AL391" i="2"/>
  <c r="AH391" i="2"/>
  <c r="AI391" i="2"/>
  <c r="AE392" i="2"/>
  <c r="AH392" i="2"/>
  <c r="AI392" i="2"/>
  <c r="AL392" i="2"/>
  <c r="AE393" i="2"/>
  <c r="AI393" i="2"/>
  <c r="AH393" i="2"/>
  <c r="AE394" i="2"/>
  <c r="AH394" i="2"/>
  <c r="AE395" i="2"/>
  <c r="AH395" i="2"/>
  <c r="AI395" i="2"/>
  <c r="AL395" i="2"/>
  <c r="AE396" i="2"/>
  <c r="AH396" i="2"/>
  <c r="AI396" i="2"/>
  <c r="AE397" i="2"/>
  <c r="AH397" i="2"/>
  <c r="AE398" i="2"/>
  <c r="AH398" i="2"/>
  <c r="AE399" i="2"/>
  <c r="AH399" i="2"/>
  <c r="AI399" i="2"/>
  <c r="AL399" i="2"/>
  <c r="AE400" i="2"/>
  <c r="AL400" i="2"/>
  <c r="AH400" i="2"/>
  <c r="AI400" i="2"/>
  <c r="AE401" i="2"/>
  <c r="AH401" i="2"/>
  <c r="AI401" i="2"/>
  <c r="AL401" i="2"/>
  <c r="AH402" i="2"/>
  <c r="AI402" i="2"/>
  <c r="AL402" i="2"/>
  <c r="AE403" i="2"/>
  <c r="AH403" i="2"/>
  <c r="AL403" i="2"/>
  <c r="AE404" i="2"/>
  <c r="AH404" i="2"/>
  <c r="AE405" i="2"/>
  <c r="AI405" i="2"/>
  <c r="AH405" i="2"/>
  <c r="AH406" i="2"/>
  <c r="AI406" i="2"/>
  <c r="AL406" i="2"/>
  <c r="AE382" i="2"/>
  <c r="AH382" i="2"/>
  <c r="AE383" i="2"/>
  <c r="AH383" i="2"/>
  <c r="O388" i="2"/>
  <c r="O387" i="2"/>
  <c r="C377" i="2"/>
  <c r="O386" i="2"/>
  <c r="D378" i="2"/>
  <c r="AE370" i="2"/>
  <c r="AH370" i="2"/>
  <c r="AE371" i="2"/>
  <c r="AH371" i="2"/>
  <c r="AE372" i="2"/>
  <c r="AH372" i="2"/>
  <c r="AE373" i="2"/>
  <c r="AH373" i="2"/>
  <c r="AI373" i="2"/>
  <c r="AE374" i="2"/>
  <c r="AL374" i="2"/>
  <c r="AH374" i="2"/>
  <c r="AE375" i="2"/>
  <c r="AH375" i="2"/>
  <c r="AE376" i="2"/>
  <c r="AL376" i="2"/>
  <c r="AH376" i="2"/>
  <c r="AL377" i="2"/>
  <c r="AH377" i="2"/>
  <c r="AH378" i="2"/>
  <c r="AL379" i="2"/>
  <c r="AH379" i="2"/>
  <c r="AE380" i="2"/>
  <c r="AL380" i="2"/>
  <c r="AH380" i="2"/>
  <c r="AE381" i="2"/>
  <c r="AH381" i="2"/>
  <c r="AL381" i="2"/>
  <c r="Z3" i="1" a="1"/>
  <c r="L3" i="1" a="1"/>
  <c r="D3" i="1" a="1"/>
  <c r="AA3" i="1" a="1"/>
  <c r="R3" i="1"/>
  <c r="S3" i="1"/>
  <c r="T3" i="1"/>
  <c r="K3" i="1" a="1"/>
  <c r="E3" i="1" a="1"/>
  <c r="V3" i="1"/>
  <c r="C3" i="1" a="1"/>
  <c r="AB3" i="1" a="1"/>
  <c r="AL411" i="2" l="1"/>
  <c r="AM411" i="2" s="1"/>
  <c r="AB411" i="2"/>
  <c r="AA411" i="2" s="1"/>
  <c r="AB3" i="1"/>
  <c r="AA3" i="1"/>
  <c r="Z3" i="1"/>
  <c r="L3" i="1"/>
  <c r="K3" i="1"/>
  <c r="E3" i="1"/>
  <c r="D3" i="1"/>
  <c r="C3" i="1"/>
  <c r="AL409" i="2"/>
  <c r="AI408" i="2"/>
  <c r="AI397" i="2"/>
  <c r="AI385" i="2"/>
  <c r="AI394" i="2"/>
  <c r="AL410" i="2"/>
  <c r="AM410" i="2" s="1"/>
  <c r="AL384" i="2"/>
  <c r="AL387" i="2"/>
  <c r="AI382" i="2"/>
  <c r="AI404" i="2"/>
  <c r="AL393" i="2"/>
  <c r="AL398" i="2"/>
  <c r="AL405" i="2"/>
  <c r="AL404" i="2"/>
  <c r="AI374" i="2"/>
  <c r="AI372" i="2"/>
  <c r="AI375" i="2"/>
  <c r="AI370" i="2"/>
  <c r="AL375" i="2"/>
  <c r="AI378" i="2"/>
  <c r="AL372" i="2"/>
  <c r="P388" i="2"/>
  <c r="AL370" i="2"/>
  <c r="AI379" i="2"/>
  <c r="AI376" i="2"/>
  <c r="AI371" i="2"/>
  <c r="AI383" i="2"/>
  <c r="AI380" i="2"/>
  <c r="AI377" i="2"/>
  <c r="AL378" i="2"/>
  <c r="V302" i="2" l="1"/>
  <c r="T302" i="2"/>
  <c r="R302" i="2"/>
  <c r="P302" i="2"/>
  <c r="A3" i="5"/>
  <c r="A4" i="5"/>
  <c r="A5" i="5"/>
  <c r="A6" i="5"/>
  <c r="A7" i="5"/>
  <c r="A8" i="5"/>
  <c r="A9" i="5"/>
  <c r="A10" i="5"/>
  <c r="AE333" i="2"/>
  <c r="AH333" i="2"/>
  <c r="AE334" i="2"/>
  <c r="AL334" i="2"/>
  <c r="AH334" i="2"/>
  <c r="AE335" i="2"/>
  <c r="AH335" i="2"/>
  <c r="AE336" i="2"/>
  <c r="AH336" i="2"/>
  <c r="AI336" i="2"/>
  <c r="AL336" i="2"/>
  <c r="AE337" i="2"/>
  <c r="AL337" i="2"/>
  <c r="AH337" i="2"/>
  <c r="AE338" i="2"/>
  <c r="AH338" i="2"/>
  <c r="AE339" i="2"/>
  <c r="AL339" i="2"/>
  <c r="AH339" i="2"/>
  <c r="AI339" i="2"/>
  <c r="AE340" i="2"/>
  <c r="AL340" i="2"/>
  <c r="AH340" i="2"/>
  <c r="AE341" i="2"/>
  <c r="AH341" i="2"/>
  <c r="AE342" i="2"/>
  <c r="AL342" i="2"/>
  <c r="AH342" i="2"/>
  <c r="AE343" i="2"/>
  <c r="AL343" i="2"/>
  <c r="AH343" i="2"/>
  <c r="AE344" i="2"/>
  <c r="AH344" i="2"/>
  <c r="AE345" i="2"/>
  <c r="AL345" i="2"/>
  <c r="AH345" i="2"/>
  <c r="AE346" i="2"/>
  <c r="AL346" i="2"/>
  <c r="AH346" i="2"/>
  <c r="AE347" i="2"/>
  <c r="AL347" i="2"/>
  <c r="AH347" i="2"/>
  <c r="AI347" i="2"/>
  <c r="AE348" i="2"/>
  <c r="AH348" i="2"/>
  <c r="M334" i="2"/>
  <c r="AE349" i="2"/>
  <c r="AH349" i="2"/>
  <c r="AE350" i="2"/>
  <c r="AL350" i="2"/>
  <c r="AH350" i="2"/>
  <c r="AE351" i="2"/>
  <c r="AL351" i="2"/>
  <c r="AH351" i="2"/>
  <c r="AE352" i="2"/>
  <c r="AL352" i="2"/>
  <c r="AH352" i="2"/>
  <c r="AE353" i="2"/>
  <c r="AH353" i="2"/>
  <c r="M348" i="2"/>
  <c r="M347" i="2"/>
  <c r="M346" i="2"/>
  <c r="M345" i="2"/>
  <c r="AE406" i="2" l="1"/>
  <c r="AI338" i="2"/>
  <c r="AI335" i="2"/>
  <c r="AI348" i="2"/>
  <c r="AI341" i="2"/>
  <c r="AI349" i="2"/>
  <c r="AI345" i="2"/>
  <c r="AL341" i="2"/>
  <c r="AL338" i="2"/>
  <c r="AI334" i="2"/>
  <c r="AI333" i="2"/>
  <c r="AL335" i="2"/>
  <c r="AL349" i="2"/>
  <c r="AI343" i="2"/>
  <c r="AI352" i="2"/>
  <c r="AI346" i="2"/>
  <c r="AI340" i="2"/>
  <c r="AI342" i="2"/>
  <c r="AI351" i="2"/>
  <c r="AL333" i="2"/>
  <c r="AL348" i="2"/>
  <c r="AI337" i="2"/>
  <c r="AI353" i="2"/>
  <c r="AL353" i="2"/>
  <c r="AI350" i="2"/>
  <c r="M344" i="2"/>
  <c r="AE354" i="2"/>
  <c r="AL354" i="2"/>
  <c r="AH354" i="2"/>
  <c r="AE355" i="2"/>
  <c r="AH355" i="2"/>
  <c r="AE356" i="2"/>
  <c r="AH356" i="2"/>
  <c r="AH357" i="2"/>
  <c r="AH358" i="2"/>
  <c r="AL359" i="2"/>
  <c r="AH359" i="2"/>
  <c r="AE360" i="2"/>
  <c r="AL360" i="2"/>
  <c r="AH360" i="2"/>
  <c r="AH361" i="2"/>
  <c r="M353" i="2"/>
  <c r="M349" i="2"/>
  <c r="AE362" i="2"/>
  <c r="AH362" i="2"/>
  <c r="AL363" i="2"/>
  <c r="AH363" i="2"/>
  <c r="AH364" i="2"/>
  <c r="AH365" i="2"/>
  <c r="AE366" i="2"/>
  <c r="AH366" i="2"/>
  <c r="AE367" i="2"/>
  <c r="AL367" i="2"/>
  <c r="AH367" i="2"/>
  <c r="AE368" i="2"/>
  <c r="AH368" i="2"/>
  <c r="AE369" i="2"/>
  <c r="AI369" i="2"/>
  <c r="AH369" i="2"/>
  <c r="M343" i="2"/>
  <c r="AD4" i="2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M342" i="2"/>
  <c r="AL369" i="2" l="1"/>
  <c r="AI365" i="2"/>
  <c r="AI368" i="2"/>
  <c r="AI366" i="2"/>
  <c r="AL365" i="2"/>
  <c r="AI367" i="2"/>
  <c r="AL368" i="2"/>
  <c r="AL366" i="2"/>
  <c r="AI361" i="2"/>
  <c r="AI362" i="2"/>
  <c r="AL361" i="2"/>
  <c r="AI364" i="2"/>
  <c r="AL362" i="2"/>
  <c r="AL364" i="2"/>
  <c r="AE363" i="2"/>
  <c r="AI363" i="2"/>
  <c r="AI360" i="2"/>
  <c r="AI359" i="2"/>
  <c r="AI358" i="2"/>
  <c r="AI356" i="2"/>
  <c r="AL356" i="2"/>
  <c r="AL358" i="2"/>
  <c r="AI354" i="2"/>
  <c r="AI355" i="2"/>
  <c r="AI357" i="2"/>
  <c r="AL355" i="2"/>
  <c r="AL357" i="2"/>
  <c r="K242" i="2"/>
  <c r="F500" i="3"/>
  <c r="L500" i="3" s="1"/>
  <c r="F499" i="3"/>
  <c r="G499" i="3" s="1"/>
  <c r="F498" i="3"/>
  <c r="J498" i="3" s="1"/>
  <c r="F497" i="3"/>
  <c r="F496" i="3"/>
  <c r="L496" i="3" s="1"/>
  <c r="F495" i="3"/>
  <c r="K495" i="3" s="1"/>
  <c r="F494" i="3"/>
  <c r="H494" i="3" s="1"/>
  <c r="F493" i="3"/>
  <c r="L493" i="3" s="1"/>
  <c r="F492" i="3"/>
  <c r="H492" i="3" s="1"/>
  <c r="F491" i="3"/>
  <c r="K491" i="3" s="1"/>
  <c r="F490" i="3"/>
  <c r="I490" i="3" s="1"/>
  <c r="F489" i="3"/>
  <c r="F488" i="3"/>
  <c r="L488" i="3" s="1"/>
  <c r="F487" i="3"/>
  <c r="F486" i="3"/>
  <c r="J486" i="3" s="1"/>
  <c r="F485" i="3"/>
  <c r="I485" i="3" s="1"/>
  <c r="F484" i="3"/>
  <c r="L484" i="3" s="1"/>
  <c r="F483" i="3"/>
  <c r="G483" i="3" s="1"/>
  <c r="F482" i="3"/>
  <c r="J482" i="3" s="1"/>
  <c r="F481" i="3"/>
  <c r="L481" i="3" s="1"/>
  <c r="F480" i="3"/>
  <c r="F479" i="3"/>
  <c r="K479" i="3" s="1"/>
  <c r="F478" i="3"/>
  <c r="F477" i="3"/>
  <c r="F476" i="3"/>
  <c r="L476" i="3" s="1"/>
  <c r="F475" i="3"/>
  <c r="G475" i="3" s="1"/>
  <c r="F474" i="3"/>
  <c r="F473" i="3"/>
  <c r="I473" i="3" s="1"/>
  <c r="F472" i="3"/>
  <c r="L472" i="3" s="1"/>
  <c r="F471" i="3"/>
  <c r="G471" i="3" s="1"/>
  <c r="F470" i="3"/>
  <c r="J470" i="3" s="1"/>
  <c r="F469" i="3"/>
  <c r="L469" i="3" s="1"/>
  <c r="F468" i="3"/>
  <c r="H468" i="3" s="1"/>
  <c r="F467" i="3"/>
  <c r="F466" i="3"/>
  <c r="K466" i="3" s="1"/>
  <c r="F465" i="3"/>
  <c r="F464" i="3"/>
  <c r="L464" i="3" s="1"/>
  <c r="F463" i="3"/>
  <c r="G463" i="3" s="1"/>
  <c r="F462" i="3"/>
  <c r="J462" i="3" s="1"/>
  <c r="F461" i="3"/>
  <c r="I461" i="3" s="1"/>
  <c r="F460" i="3"/>
  <c r="L460" i="3" s="1"/>
  <c r="F459" i="3"/>
  <c r="G459" i="3" s="1"/>
  <c r="F458" i="3"/>
  <c r="J458" i="3" s="1"/>
  <c r="F457" i="3"/>
  <c r="L457" i="3" s="1"/>
  <c r="F456" i="3"/>
  <c r="H456" i="3" s="1"/>
  <c r="F455" i="3"/>
  <c r="K455" i="3" s="1"/>
  <c r="F454" i="3"/>
  <c r="K454" i="3" s="1"/>
  <c r="F453" i="3"/>
  <c r="F452" i="3"/>
  <c r="L452" i="3" s="1"/>
  <c r="F451" i="3"/>
  <c r="G451" i="3" s="1"/>
  <c r="F450" i="3"/>
  <c r="J450" i="3" s="1"/>
  <c r="F449" i="3"/>
  <c r="I449" i="3" s="1"/>
  <c r="F448" i="3"/>
  <c r="L448" i="3" s="1"/>
  <c r="F447" i="3"/>
  <c r="F446" i="3"/>
  <c r="J446" i="3" s="1"/>
  <c r="F445" i="3"/>
  <c r="L445" i="3" s="1"/>
  <c r="F444" i="3"/>
  <c r="H444" i="3" s="1"/>
  <c r="F443" i="3"/>
  <c r="K443" i="3" s="1"/>
  <c r="F442" i="3"/>
  <c r="L442" i="3" s="1"/>
  <c r="F441" i="3"/>
  <c r="F440" i="3"/>
  <c r="L440" i="3" s="1"/>
  <c r="F439" i="3"/>
  <c r="G439" i="3" s="1"/>
  <c r="F438" i="3"/>
  <c r="J438" i="3" s="1"/>
  <c r="F437" i="3"/>
  <c r="F436" i="3"/>
  <c r="F435" i="3"/>
  <c r="G435" i="3" s="1"/>
  <c r="F434" i="3"/>
  <c r="F433" i="3"/>
  <c r="F432" i="3"/>
  <c r="H432" i="3" s="1"/>
  <c r="F431" i="3"/>
  <c r="K431" i="3" s="1"/>
  <c r="F430" i="3"/>
  <c r="H430" i="3" s="1"/>
  <c r="F429" i="3"/>
  <c r="F428" i="3"/>
  <c r="L428" i="3" s="1"/>
  <c r="F427" i="3"/>
  <c r="G427" i="3" s="1"/>
  <c r="F426" i="3"/>
  <c r="J426" i="3" s="1"/>
  <c r="F425" i="3"/>
  <c r="I425" i="3" s="1"/>
  <c r="F424" i="3"/>
  <c r="F423" i="3"/>
  <c r="G423" i="3" s="1"/>
  <c r="F422" i="3"/>
  <c r="J422" i="3" s="1"/>
  <c r="F421" i="3"/>
  <c r="F420" i="3"/>
  <c r="F419" i="3"/>
  <c r="K419" i="3" s="1"/>
  <c r="F418" i="3"/>
  <c r="L418" i="3" s="1"/>
  <c r="F417" i="3"/>
  <c r="F416" i="3"/>
  <c r="L416" i="3" s="1"/>
  <c r="F415" i="3"/>
  <c r="G415" i="3" s="1"/>
  <c r="F414" i="3"/>
  <c r="J414" i="3" s="1"/>
  <c r="F413" i="3"/>
  <c r="I413" i="3" s="1"/>
  <c r="F412" i="3"/>
  <c r="F411" i="3"/>
  <c r="G411" i="3" s="1"/>
  <c r="F410" i="3"/>
  <c r="J410" i="3" s="1"/>
  <c r="F409" i="3"/>
  <c r="F408" i="3"/>
  <c r="H408" i="3" s="1"/>
  <c r="F407" i="3"/>
  <c r="K407" i="3" s="1"/>
  <c r="F406" i="3"/>
  <c r="J406" i="3" s="1"/>
  <c r="F405" i="3"/>
  <c r="F404" i="3"/>
  <c r="L404" i="3" s="1"/>
  <c r="F403" i="3"/>
  <c r="F402" i="3"/>
  <c r="J402" i="3" s="1"/>
  <c r="F401" i="3"/>
  <c r="I401" i="3" s="1"/>
  <c r="F400" i="3"/>
  <c r="I400" i="3" s="1"/>
  <c r="F399" i="3"/>
  <c r="G399" i="3" s="1"/>
  <c r="F398" i="3"/>
  <c r="J398" i="3" s="1"/>
  <c r="F397" i="3"/>
  <c r="F396" i="3"/>
  <c r="H396" i="3" s="1"/>
  <c r="F395" i="3"/>
  <c r="K395" i="3" s="1"/>
  <c r="F394" i="3"/>
  <c r="J394" i="3" s="1"/>
  <c r="F393" i="3"/>
  <c r="F392" i="3"/>
  <c r="F391" i="3"/>
  <c r="G391" i="3" s="1"/>
  <c r="F390" i="3"/>
  <c r="F389" i="3"/>
  <c r="I389" i="3" s="1"/>
  <c r="F388" i="3"/>
  <c r="I388" i="3" s="1"/>
  <c r="F387" i="3"/>
  <c r="F386" i="3"/>
  <c r="J386" i="3" s="1"/>
  <c r="F385" i="3"/>
  <c r="K385" i="3" s="1"/>
  <c r="F384" i="3"/>
  <c r="F383" i="3"/>
  <c r="K383" i="3" s="1"/>
  <c r="F382" i="3"/>
  <c r="L382" i="3" s="1"/>
  <c r="F381" i="3"/>
  <c r="F380" i="3"/>
  <c r="J380" i="3" s="1"/>
  <c r="F379" i="3"/>
  <c r="G379" i="3" s="1"/>
  <c r="F378" i="3"/>
  <c r="J378" i="3" s="1"/>
  <c r="F377" i="3"/>
  <c r="F376" i="3"/>
  <c r="J376" i="3" s="1"/>
  <c r="F375" i="3"/>
  <c r="G375" i="3" s="1"/>
  <c r="F374" i="3"/>
  <c r="F373" i="3"/>
  <c r="G373" i="3" s="1"/>
  <c r="F372" i="3"/>
  <c r="I372" i="3" s="1"/>
  <c r="F371" i="3"/>
  <c r="K371" i="3" s="1"/>
  <c r="F370" i="3"/>
  <c r="H370" i="3" s="1"/>
  <c r="F369" i="3"/>
  <c r="F368" i="3"/>
  <c r="F367" i="3"/>
  <c r="G367" i="3" s="1"/>
  <c r="F366" i="3"/>
  <c r="J366" i="3" s="1"/>
  <c r="F365" i="3"/>
  <c r="F364" i="3"/>
  <c r="F363" i="3"/>
  <c r="G363" i="3" s="1"/>
  <c r="F362" i="3"/>
  <c r="J362" i="3" s="1"/>
  <c r="F361" i="3"/>
  <c r="J361" i="3" s="1"/>
  <c r="F360" i="3"/>
  <c r="J360" i="3" s="1"/>
  <c r="F359" i="3"/>
  <c r="H359" i="3" s="1"/>
  <c r="F358" i="3"/>
  <c r="L358" i="3" s="1"/>
  <c r="F357" i="3"/>
  <c r="F356" i="3"/>
  <c r="F355" i="3"/>
  <c r="F354" i="3"/>
  <c r="J354" i="3" s="1"/>
  <c r="F353" i="3"/>
  <c r="J353" i="3" s="1"/>
  <c r="F352" i="3"/>
  <c r="I352" i="3" s="1"/>
  <c r="F351" i="3"/>
  <c r="G351" i="3" s="1"/>
  <c r="F350" i="3"/>
  <c r="J350" i="3" s="1"/>
  <c r="F349" i="3"/>
  <c r="F348" i="3"/>
  <c r="F347" i="3"/>
  <c r="H347" i="3" s="1"/>
  <c r="F346" i="3"/>
  <c r="L346" i="3" s="1"/>
  <c r="F345" i="3"/>
  <c r="F344" i="3"/>
  <c r="F343" i="3"/>
  <c r="H343" i="3" s="1"/>
  <c r="F342" i="3"/>
  <c r="L342" i="3" s="1"/>
  <c r="F341" i="3"/>
  <c r="J341" i="3" s="1"/>
  <c r="F340" i="3"/>
  <c r="F339" i="3"/>
  <c r="F338" i="3"/>
  <c r="J338" i="3" s="1"/>
  <c r="F337" i="3"/>
  <c r="J337" i="3" s="1"/>
  <c r="F336" i="3"/>
  <c r="L336" i="3" s="1"/>
  <c r="F335" i="3"/>
  <c r="H335" i="3" s="1"/>
  <c r="F334" i="3"/>
  <c r="K334" i="3" s="1"/>
  <c r="F333" i="3"/>
  <c r="H333" i="3" s="1"/>
  <c r="F332" i="3"/>
  <c r="H332" i="3" s="1"/>
  <c r="F331" i="3"/>
  <c r="F330" i="3"/>
  <c r="L330" i="3" s="1"/>
  <c r="F329" i="3"/>
  <c r="I329" i="3" s="1"/>
  <c r="F328" i="3"/>
  <c r="H328" i="3" s="1"/>
  <c r="F327" i="3"/>
  <c r="L327" i="3" s="1"/>
  <c r="F326" i="3"/>
  <c r="F325" i="3"/>
  <c r="F324" i="3"/>
  <c r="G324" i="3" s="1"/>
  <c r="F323" i="3"/>
  <c r="I323" i="3" s="1"/>
  <c r="F322" i="3"/>
  <c r="F321" i="3"/>
  <c r="K321" i="3" s="1"/>
  <c r="F320" i="3"/>
  <c r="L320" i="3" s="1"/>
  <c r="F319" i="3"/>
  <c r="F318" i="3"/>
  <c r="F317" i="3"/>
  <c r="F316" i="3"/>
  <c r="J316" i="3" s="1"/>
  <c r="F315" i="3"/>
  <c r="L315" i="3" s="1"/>
  <c r="F314" i="3"/>
  <c r="F313" i="3"/>
  <c r="G313" i="3" s="1"/>
  <c r="F312" i="3"/>
  <c r="F311" i="3"/>
  <c r="I311" i="3" s="1"/>
  <c r="F310" i="3"/>
  <c r="J310" i="3" s="1"/>
  <c r="F309" i="3"/>
  <c r="K309" i="3" s="1"/>
  <c r="F308" i="3"/>
  <c r="L308" i="3" s="1"/>
  <c r="F307" i="3"/>
  <c r="F306" i="3"/>
  <c r="H306" i="3" s="1"/>
  <c r="F305" i="3"/>
  <c r="H305" i="3" s="1"/>
  <c r="F304" i="3"/>
  <c r="J304" i="3" s="1"/>
  <c r="F303" i="3"/>
  <c r="L303" i="3" s="1"/>
  <c r="F302" i="3"/>
  <c r="F301" i="3"/>
  <c r="G301" i="3" s="1"/>
  <c r="F300" i="3"/>
  <c r="F299" i="3"/>
  <c r="I299" i="3" s="1"/>
  <c r="F298" i="3"/>
  <c r="F297" i="3"/>
  <c r="K297" i="3" s="1"/>
  <c r="F296" i="3"/>
  <c r="G296" i="3" s="1"/>
  <c r="F295" i="3"/>
  <c r="F294" i="3"/>
  <c r="H294" i="3" s="1"/>
  <c r="F293" i="3"/>
  <c r="F292" i="3"/>
  <c r="J292" i="3" s="1"/>
  <c r="F291" i="3"/>
  <c r="L291" i="3" s="1"/>
  <c r="F290" i="3"/>
  <c r="F289" i="3"/>
  <c r="F288" i="3"/>
  <c r="F287" i="3"/>
  <c r="I287" i="3" s="1"/>
  <c r="F286" i="3"/>
  <c r="F285" i="3"/>
  <c r="K285" i="3" s="1"/>
  <c r="F284" i="3"/>
  <c r="L284" i="3" s="1"/>
  <c r="F283" i="3"/>
  <c r="F282" i="3"/>
  <c r="F281" i="3"/>
  <c r="F280" i="3"/>
  <c r="J280" i="3" s="1"/>
  <c r="F279" i="3"/>
  <c r="L279" i="3" s="1"/>
  <c r="F278" i="3"/>
  <c r="H278" i="3" s="1"/>
  <c r="F277" i="3"/>
  <c r="G277" i="3" s="1"/>
  <c r="F276" i="3"/>
  <c r="J276" i="3" s="1"/>
  <c r="F275" i="3"/>
  <c r="F274" i="3"/>
  <c r="K274" i="3" s="1"/>
  <c r="F273" i="3"/>
  <c r="K273" i="3" s="1"/>
  <c r="F272" i="3"/>
  <c r="G272" i="3" s="1"/>
  <c r="F271" i="3"/>
  <c r="I271" i="3" s="1"/>
  <c r="F270" i="3"/>
  <c r="H270" i="3" s="1"/>
  <c r="F269" i="3"/>
  <c r="H269" i="3" s="1"/>
  <c r="F268" i="3"/>
  <c r="F267" i="3"/>
  <c r="L267" i="3" s="1"/>
  <c r="F266" i="3"/>
  <c r="F265" i="3"/>
  <c r="G265" i="3" s="1"/>
  <c r="F264" i="3"/>
  <c r="J264" i="3" s="1"/>
  <c r="F263" i="3"/>
  <c r="F262" i="3"/>
  <c r="K262" i="3" s="1"/>
  <c r="F261" i="3"/>
  <c r="K261" i="3" s="1"/>
  <c r="F260" i="3"/>
  <c r="H260" i="3" s="1"/>
  <c r="F259" i="3"/>
  <c r="I259" i="3" s="1"/>
  <c r="F258" i="3"/>
  <c r="H258" i="3" s="1"/>
  <c r="F257" i="3"/>
  <c r="F256" i="3"/>
  <c r="F255" i="3"/>
  <c r="L255" i="3" s="1"/>
  <c r="F254" i="3"/>
  <c r="F253" i="3"/>
  <c r="G253" i="3" s="1"/>
  <c r="F252" i="3"/>
  <c r="G252" i="3" s="1"/>
  <c r="F251" i="3"/>
  <c r="I251" i="3" s="1"/>
  <c r="F250" i="3"/>
  <c r="K250" i="3" s="1"/>
  <c r="F249" i="3"/>
  <c r="K249" i="3" s="1"/>
  <c r="F248" i="3"/>
  <c r="L248" i="3" s="1"/>
  <c r="F247" i="3"/>
  <c r="F246" i="3"/>
  <c r="H246" i="3" s="1"/>
  <c r="F245" i="3"/>
  <c r="K245" i="3" s="1"/>
  <c r="F244" i="3"/>
  <c r="F243" i="3"/>
  <c r="L243" i="3" s="1"/>
  <c r="F242" i="3"/>
  <c r="F241" i="3"/>
  <c r="G241" i="3" s="1"/>
  <c r="F240" i="3"/>
  <c r="F239" i="3"/>
  <c r="F238" i="3"/>
  <c r="K238" i="3" s="1"/>
  <c r="F237" i="3"/>
  <c r="K237" i="3" s="1"/>
  <c r="F236" i="3"/>
  <c r="G236" i="3" s="1"/>
  <c r="F235" i="3"/>
  <c r="F234" i="3"/>
  <c r="G234" i="3" s="1"/>
  <c r="F233" i="3"/>
  <c r="G233" i="3" s="1"/>
  <c r="F232" i="3"/>
  <c r="K232" i="3" s="1"/>
  <c r="F231" i="3"/>
  <c r="L231" i="3" s="1"/>
  <c r="F230" i="3"/>
  <c r="H230" i="3" s="1"/>
  <c r="F229" i="3"/>
  <c r="G229" i="3" s="1"/>
  <c r="F228" i="3"/>
  <c r="F227" i="3"/>
  <c r="I227" i="3" s="1"/>
  <c r="F226" i="3"/>
  <c r="L226" i="3" s="1"/>
  <c r="F225" i="3"/>
  <c r="L225" i="3" s="1"/>
  <c r="F224" i="3"/>
  <c r="J224" i="3" s="1"/>
  <c r="F223" i="3"/>
  <c r="F222" i="3"/>
  <c r="H222" i="3" s="1"/>
  <c r="F221" i="3"/>
  <c r="K221" i="3" s="1"/>
  <c r="F220" i="3"/>
  <c r="F219" i="3"/>
  <c r="K219" i="3" s="1"/>
  <c r="F218" i="3"/>
  <c r="F217" i="3"/>
  <c r="G217" i="3" s="1"/>
  <c r="F216" i="3"/>
  <c r="F215" i="3"/>
  <c r="F214" i="3"/>
  <c r="F213" i="3"/>
  <c r="L213" i="3" s="1"/>
  <c r="F212" i="3"/>
  <c r="J212" i="3" s="1"/>
  <c r="F211" i="3"/>
  <c r="G211" i="3" s="1"/>
  <c r="F210" i="3"/>
  <c r="H210" i="3" s="1"/>
  <c r="F209" i="3"/>
  <c r="K209" i="3" s="1"/>
  <c r="F208" i="3"/>
  <c r="F207" i="3"/>
  <c r="K207" i="3" s="1"/>
  <c r="F206" i="3"/>
  <c r="F205" i="3"/>
  <c r="G205" i="3" s="1"/>
  <c r="F204" i="3"/>
  <c r="F203" i="3"/>
  <c r="F202" i="3"/>
  <c r="F201" i="3"/>
  <c r="F200" i="3"/>
  <c r="H200" i="3" s="1"/>
  <c r="F199" i="3"/>
  <c r="F198" i="3"/>
  <c r="H198" i="3" s="1"/>
  <c r="F197" i="3"/>
  <c r="K197" i="3" s="1"/>
  <c r="F196" i="3"/>
  <c r="F195" i="3"/>
  <c r="K195" i="3" s="1"/>
  <c r="F194" i="3"/>
  <c r="F193" i="3"/>
  <c r="G193" i="3" s="1"/>
  <c r="F192" i="3"/>
  <c r="F191" i="3"/>
  <c r="L191" i="3" s="1"/>
  <c r="F190" i="3"/>
  <c r="F189" i="3"/>
  <c r="F188" i="3"/>
  <c r="J188" i="3" s="1"/>
  <c r="F187" i="3"/>
  <c r="F186" i="3"/>
  <c r="L186" i="3" s="1"/>
  <c r="F185" i="3"/>
  <c r="L185" i="3" s="1"/>
  <c r="F184" i="3"/>
  <c r="F183" i="3"/>
  <c r="L183" i="3" s="1"/>
  <c r="F182" i="3"/>
  <c r="F181" i="3"/>
  <c r="G181" i="3" s="1"/>
  <c r="F180" i="3"/>
  <c r="F179" i="3"/>
  <c r="G179" i="3" s="1"/>
  <c r="F178" i="3"/>
  <c r="F177" i="3"/>
  <c r="F176" i="3"/>
  <c r="L176" i="3" s="1"/>
  <c r="F175" i="3"/>
  <c r="F174" i="3"/>
  <c r="F173" i="3"/>
  <c r="F172" i="3"/>
  <c r="K172" i="3" s="1"/>
  <c r="F171" i="3"/>
  <c r="F170" i="3"/>
  <c r="F169" i="3"/>
  <c r="G169" i="3" s="1"/>
  <c r="F168" i="3"/>
  <c r="F167" i="3"/>
  <c r="J167" i="3" s="1"/>
  <c r="F166" i="3"/>
  <c r="I166" i="3" s="1"/>
  <c r="F165" i="3"/>
  <c r="K165" i="3" s="1"/>
  <c r="F164" i="3"/>
  <c r="J164" i="3" s="1"/>
  <c r="F163" i="3"/>
  <c r="F162" i="3"/>
  <c r="G162" i="3" s="1"/>
  <c r="F161" i="3"/>
  <c r="J161" i="3" s="1"/>
  <c r="F160" i="3"/>
  <c r="F159" i="3"/>
  <c r="I159" i="3" s="1"/>
  <c r="F158" i="3"/>
  <c r="F157" i="3"/>
  <c r="K157" i="3" s="1"/>
  <c r="F156" i="3"/>
  <c r="F155" i="3"/>
  <c r="H155" i="3" s="1"/>
  <c r="F154" i="3"/>
  <c r="H154" i="3" s="1"/>
  <c r="F153" i="3"/>
  <c r="F152" i="3"/>
  <c r="F151" i="3"/>
  <c r="F150" i="3"/>
  <c r="H150" i="3" s="1"/>
  <c r="F149" i="3"/>
  <c r="F148" i="3"/>
  <c r="F147" i="3"/>
  <c r="I147" i="3" s="1"/>
  <c r="F146" i="3"/>
  <c r="H146" i="3" s="1"/>
  <c r="F145" i="3"/>
  <c r="L145" i="3" s="1"/>
  <c r="F144" i="3"/>
  <c r="H144" i="3" s="1"/>
  <c r="F143" i="3"/>
  <c r="L143" i="3" s="1"/>
  <c r="F142" i="3"/>
  <c r="I142" i="3" s="1"/>
  <c r="F141" i="3"/>
  <c r="F140" i="3"/>
  <c r="I140" i="3" s="1"/>
  <c r="F139" i="3"/>
  <c r="F138" i="3"/>
  <c r="K138" i="3" s="1"/>
  <c r="F137" i="3"/>
  <c r="L137" i="3" s="1"/>
  <c r="F136" i="3"/>
  <c r="L136" i="3" s="1"/>
  <c r="F135" i="3"/>
  <c r="L135" i="3" s="1"/>
  <c r="F134" i="3"/>
  <c r="L134" i="3" s="1"/>
  <c r="F133" i="3"/>
  <c r="L133" i="3" s="1"/>
  <c r="F132" i="3"/>
  <c r="F131" i="3"/>
  <c r="G131" i="3" s="1"/>
  <c r="F130" i="3"/>
  <c r="J130" i="3" s="1"/>
  <c r="F129" i="3"/>
  <c r="F128" i="3"/>
  <c r="J128" i="3" s="1"/>
  <c r="F127" i="3"/>
  <c r="F126" i="3"/>
  <c r="F125" i="3"/>
  <c r="L125" i="3" s="1"/>
  <c r="F124" i="3"/>
  <c r="L124" i="3" s="1"/>
  <c r="F123" i="3"/>
  <c r="L123" i="3" s="1"/>
  <c r="F122" i="3"/>
  <c r="L122" i="3" s="1"/>
  <c r="F121" i="3"/>
  <c r="L121" i="3" s="1"/>
  <c r="F120" i="3"/>
  <c r="F119" i="3"/>
  <c r="G119" i="3" s="1"/>
  <c r="F118" i="3"/>
  <c r="K118" i="3" s="1"/>
  <c r="F117" i="3"/>
  <c r="F116" i="3"/>
  <c r="F115" i="3"/>
  <c r="F114" i="3"/>
  <c r="H114" i="3" s="1"/>
  <c r="F113" i="3"/>
  <c r="L113" i="3" s="1"/>
  <c r="F112" i="3"/>
  <c r="J112" i="3" s="1"/>
  <c r="F111" i="3"/>
  <c r="L111" i="3" s="1"/>
  <c r="F110" i="3"/>
  <c r="H110" i="3" s="1"/>
  <c r="F109" i="3"/>
  <c r="L109" i="3" s="1"/>
  <c r="F108" i="3"/>
  <c r="H108" i="3" s="1"/>
  <c r="F107" i="3"/>
  <c r="F106" i="3"/>
  <c r="L106" i="3" s="1"/>
  <c r="F105" i="3"/>
  <c r="L105" i="3" s="1"/>
  <c r="F104" i="3"/>
  <c r="L104" i="3" s="1"/>
  <c r="F103" i="3"/>
  <c r="J103" i="3" s="1"/>
  <c r="F102" i="3"/>
  <c r="L102" i="3" s="1"/>
  <c r="F101" i="3"/>
  <c r="L101" i="3" s="1"/>
  <c r="F100" i="3"/>
  <c r="G100" i="3" s="1"/>
  <c r="F99" i="3"/>
  <c r="F98" i="3"/>
  <c r="I98" i="3" s="1"/>
  <c r="F97" i="3"/>
  <c r="J97" i="3" s="1"/>
  <c r="F96" i="3"/>
  <c r="K96" i="3" s="1"/>
  <c r="F95" i="3"/>
  <c r="L95" i="3" s="1"/>
  <c r="F94" i="3"/>
  <c r="F93" i="3"/>
  <c r="H93" i="3" s="1"/>
  <c r="F92" i="3"/>
  <c r="K92" i="3" s="1"/>
  <c r="F91" i="3"/>
  <c r="H91" i="3" s="1"/>
  <c r="F90" i="3"/>
  <c r="H90" i="3" s="1"/>
  <c r="F89" i="3"/>
  <c r="F88" i="3"/>
  <c r="L88" i="3" s="1"/>
  <c r="F87" i="3"/>
  <c r="L87" i="3" s="1"/>
  <c r="F86" i="3"/>
  <c r="L86" i="3" s="1"/>
  <c r="F85" i="3"/>
  <c r="G85" i="3" s="1"/>
  <c r="F84" i="3"/>
  <c r="L84" i="3" s="1"/>
  <c r="F83" i="3"/>
  <c r="I83" i="3" s="1"/>
  <c r="F82" i="3"/>
  <c r="H82" i="3" s="1"/>
  <c r="F81" i="3"/>
  <c r="F80" i="3"/>
  <c r="J80" i="3" s="1"/>
  <c r="F79" i="3"/>
  <c r="L79" i="3" s="1"/>
  <c r="F78" i="3"/>
  <c r="H78" i="3" s="1"/>
  <c r="F77" i="3"/>
  <c r="L77" i="3" s="1"/>
  <c r="F76" i="3"/>
  <c r="J76" i="3" s="1"/>
  <c r="F75" i="3"/>
  <c r="L75" i="3" s="1"/>
  <c r="F74" i="3"/>
  <c r="L74" i="3" s="1"/>
  <c r="F73" i="3"/>
  <c r="G73" i="3" s="1"/>
  <c r="F72" i="3"/>
  <c r="L72" i="3" s="1"/>
  <c r="F71" i="3"/>
  <c r="I71" i="3" s="1"/>
  <c r="F70" i="3"/>
  <c r="L70" i="3" s="1"/>
  <c r="F69" i="3"/>
  <c r="K69" i="3" s="1"/>
  <c r="F68" i="3"/>
  <c r="L68" i="3" s="1"/>
  <c r="F67" i="3"/>
  <c r="L67" i="3" s="1"/>
  <c r="F66" i="3"/>
  <c r="H66" i="3" s="1"/>
  <c r="F65" i="3"/>
  <c r="L65" i="3" s="1"/>
  <c r="F64" i="3"/>
  <c r="J64" i="3" s="1"/>
  <c r="F63" i="3"/>
  <c r="H63" i="3" s="1"/>
  <c r="F62" i="3"/>
  <c r="L62" i="3" s="1"/>
  <c r="F61" i="3"/>
  <c r="G61" i="3" s="1"/>
  <c r="F60" i="3"/>
  <c r="L60" i="3" s="1"/>
  <c r="F59" i="3"/>
  <c r="I59" i="3" s="1"/>
  <c r="F58" i="3"/>
  <c r="G58" i="3" s="1"/>
  <c r="F57" i="3"/>
  <c r="K57" i="3" s="1"/>
  <c r="F56" i="3"/>
  <c r="L56" i="3" s="1"/>
  <c r="F55" i="3"/>
  <c r="L55" i="3" s="1"/>
  <c r="F54" i="3"/>
  <c r="H54" i="3" s="1"/>
  <c r="F53" i="3"/>
  <c r="L53" i="3" s="1"/>
  <c r="F52" i="3"/>
  <c r="J52" i="3" s="1"/>
  <c r="F51" i="3"/>
  <c r="I51" i="3" s="1"/>
  <c r="F50" i="3"/>
  <c r="L50" i="3" s="1"/>
  <c r="F49" i="3"/>
  <c r="G49" i="3" s="1"/>
  <c r="F48" i="3"/>
  <c r="L48" i="3" s="1"/>
  <c r="F47" i="3"/>
  <c r="I47" i="3" s="1"/>
  <c r="F46" i="3"/>
  <c r="L46" i="3" s="1"/>
  <c r="F45" i="3"/>
  <c r="K45" i="3" s="1"/>
  <c r="F44" i="3"/>
  <c r="G44" i="3" s="1"/>
  <c r="F43" i="3"/>
  <c r="L43" i="3" s="1"/>
  <c r="F42" i="3"/>
  <c r="H42" i="3" s="1"/>
  <c r="F41" i="3"/>
  <c r="L41" i="3" s="1"/>
  <c r="F40" i="3"/>
  <c r="J40" i="3" s="1"/>
  <c r="F39" i="3"/>
  <c r="L39" i="3" s="1"/>
  <c r="F38" i="3"/>
  <c r="L38" i="3" s="1"/>
  <c r="F37" i="3"/>
  <c r="G37" i="3" s="1"/>
  <c r="F36" i="3"/>
  <c r="L36" i="3" s="1"/>
  <c r="F35" i="3"/>
  <c r="I35" i="3" s="1"/>
  <c r="F34" i="3"/>
  <c r="H34" i="3" s="1"/>
  <c r="F33" i="3"/>
  <c r="K33" i="3" s="1"/>
  <c r="F32" i="3"/>
  <c r="K32" i="3" s="1"/>
  <c r="F31" i="3"/>
  <c r="L31" i="3" s="1"/>
  <c r="F30" i="3"/>
  <c r="H30" i="3" s="1"/>
  <c r="F29" i="3"/>
  <c r="L29" i="3" s="1"/>
  <c r="F28" i="3"/>
  <c r="J28" i="3" s="1"/>
  <c r="F27" i="3"/>
  <c r="H27" i="3" s="1"/>
  <c r="F26" i="3"/>
  <c r="L26" i="3" s="1"/>
  <c r="F25" i="3"/>
  <c r="G25" i="3" s="1"/>
  <c r="F24" i="3"/>
  <c r="L24" i="3" s="1"/>
  <c r="F23" i="3"/>
  <c r="I23" i="3" s="1"/>
  <c r="F22" i="3"/>
  <c r="J22" i="3" s="1"/>
  <c r="F21" i="3"/>
  <c r="K21" i="3" s="1"/>
  <c r="F20" i="3"/>
  <c r="L20" i="3" s="1"/>
  <c r="F19" i="3"/>
  <c r="L19" i="3" s="1"/>
  <c r="F18" i="3"/>
  <c r="H18" i="3" s="1"/>
  <c r="F17" i="3"/>
  <c r="L17" i="3" s="1"/>
  <c r="F16" i="3"/>
  <c r="J16" i="3" s="1"/>
  <c r="F15" i="3"/>
  <c r="L15" i="3" s="1"/>
  <c r="F14" i="3"/>
  <c r="L14" i="3" s="1"/>
  <c r="F13" i="3"/>
  <c r="G13" i="3" s="1"/>
  <c r="F12" i="3"/>
  <c r="L12" i="3" s="1"/>
  <c r="F11" i="3"/>
  <c r="I11" i="3" s="1"/>
  <c r="F10" i="3"/>
  <c r="G10" i="3" s="1"/>
  <c r="F9" i="3"/>
  <c r="K9" i="3" s="1"/>
  <c r="F8" i="3"/>
  <c r="L8" i="3" s="1"/>
  <c r="F7" i="3"/>
  <c r="L7" i="3" s="1"/>
  <c r="F6" i="3"/>
  <c r="H6" i="3" s="1"/>
  <c r="F5" i="3"/>
  <c r="L5" i="3" s="1"/>
  <c r="F4" i="3"/>
  <c r="J4" i="3" s="1"/>
  <c r="F3" i="3"/>
  <c r="I3" i="3" s="1"/>
  <c r="L2" i="3"/>
  <c r="K2" i="3"/>
  <c r="J2" i="3"/>
  <c r="I2" i="3"/>
  <c r="H2" i="3"/>
  <c r="G2" i="3"/>
  <c r="F2" i="3"/>
  <c r="A1" i="4"/>
  <c r="AE316" i="2"/>
  <c r="AH316" i="2"/>
  <c r="AE317" i="2"/>
  <c r="AL317" i="2"/>
  <c r="AH317" i="2"/>
  <c r="AE318" i="2"/>
  <c r="AL318" i="2"/>
  <c r="AH318" i="2"/>
  <c r="AE319" i="2"/>
  <c r="AL319" i="2"/>
  <c r="AH319" i="2"/>
  <c r="AE320" i="2"/>
  <c r="AL320" i="2"/>
  <c r="AH320" i="2"/>
  <c r="AE321" i="2"/>
  <c r="AL321" i="2"/>
  <c r="AH321" i="2"/>
  <c r="AE322" i="2"/>
  <c r="AL322" i="2"/>
  <c r="AH322" i="2"/>
  <c r="AE323" i="2"/>
  <c r="AL323" i="2"/>
  <c r="AH323" i="2"/>
  <c r="AE324" i="2"/>
  <c r="AH324" i="2"/>
  <c r="AH325" i="2"/>
  <c r="AL326" i="2"/>
  <c r="AH326" i="2"/>
  <c r="AL327" i="2"/>
  <c r="AH327" i="2"/>
  <c r="AH328" i="2"/>
  <c r="AL329" i="2"/>
  <c r="AH329" i="2"/>
  <c r="AE330" i="2"/>
  <c r="AL330" i="2"/>
  <c r="AH330" i="2"/>
  <c r="AH331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5" i="2"/>
  <c r="M336" i="2"/>
  <c r="M337" i="2"/>
  <c r="M338" i="2"/>
  <c r="AI330" i="2" l="1"/>
  <c r="AI329" i="2"/>
  <c r="AI331" i="2"/>
  <c r="AI328" i="2"/>
  <c r="AL331" i="2"/>
  <c r="AI319" i="2"/>
  <c r="K320" i="3"/>
  <c r="J454" i="3"/>
  <c r="K146" i="3"/>
  <c r="L146" i="3"/>
  <c r="L454" i="3"/>
  <c r="I101" i="3"/>
  <c r="K255" i="3"/>
  <c r="J329" i="3"/>
  <c r="G274" i="3"/>
  <c r="L249" i="3"/>
  <c r="K337" i="3"/>
  <c r="G114" i="3"/>
  <c r="J14" i="3"/>
  <c r="K25" i="3"/>
  <c r="L25" i="3"/>
  <c r="L47" i="3"/>
  <c r="J200" i="3"/>
  <c r="K265" i="3"/>
  <c r="H274" i="3"/>
  <c r="G354" i="3"/>
  <c r="L265" i="3"/>
  <c r="I224" i="3"/>
  <c r="K236" i="3"/>
  <c r="I42" i="3"/>
  <c r="L236" i="3"/>
  <c r="L499" i="3"/>
  <c r="AI326" i="2"/>
  <c r="AL328" i="2"/>
  <c r="AI327" i="2"/>
  <c r="G285" i="3"/>
  <c r="K78" i="3"/>
  <c r="I229" i="3"/>
  <c r="G321" i="3"/>
  <c r="H37" i="3"/>
  <c r="I198" i="3"/>
  <c r="I205" i="3"/>
  <c r="L486" i="3"/>
  <c r="I37" i="3"/>
  <c r="L128" i="3"/>
  <c r="K79" i="3"/>
  <c r="H238" i="3"/>
  <c r="L287" i="3"/>
  <c r="K44" i="3"/>
  <c r="L52" i="3"/>
  <c r="H61" i="3"/>
  <c r="H179" i="3"/>
  <c r="G186" i="3"/>
  <c r="L232" i="3"/>
  <c r="I246" i="3"/>
  <c r="G333" i="3"/>
  <c r="K370" i="3"/>
  <c r="I432" i="3"/>
  <c r="H443" i="3"/>
  <c r="L450" i="3"/>
  <c r="I479" i="3"/>
  <c r="L494" i="3"/>
  <c r="I85" i="3"/>
  <c r="H159" i="3"/>
  <c r="J185" i="3"/>
  <c r="L222" i="3"/>
  <c r="J370" i="3"/>
  <c r="L30" i="3"/>
  <c r="L44" i="3"/>
  <c r="L80" i="3"/>
  <c r="K161" i="3"/>
  <c r="L169" i="3"/>
  <c r="K179" i="3"/>
  <c r="H186" i="3"/>
  <c r="I200" i="3"/>
  <c r="H224" i="3"/>
  <c r="L246" i="3"/>
  <c r="H253" i="3"/>
  <c r="I270" i="3"/>
  <c r="L370" i="3"/>
  <c r="I443" i="3"/>
  <c r="H459" i="3"/>
  <c r="K59" i="3"/>
  <c r="K97" i="3"/>
  <c r="G159" i="3"/>
  <c r="G238" i="3"/>
  <c r="J251" i="3"/>
  <c r="K287" i="3"/>
  <c r="K304" i="3"/>
  <c r="J332" i="3"/>
  <c r="I370" i="3"/>
  <c r="J494" i="3"/>
  <c r="J44" i="3"/>
  <c r="L341" i="3"/>
  <c r="K494" i="3"/>
  <c r="L179" i="3"/>
  <c r="I186" i="3"/>
  <c r="L334" i="3"/>
  <c r="I459" i="3"/>
  <c r="K490" i="3"/>
  <c r="K166" i="3"/>
  <c r="H313" i="3"/>
  <c r="K449" i="3"/>
  <c r="H486" i="3"/>
  <c r="H44" i="3"/>
  <c r="L78" i="3"/>
  <c r="L386" i="3"/>
  <c r="I410" i="3"/>
  <c r="L37" i="3"/>
  <c r="K450" i="3"/>
  <c r="K40" i="3"/>
  <c r="J144" i="3"/>
  <c r="J186" i="3"/>
  <c r="H193" i="3"/>
  <c r="K200" i="3"/>
  <c r="J210" i="3"/>
  <c r="I217" i="3"/>
  <c r="I241" i="3"/>
  <c r="L299" i="3"/>
  <c r="L354" i="3"/>
  <c r="G382" i="3"/>
  <c r="L459" i="3"/>
  <c r="K104" i="3"/>
  <c r="G494" i="3"/>
  <c r="I303" i="3"/>
  <c r="K430" i="3"/>
  <c r="I188" i="3"/>
  <c r="I313" i="3"/>
  <c r="L430" i="3"/>
  <c r="I494" i="3"/>
  <c r="K167" i="3"/>
  <c r="J198" i="3"/>
  <c r="H296" i="3"/>
  <c r="H450" i="3"/>
  <c r="I296" i="3"/>
  <c r="L379" i="3"/>
  <c r="G55" i="3"/>
  <c r="K186" i="3"/>
  <c r="K210" i="3"/>
  <c r="L217" i="3"/>
  <c r="J241" i="3"/>
  <c r="I255" i="3"/>
  <c r="H366" i="3"/>
  <c r="J430" i="3"/>
  <c r="H188" i="3"/>
  <c r="K212" i="3"/>
  <c r="J243" i="3"/>
  <c r="G250" i="3"/>
  <c r="L69" i="3"/>
  <c r="H185" i="3"/>
  <c r="L212" i="3"/>
  <c r="I44" i="3"/>
  <c r="J47" i="3"/>
  <c r="H76" i="3"/>
  <c r="H103" i="3"/>
  <c r="I124" i="3"/>
  <c r="H236" i="3"/>
  <c r="L241" i="3"/>
  <c r="G249" i="3"/>
  <c r="J255" i="3"/>
  <c r="K292" i="3"/>
  <c r="G320" i="3"/>
  <c r="G346" i="3"/>
  <c r="K366" i="3"/>
  <c r="L383" i="3"/>
  <c r="I454" i="3"/>
  <c r="L32" i="3"/>
  <c r="J172" i="3"/>
  <c r="J311" i="3"/>
  <c r="H351" i="3"/>
  <c r="L419" i="3"/>
  <c r="K4" i="3"/>
  <c r="J11" i="3"/>
  <c r="J38" i="3"/>
  <c r="I73" i="3"/>
  <c r="I105" i="3"/>
  <c r="H143" i="3"/>
  <c r="H162" i="3"/>
  <c r="L197" i="3"/>
  <c r="H233" i="3"/>
  <c r="J252" i="3"/>
  <c r="G259" i="3"/>
  <c r="I272" i="3"/>
  <c r="H277" i="3"/>
  <c r="G284" i="3"/>
  <c r="I306" i="3"/>
  <c r="I351" i="3"/>
  <c r="G394" i="3"/>
  <c r="H399" i="3"/>
  <c r="K406" i="3"/>
  <c r="G426" i="3"/>
  <c r="H439" i="3"/>
  <c r="K473" i="3"/>
  <c r="I483" i="3"/>
  <c r="G378" i="3"/>
  <c r="L4" i="3"/>
  <c r="K11" i="3"/>
  <c r="I33" i="3"/>
  <c r="H52" i="3"/>
  <c r="G59" i="3"/>
  <c r="K73" i="3"/>
  <c r="G79" i="3"/>
  <c r="J105" i="3"/>
  <c r="H130" i="3"/>
  <c r="I143" i="3"/>
  <c r="I162" i="3"/>
  <c r="H167" i="3"/>
  <c r="L200" i="3"/>
  <c r="J222" i="3"/>
  <c r="I233" i="3"/>
  <c r="J272" i="3"/>
  <c r="I277" i="3"/>
  <c r="H284" i="3"/>
  <c r="J306" i="3"/>
  <c r="K323" i="3"/>
  <c r="J336" i="3"/>
  <c r="I343" i="3"/>
  <c r="J351" i="3"/>
  <c r="H379" i="3"/>
  <c r="G385" i="3"/>
  <c r="H394" i="3"/>
  <c r="I399" i="3"/>
  <c r="L406" i="3"/>
  <c r="J413" i="3"/>
  <c r="K426" i="3"/>
  <c r="J439" i="3"/>
  <c r="J456" i="3"/>
  <c r="J461" i="3"/>
  <c r="J483" i="3"/>
  <c r="H490" i="3"/>
  <c r="H4" i="3"/>
  <c r="H272" i="3"/>
  <c r="G294" i="3"/>
  <c r="L466" i="3"/>
  <c r="L11" i="3"/>
  <c r="G20" i="3"/>
  <c r="K52" i="3"/>
  <c r="J59" i="3"/>
  <c r="K66" i="3"/>
  <c r="L73" i="3"/>
  <c r="H79" i="3"/>
  <c r="H85" i="3"/>
  <c r="K105" i="3"/>
  <c r="L130" i="3"/>
  <c r="J143" i="3"/>
  <c r="J162" i="3"/>
  <c r="I167" i="3"/>
  <c r="K222" i="3"/>
  <c r="K233" i="3"/>
  <c r="K272" i="3"/>
  <c r="J277" i="3"/>
  <c r="I284" i="3"/>
  <c r="K306" i="3"/>
  <c r="L323" i="3"/>
  <c r="K351" i="3"/>
  <c r="I379" i="3"/>
  <c r="I394" i="3"/>
  <c r="J399" i="3"/>
  <c r="K413" i="3"/>
  <c r="L426" i="3"/>
  <c r="L439" i="3"/>
  <c r="L446" i="3"/>
  <c r="K483" i="3"/>
  <c r="J490" i="3"/>
  <c r="G143" i="3"/>
  <c r="H197" i="3"/>
  <c r="J284" i="3"/>
  <c r="L21" i="3"/>
  <c r="L59" i="3"/>
  <c r="K85" i="3"/>
  <c r="J101" i="3"/>
  <c r="J131" i="3"/>
  <c r="J159" i="3"/>
  <c r="L162" i="3"/>
  <c r="L167" i="3"/>
  <c r="I193" i="3"/>
  <c r="K198" i="3"/>
  <c r="L210" i="3"/>
  <c r="J229" i="3"/>
  <c r="I238" i="3"/>
  <c r="G269" i="3"/>
  <c r="L277" i="3"/>
  <c r="K284" i="3"/>
  <c r="H291" i="3"/>
  <c r="J296" i="3"/>
  <c r="J303" i="3"/>
  <c r="J313" i="3"/>
  <c r="H320" i="3"/>
  <c r="K332" i="3"/>
  <c r="L366" i="3"/>
  <c r="K394" i="3"/>
  <c r="L399" i="3"/>
  <c r="H414" i="3"/>
  <c r="H423" i="3"/>
  <c r="I427" i="3"/>
  <c r="J432" i="3"/>
  <c r="G458" i="3"/>
  <c r="H463" i="3"/>
  <c r="G470" i="3"/>
  <c r="L490" i="3"/>
  <c r="K18" i="3"/>
  <c r="G83" i="3"/>
  <c r="K143" i="3"/>
  <c r="K162" i="3"/>
  <c r="G7" i="3"/>
  <c r="J30" i="3"/>
  <c r="G68" i="3"/>
  <c r="I80" i="3"/>
  <c r="L85" i="3"/>
  <c r="L131" i="3"/>
  <c r="J140" i="3"/>
  <c r="I144" i="3"/>
  <c r="K159" i="3"/>
  <c r="L193" i="3"/>
  <c r="L198" i="3"/>
  <c r="K229" i="3"/>
  <c r="J238" i="3"/>
  <c r="K291" i="3"/>
  <c r="K296" i="3"/>
  <c r="K303" i="3"/>
  <c r="K313" i="3"/>
  <c r="I320" i="3"/>
  <c r="L332" i="3"/>
  <c r="L394" i="3"/>
  <c r="I423" i="3"/>
  <c r="G454" i="3"/>
  <c r="H458" i="3"/>
  <c r="I463" i="3"/>
  <c r="I470" i="3"/>
  <c r="L272" i="3"/>
  <c r="K277" i="3"/>
  <c r="L306" i="3"/>
  <c r="L351" i="3"/>
  <c r="K399" i="3"/>
  <c r="L483" i="3"/>
  <c r="K7" i="3"/>
  <c r="K30" i="3"/>
  <c r="K80" i="3"/>
  <c r="L159" i="3"/>
  <c r="L229" i="3"/>
  <c r="L238" i="3"/>
  <c r="L296" i="3"/>
  <c r="G308" i="3"/>
  <c r="L313" i="3"/>
  <c r="J320" i="3"/>
  <c r="H367" i="3"/>
  <c r="H410" i="3"/>
  <c r="J423" i="3"/>
  <c r="J449" i="3"/>
  <c r="H454" i="3"/>
  <c r="J463" i="3"/>
  <c r="K470" i="3"/>
  <c r="H491" i="3"/>
  <c r="K423" i="3"/>
  <c r="L463" i="3"/>
  <c r="L470" i="3"/>
  <c r="G11" i="3"/>
  <c r="G306" i="3"/>
  <c r="I444" i="3"/>
  <c r="J37" i="3"/>
  <c r="K55" i="3"/>
  <c r="L118" i="3"/>
  <c r="H128" i="3"/>
  <c r="J142" i="3"/>
  <c r="L165" i="3"/>
  <c r="I179" i="3"/>
  <c r="K185" i="3"/>
  <c r="K188" i="3"/>
  <c r="I195" i="3"/>
  <c r="G200" i="3"/>
  <c r="L205" i="3"/>
  <c r="H212" i="3"/>
  <c r="K224" i="3"/>
  <c r="I236" i="3"/>
  <c r="J246" i="3"/>
  <c r="K251" i="3"/>
  <c r="L274" i="3"/>
  <c r="L292" i="3"/>
  <c r="L309" i="3"/>
  <c r="H341" i="3"/>
  <c r="H354" i="3"/>
  <c r="K362" i="3"/>
  <c r="J396" i="3"/>
  <c r="K410" i="3"/>
  <c r="L423" i="3"/>
  <c r="G430" i="3"/>
  <c r="I25" i="3"/>
  <c r="G31" i="3"/>
  <c r="K37" i="3"/>
  <c r="J62" i="3"/>
  <c r="J78" i="3"/>
  <c r="H97" i="3"/>
  <c r="G104" i="3"/>
  <c r="K128" i="3"/>
  <c r="K134" i="3"/>
  <c r="K142" i="3"/>
  <c r="I155" i="3"/>
  <c r="I161" i="3"/>
  <c r="J179" i="3"/>
  <c r="L188" i="3"/>
  <c r="I212" i="3"/>
  <c r="H219" i="3"/>
  <c r="L224" i="3"/>
  <c r="J236" i="3"/>
  <c r="K246" i="3"/>
  <c r="L251" i="3"/>
  <c r="J265" i="3"/>
  <c r="G315" i="3"/>
  <c r="I334" i="3"/>
  <c r="K341" i="3"/>
  <c r="K354" i="3"/>
  <c r="L362" i="3"/>
  <c r="I383" i="3"/>
  <c r="L410" i="3"/>
  <c r="H418" i="3"/>
  <c r="I430" i="3"/>
  <c r="L443" i="3"/>
  <c r="G450" i="3"/>
  <c r="K459" i="3"/>
  <c r="H471" i="3"/>
  <c r="I499" i="3"/>
  <c r="I275" i="3"/>
  <c r="L275" i="3"/>
  <c r="K275" i="3"/>
  <c r="J374" i="3"/>
  <c r="L374" i="3"/>
  <c r="K374" i="3"/>
  <c r="I374" i="3"/>
  <c r="H374" i="3"/>
  <c r="K467" i="3"/>
  <c r="L467" i="3"/>
  <c r="I467" i="3"/>
  <c r="H467" i="3"/>
  <c r="G8" i="3"/>
  <c r="G19" i="3"/>
  <c r="G56" i="3"/>
  <c r="G67" i="3"/>
  <c r="I90" i="3"/>
  <c r="K93" i="3"/>
  <c r="G122" i="3"/>
  <c r="J132" i="3"/>
  <c r="I132" i="3"/>
  <c r="H178" i="3"/>
  <c r="L178" i="3"/>
  <c r="K178" i="3"/>
  <c r="J178" i="3"/>
  <c r="I178" i="3"/>
  <c r="J183" i="3"/>
  <c r="H191" i="3"/>
  <c r="K223" i="3"/>
  <c r="L223" i="3"/>
  <c r="H223" i="3"/>
  <c r="J275" i="3"/>
  <c r="H282" i="3"/>
  <c r="L282" i="3"/>
  <c r="K282" i="3"/>
  <c r="J282" i="3"/>
  <c r="I282" i="3"/>
  <c r="G282" i="3"/>
  <c r="G374" i="3"/>
  <c r="G387" i="3"/>
  <c r="L387" i="3"/>
  <c r="K387" i="3"/>
  <c r="J387" i="3"/>
  <c r="I387" i="3"/>
  <c r="H387" i="3"/>
  <c r="J474" i="3"/>
  <c r="L474" i="3"/>
  <c r="K474" i="3"/>
  <c r="H474" i="3"/>
  <c r="G474" i="3"/>
  <c r="H56" i="3"/>
  <c r="K67" i="3"/>
  <c r="K81" i="3"/>
  <c r="I81" i="3"/>
  <c r="J90" i="3"/>
  <c r="L94" i="3"/>
  <c r="I94" i="3"/>
  <c r="G94" i="3"/>
  <c r="L148" i="3"/>
  <c r="K148" i="3"/>
  <c r="G178" i="3"/>
  <c r="K183" i="3"/>
  <c r="H207" i="3"/>
  <c r="G223" i="3"/>
  <c r="H234" i="3"/>
  <c r="L234" i="3"/>
  <c r="K234" i="3"/>
  <c r="J234" i="3"/>
  <c r="I234" i="3"/>
  <c r="L349" i="3"/>
  <c r="K349" i="3"/>
  <c r="J349" i="3"/>
  <c r="I8" i="3"/>
  <c r="H16" i="3"/>
  <c r="G23" i="3"/>
  <c r="J26" i="3"/>
  <c r="L33" i="3"/>
  <c r="J42" i="3"/>
  <c r="H49" i="3"/>
  <c r="I56" i="3"/>
  <c r="H64" i="3"/>
  <c r="G71" i="3"/>
  <c r="J74" i="3"/>
  <c r="L81" i="3"/>
  <c r="K90" i="3"/>
  <c r="H94" i="3"/>
  <c r="G140" i="3"/>
  <c r="G155" i="3"/>
  <c r="I172" i="3"/>
  <c r="I207" i="3"/>
  <c r="L260" i="3"/>
  <c r="K260" i="3"/>
  <c r="J260" i="3"/>
  <c r="I260" i="3"/>
  <c r="G260" i="3"/>
  <c r="G447" i="3"/>
  <c r="L447" i="3"/>
  <c r="K447" i="3"/>
  <c r="J447" i="3"/>
  <c r="I447" i="3"/>
  <c r="H447" i="3"/>
  <c r="K116" i="3"/>
  <c r="L116" i="3"/>
  <c r="H8" i="3"/>
  <c r="K42" i="3"/>
  <c r="I49" i="3"/>
  <c r="J56" i="3"/>
  <c r="K64" i="3"/>
  <c r="J71" i="3"/>
  <c r="L90" i="3"/>
  <c r="J94" i="3"/>
  <c r="L163" i="3"/>
  <c r="I163" i="3"/>
  <c r="H163" i="3"/>
  <c r="L207" i="3"/>
  <c r="H300" i="3"/>
  <c r="G300" i="3"/>
  <c r="J390" i="3"/>
  <c r="L390" i="3"/>
  <c r="K390" i="3"/>
  <c r="H390" i="3"/>
  <c r="J8" i="3"/>
  <c r="I6" i="3"/>
  <c r="K8" i="3"/>
  <c r="L16" i="3"/>
  <c r="H20" i="3"/>
  <c r="K23" i="3"/>
  <c r="K31" i="3"/>
  <c r="L42" i="3"/>
  <c r="I45" i="3"/>
  <c r="J49" i="3"/>
  <c r="I54" i="3"/>
  <c r="K56" i="3"/>
  <c r="L64" i="3"/>
  <c r="H68" i="3"/>
  <c r="K71" i="3"/>
  <c r="J86" i="3"/>
  <c r="J91" i="3"/>
  <c r="L91" i="3"/>
  <c r="G91" i="3"/>
  <c r="K94" i="3"/>
  <c r="G98" i="3"/>
  <c r="I103" i="3"/>
  <c r="L107" i="3"/>
  <c r="I107" i="3"/>
  <c r="H107" i="3"/>
  <c r="G107" i="3"/>
  <c r="H119" i="3"/>
  <c r="K140" i="3"/>
  <c r="G150" i="3"/>
  <c r="J155" i="3"/>
  <c r="I219" i="3"/>
  <c r="G289" i="3"/>
  <c r="L289" i="3"/>
  <c r="K289" i="3"/>
  <c r="J289" i="3"/>
  <c r="I289" i="3"/>
  <c r="H318" i="3"/>
  <c r="L318" i="3"/>
  <c r="K318" i="3"/>
  <c r="J318" i="3"/>
  <c r="I318" i="3"/>
  <c r="G318" i="3"/>
  <c r="K355" i="3"/>
  <c r="L355" i="3"/>
  <c r="G390" i="3"/>
  <c r="J434" i="3"/>
  <c r="L434" i="3"/>
  <c r="K434" i="3"/>
  <c r="I434" i="3"/>
  <c r="H434" i="3"/>
  <c r="L478" i="3"/>
  <c r="K478" i="3"/>
  <c r="J478" i="3"/>
  <c r="I478" i="3"/>
  <c r="H478" i="3"/>
  <c r="G478" i="3"/>
  <c r="J6" i="3"/>
  <c r="H13" i="3"/>
  <c r="I20" i="3"/>
  <c r="L23" i="3"/>
  <c r="H28" i="3"/>
  <c r="G35" i="3"/>
  <c r="L45" i="3"/>
  <c r="K49" i="3"/>
  <c r="J54" i="3"/>
  <c r="I68" i="3"/>
  <c r="L71" i="3"/>
  <c r="I99" i="3"/>
  <c r="L99" i="3"/>
  <c r="K103" i="3"/>
  <c r="J107" i="3"/>
  <c r="I119" i="3"/>
  <c r="L140" i="3"/>
  <c r="I150" i="3"/>
  <c r="K155" i="3"/>
  <c r="L168" i="3"/>
  <c r="J168" i="3"/>
  <c r="L219" i="3"/>
  <c r="I239" i="3"/>
  <c r="L239" i="3"/>
  <c r="H289" i="3"/>
  <c r="G403" i="3"/>
  <c r="L403" i="3"/>
  <c r="J403" i="3"/>
  <c r="I403" i="3"/>
  <c r="G434" i="3"/>
  <c r="K16" i="3"/>
  <c r="K6" i="3"/>
  <c r="I13" i="3"/>
  <c r="J20" i="3"/>
  <c r="K28" i="3"/>
  <c r="G32" i="3"/>
  <c r="J35" i="3"/>
  <c r="G43" i="3"/>
  <c r="L49" i="3"/>
  <c r="K54" i="3"/>
  <c r="I61" i="3"/>
  <c r="J68" i="3"/>
  <c r="K76" i="3"/>
  <c r="J83" i="3"/>
  <c r="G87" i="3"/>
  <c r="G92" i="3"/>
  <c r="I92" i="3"/>
  <c r="G95" i="3"/>
  <c r="G99" i="3"/>
  <c r="L103" i="3"/>
  <c r="K107" i="3"/>
  <c r="I114" i="3"/>
  <c r="J119" i="3"/>
  <c r="L126" i="3"/>
  <c r="I126" i="3"/>
  <c r="H126" i="3"/>
  <c r="G126" i="3"/>
  <c r="K136" i="3"/>
  <c r="J150" i="3"/>
  <c r="L155" i="3"/>
  <c r="G168" i="3"/>
  <c r="L174" i="3"/>
  <c r="K174" i="3"/>
  <c r="I174" i="3"/>
  <c r="H174" i="3"/>
  <c r="G174" i="3"/>
  <c r="J239" i="3"/>
  <c r="I263" i="3"/>
  <c r="K263" i="3"/>
  <c r="H403" i="3"/>
  <c r="I497" i="3"/>
  <c r="K497" i="3"/>
  <c r="L6" i="3"/>
  <c r="I9" i="3"/>
  <c r="J13" i="3"/>
  <c r="I18" i="3"/>
  <c r="K20" i="3"/>
  <c r="L28" i="3"/>
  <c r="H32" i="3"/>
  <c r="K35" i="3"/>
  <c r="K43" i="3"/>
  <c r="L54" i="3"/>
  <c r="I57" i="3"/>
  <c r="J61" i="3"/>
  <c r="I66" i="3"/>
  <c r="K68" i="3"/>
  <c r="L76" i="3"/>
  <c r="G80" i="3"/>
  <c r="K83" i="3"/>
  <c r="J88" i="3"/>
  <c r="K88" i="3"/>
  <c r="H92" i="3"/>
  <c r="H95" i="3"/>
  <c r="J99" i="3"/>
  <c r="J114" i="3"/>
  <c r="K119" i="3"/>
  <c r="J126" i="3"/>
  <c r="H131" i="3"/>
  <c r="K150" i="3"/>
  <c r="L156" i="3"/>
  <c r="J156" i="3"/>
  <c r="I156" i="3"/>
  <c r="H156" i="3"/>
  <c r="H166" i="3"/>
  <c r="L166" i="3"/>
  <c r="H168" i="3"/>
  <c r="J174" i="3"/>
  <c r="K239" i="3"/>
  <c r="J263" i="3"/>
  <c r="H480" i="3"/>
  <c r="J480" i="3"/>
  <c r="J497" i="3"/>
  <c r="K19" i="3"/>
  <c r="L9" i="3"/>
  <c r="K13" i="3"/>
  <c r="J18" i="3"/>
  <c r="H25" i="3"/>
  <c r="I32" i="3"/>
  <c r="L35" i="3"/>
  <c r="H40" i="3"/>
  <c r="G47" i="3"/>
  <c r="J50" i="3"/>
  <c r="L57" i="3"/>
  <c r="K61" i="3"/>
  <c r="J66" i="3"/>
  <c r="H73" i="3"/>
  <c r="H80" i="3"/>
  <c r="L83" i="3"/>
  <c r="H88" i="3"/>
  <c r="J92" i="3"/>
  <c r="I95" i="3"/>
  <c r="K99" i="3"/>
  <c r="K114" i="3"/>
  <c r="L119" i="3"/>
  <c r="K126" i="3"/>
  <c r="I131" i="3"/>
  <c r="L150" i="3"/>
  <c r="G156" i="3"/>
  <c r="G166" i="3"/>
  <c r="I168" i="3"/>
  <c r="L180" i="3"/>
  <c r="J180" i="3"/>
  <c r="I180" i="3"/>
  <c r="H180" i="3"/>
  <c r="G180" i="3"/>
  <c r="H195" i="3"/>
  <c r="K199" i="3"/>
  <c r="L199" i="3"/>
  <c r="H199" i="3"/>
  <c r="G199" i="3"/>
  <c r="L263" i="3"/>
  <c r="K359" i="3"/>
  <c r="L359" i="3"/>
  <c r="I359" i="3"/>
  <c r="I437" i="3"/>
  <c r="K437" i="3"/>
  <c r="J437" i="3"/>
  <c r="I480" i="3"/>
  <c r="J23" i="3"/>
  <c r="L13" i="3"/>
  <c r="J32" i="3"/>
  <c r="L61" i="3"/>
  <c r="J95" i="3"/>
  <c r="L114" i="3"/>
  <c r="J120" i="3"/>
  <c r="G120" i="3"/>
  <c r="L138" i="3"/>
  <c r="I138" i="3"/>
  <c r="H138" i="3"/>
  <c r="G138" i="3"/>
  <c r="G325" i="3"/>
  <c r="L325" i="3"/>
  <c r="K325" i="3"/>
  <c r="J325" i="3"/>
  <c r="I325" i="3"/>
  <c r="H325" i="3"/>
  <c r="G339" i="3"/>
  <c r="L339" i="3"/>
  <c r="K339" i="3"/>
  <c r="J339" i="3"/>
  <c r="I339" i="3"/>
  <c r="G487" i="3"/>
  <c r="L487" i="3"/>
  <c r="J487" i="3"/>
  <c r="I487" i="3"/>
  <c r="H487" i="3"/>
  <c r="L18" i="3"/>
  <c r="I21" i="3"/>
  <c r="J25" i="3"/>
  <c r="I30" i="3"/>
  <c r="L40" i="3"/>
  <c r="K47" i="3"/>
  <c r="L66" i="3"/>
  <c r="I69" i="3"/>
  <c r="J73" i="3"/>
  <c r="I78" i="3"/>
  <c r="L89" i="3"/>
  <c r="G89" i="3"/>
  <c r="L92" i="3"/>
  <c r="K95" i="3"/>
  <c r="H105" i="3"/>
  <c r="G105" i="3"/>
  <c r="K131" i="3"/>
  <c r="J138" i="3"/>
  <c r="J152" i="3"/>
  <c r="L152" i="3"/>
  <c r="J166" i="3"/>
  <c r="L195" i="3"/>
  <c r="K211" i="3"/>
  <c r="L211" i="3"/>
  <c r="H211" i="3"/>
  <c r="H339" i="3"/>
  <c r="H420" i="3"/>
  <c r="J420" i="3"/>
  <c r="I420" i="3"/>
  <c r="G270" i="3"/>
  <c r="G330" i="3"/>
  <c r="G342" i="3"/>
  <c r="G352" i="3"/>
  <c r="H363" i="3"/>
  <c r="G398" i="3"/>
  <c r="H407" i="3"/>
  <c r="G414" i="3"/>
  <c r="G418" i="3"/>
  <c r="H427" i="3"/>
  <c r="H330" i="3"/>
  <c r="H342" i="3"/>
  <c r="I363" i="3"/>
  <c r="H398" i="3"/>
  <c r="I407" i="3"/>
  <c r="G498" i="3"/>
  <c r="H250" i="3"/>
  <c r="I253" i="3"/>
  <c r="G267" i="3"/>
  <c r="J270" i="3"/>
  <c r="G276" i="3"/>
  <c r="G279" i="3"/>
  <c r="L285" i="3"/>
  <c r="I294" i="3"/>
  <c r="H301" i="3"/>
  <c r="L304" i="3"/>
  <c r="H308" i="3"/>
  <c r="K311" i="3"/>
  <c r="H315" i="3"/>
  <c r="L321" i="3"/>
  <c r="I330" i="3"/>
  <c r="K336" i="3"/>
  <c r="I342" i="3"/>
  <c r="H346" i="3"/>
  <c r="I360" i="3"/>
  <c r="J363" i="3"/>
  <c r="I367" i="3"/>
  <c r="H371" i="3"/>
  <c r="H378" i="3"/>
  <c r="H382" i="3"/>
  <c r="J385" i="3"/>
  <c r="I398" i="3"/>
  <c r="J401" i="3"/>
  <c r="L407" i="3"/>
  <c r="H411" i="3"/>
  <c r="K414" i="3"/>
  <c r="I418" i="3"/>
  <c r="J427" i="3"/>
  <c r="H431" i="3"/>
  <c r="G438" i="3"/>
  <c r="G442" i="3"/>
  <c r="J444" i="3"/>
  <c r="H451" i="3"/>
  <c r="I458" i="3"/>
  <c r="K461" i="3"/>
  <c r="I471" i="3"/>
  <c r="G482" i="3"/>
  <c r="I491" i="3"/>
  <c r="H498" i="3"/>
  <c r="H209" i="3"/>
  <c r="H221" i="3"/>
  <c r="J227" i="3"/>
  <c r="G237" i="3"/>
  <c r="G245" i="3"/>
  <c r="G248" i="3"/>
  <c r="I250" i="3"/>
  <c r="J253" i="3"/>
  <c r="G258" i="3"/>
  <c r="G264" i="3"/>
  <c r="H267" i="3"/>
  <c r="K270" i="3"/>
  <c r="G273" i="3"/>
  <c r="H276" i="3"/>
  <c r="H279" i="3"/>
  <c r="J294" i="3"/>
  <c r="G297" i="3"/>
  <c r="I301" i="3"/>
  <c r="I308" i="3"/>
  <c r="L311" i="3"/>
  <c r="I315" i="3"/>
  <c r="J330" i="3"/>
  <c r="J342" i="3"/>
  <c r="I346" i="3"/>
  <c r="G350" i="3"/>
  <c r="K353" i="3"/>
  <c r="G358" i="3"/>
  <c r="K363" i="3"/>
  <c r="L367" i="3"/>
  <c r="I371" i="3"/>
  <c r="K378" i="3"/>
  <c r="I382" i="3"/>
  <c r="H391" i="3"/>
  <c r="K398" i="3"/>
  <c r="K401" i="3"/>
  <c r="I411" i="3"/>
  <c r="L414" i="3"/>
  <c r="J418" i="3"/>
  <c r="G422" i="3"/>
  <c r="L427" i="3"/>
  <c r="I431" i="3"/>
  <c r="H438" i="3"/>
  <c r="H442" i="3"/>
  <c r="I451" i="3"/>
  <c r="K458" i="3"/>
  <c r="I468" i="3"/>
  <c r="J471" i="3"/>
  <c r="H482" i="3"/>
  <c r="J485" i="3"/>
  <c r="L491" i="3"/>
  <c r="K498" i="3"/>
  <c r="I209" i="3"/>
  <c r="I221" i="3"/>
  <c r="K227" i="3"/>
  <c r="L237" i="3"/>
  <c r="H245" i="3"/>
  <c r="H248" i="3"/>
  <c r="J250" i="3"/>
  <c r="K253" i="3"/>
  <c r="I258" i="3"/>
  <c r="H264" i="3"/>
  <c r="I267" i="3"/>
  <c r="L270" i="3"/>
  <c r="L273" i="3"/>
  <c r="I279" i="3"/>
  <c r="K294" i="3"/>
  <c r="L297" i="3"/>
  <c r="J301" i="3"/>
  <c r="J308" i="3"/>
  <c r="J315" i="3"/>
  <c r="K330" i="3"/>
  <c r="G334" i="3"/>
  <c r="G337" i="3"/>
  <c r="K342" i="3"/>
  <c r="J346" i="3"/>
  <c r="H350" i="3"/>
  <c r="L353" i="3"/>
  <c r="H358" i="3"/>
  <c r="L363" i="3"/>
  <c r="L371" i="3"/>
  <c r="H375" i="3"/>
  <c r="L378" i="3"/>
  <c r="J382" i="3"/>
  <c r="I391" i="3"/>
  <c r="H395" i="3"/>
  <c r="L398" i="3"/>
  <c r="I408" i="3"/>
  <c r="J411" i="3"/>
  <c r="K418" i="3"/>
  <c r="H422" i="3"/>
  <c r="J425" i="3"/>
  <c r="L431" i="3"/>
  <c r="H435" i="3"/>
  <c r="K438" i="3"/>
  <c r="I442" i="3"/>
  <c r="J451" i="3"/>
  <c r="H455" i="3"/>
  <c r="L458" i="3"/>
  <c r="G462" i="3"/>
  <c r="G466" i="3"/>
  <c r="J468" i="3"/>
  <c r="K471" i="3"/>
  <c r="H475" i="3"/>
  <c r="I482" i="3"/>
  <c r="K485" i="3"/>
  <c r="H495" i="3"/>
  <c r="L498" i="3"/>
  <c r="H104" i="3"/>
  <c r="K130" i="3"/>
  <c r="G142" i="3"/>
  <c r="G167" i="3"/>
  <c r="I185" i="3"/>
  <c r="G188" i="3"/>
  <c r="I197" i="3"/>
  <c r="H205" i="3"/>
  <c r="L209" i="3"/>
  <c r="G212" i="3"/>
  <c r="H217" i="3"/>
  <c r="L221" i="3"/>
  <c r="G224" i="3"/>
  <c r="L227" i="3"/>
  <c r="H241" i="3"/>
  <c r="I245" i="3"/>
  <c r="I248" i="3"/>
  <c r="L253" i="3"/>
  <c r="J258" i="3"/>
  <c r="J267" i="3"/>
  <c r="J279" i="3"/>
  <c r="J287" i="3"/>
  <c r="G291" i="3"/>
  <c r="L294" i="3"/>
  <c r="K301" i="3"/>
  <c r="K308" i="3"/>
  <c r="K315" i="3"/>
  <c r="J323" i="3"/>
  <c r="H334" i="3"/>
  <c r="G341" i="3"/>
  <c r="K346" i="3"/>
  <c r="I358" i="3"/>
  <c r="I375" i="3"/>
  <c r="K382" i="3"/>
  <c r="G386" i="3"/>
  <c r="L391" i="3"/>
  <c r="I395" i="3"/>
  <c r="G402" i="3"/>
  <c r="G406" i="3"/>
  <c r="J408" i="3"/>
  <c r="K411" i="3"/>
  <c r="H415" i="3"/>
  <c r="I422" i="3"/>
  <c r="K425" i="3"/>
  <c r="I435" i="3"/>
  <c r="L438" i="3"/>
  <c r="J442" i="3"/>
  <c r="G446" i="3"/>
  <c r="L451" i="3"/>
  <c r="I455" i="3"/>
  <c r="H462" i="3"/>
  <c r="H466" i="3"/>
  <c r="L471" i="3"/>
  <c r="I475" i="3"/>
  <c r="K482" i="3"/>
  <c r="I492" i="3"/>
  <c r="I495" i="3"/>
  <c r="J248" i="3"/>
  <c r="K258" i="3"/>
  <c r="K267" i="3"/>
  <c r="L301" i="3"/>
  <c r="J358" i="3"/>
  <c r="J375" i="3"/>
  <c r="H386" i="3"/>
  <c r="L395" i="3"/>
  <c r="H402" i="3"/>
  <c r="H406" i="3"/>
  <c r="L411" i="3"/>
  <c r="I415" i="3"/>
  <c r="K422" i="3"/>
  <c r="J435" i="3"/>
  <c r="K442" i="3"/>
  <c r="H446" i="3"/>
  <c r="L455" i="3"/>
  <c r="K462" i="3"/>
  <c r="I466" i="3"/>
  <c r="J475" i="3"/>
  <c r="H479" i="3"/>
  <c r="L482" i="3"/>
  <c r="G486" i="3"/>
  <c r="G490" i="3"/>
  <c r="J492" i="3"/>
  <c r="J495" i="3"/>
  <c r="H499" i="3"/>
  <c r="G210" i="3"/>
  <c r="G222" i="3"/>
  <c r="K248" i="3"/>
  <c r="L258" i="3"/>
  <c r="G261" i="3"/>
  <c r="H265" i="3"/>
  <c r="K280" i="3"/>
  <c r="J299" i="3"/>
  <c r="K316" i="3"/>
  <c r="L328" i="3"/>
  <c r="J334" i="3"/>
  <c r="I341" i="3"/>
  <c r="G343" i="3"/>
  <c r="K358" i="3"/>
  <c r="G362" i="3"/>
  <c r="G370" i="3"/>
  <c r="K375" i="3"/>
  <c r="I386" i="3"/>
  <c r="J389" i="3"/>
  <c r="K402" i="3"/>
  <c r="I406" i="3"/>
  <c r="J415" i="3"/>
  <c r="H419" i="3"/>
  <c r="L422" i="3"/>
  <c r="K435" i="3"/>
  <c r="I446" i="3"/>
  <c r="L462" i="3"/>
  <c r="J466" i="3"/>
  <c r="L475" i="3"/>
  <c r="L495" i="3"/>
  <c r="J85" i="3"/>
  <c r="L97" i="3"/>
  <c r="K101" i="3"/>
  <c r="L142" i="3"/>
  <c r="G198" i="3"/>
  <c r="I210" i="3"/>
  <c r="I222" i="3"/>
  <c r="H229" i="3"/>
  <c r="K241" i="3"/>
  <c r="G246" i="3"/>
  <c r="G255" i="3"/>
  <c r="L261" i="3"/>
  <c r="I265" i="3"/>
  <c r="L280" i="3"/>
  <c r="K299" i="3"/>
  <c r="G309" i="3"/>
  <c r="L316" i="3"/>
  <c r="G332" i="3"/>
  <c r="L338" i="3"/>
  <c r="H362" i="3"/>
  <c r="G366" i="3"/>
  <c r="L375" i="3"/>
  <c r="H383" i="3"/>
  <c r="K386" i="3"/>
  <c r="K389" i="3"/>
  <c r="I396" i="3"/>
  <c r="L402" i="3"/>
  <c r="G410" i="3"/>
  <c r="L415" i="3"/>
  <c r="I419" i="3"/>
  <c r="H426" i="3"/>
  <c r="L435" i="3"/>
  <c r="I439" i="3"/>
  <c r="K446" i="3"/>
  <c r="I456" i="3"/>
  <c r="J459" i="3"/>
  <c r="H470" i="3"/>
  <c r="J473" i="3"/>
  <c r="L479" i="3"/>
  <c r="H483" i="3"/>
  <c r="K486" i="3"/>
  <c r="J499" i="3"/>
  <c r="AI321" i="2"/>
  <c r="AI316" i="2"/>
  <c r="AI325" i="2"/>
  <c r="K181" i="3"/>
  <c r="I181" i="3"/>
  <c r="J196" i="3"/>
  <c r="H196" i="3"/>
  <c r="L196" i="3"/>
  <c r="K196" i="3"/>
  <c r="I196" i="3"/>
  <c r="G196" i="3"/>
  <c r="L202" i="3"/>
  <c r="K202" i="3"/>
  <c r="J202" i="3"/>
  <c r="I202" i="3"/>
  <c r="H202" i="3"/>
  <c r="G202" i="3"/>
  <c r="G3" i="3"/>
  <c r="G51" i="3"/>
  <c r="G75" i="3"/>
  <c r="G109" i="3"/>
  <c r="G111" i="3"/>
  <c r="G113" i="3"/>
  <c r="K115" i="3"/>
  <c r="J115" i="3"/>
  <c r="I117" i="3"/>
  <c r="H117" i="3"/>
  <c r="I153" i="3"/>
  <c r="H153" i="3"/>
  <c r="G157" i="3"/>
  <c r="J170" i="3"/>
  <c r="I170" i="3"/>
  <c r="I177" i="3"/>
  <c r="H177" i="3"/>
  <c r="I203" i="3"/>
  <c r="G203" i="3"/>
  <c r="K203" i="3"/>
  <c r="J203" i="3"/>
  <c r="H203" i="3"/>
  <c r="J208" i="3"/>
  <c r="H208" i="3"/>
  <c r="L208" i="3"/>
  <c r="K208" i="3"/>
  <c r="I208" i="3"/>
  <c r="G208" i="3"/>
  <c r="L214" i="3"/>
  <c r="K214" i="3"/>
  <c r="J214" i="3"/>
  <c r="I214" i="3"/>
  <c r="H214" i="3"/>
  <c r="G214" i="3"/>
  <c r="H15" i="3"/>
  <c r="H39" i="3"/>
  <c r="G46" i="3"/>
  <c r="G70" i="3"/>
  <c r="H75" i="3"/>
  <c r="G82" i="3"/>
  <c r="H87" i="3"/>
  <c r="G96" i="3"/>
  <c r="H109" i="3"/>
  <c r="H111" i="3"/>
  <c r="H113" i="3"/>
  <c r="G115" i="3"/>
  <c r="G117" i="3"/>
  <c r="G121" i="3"/>
  <c r="G123" i="3"/>
  <c r="G125" i="3"/>
  <c r="K127" i="3"/>
  <c r="J127" i="3"/>
  <c r="I129" i="3"/>
  <c r="H129" i="3"/>
  <c r="L149" i="3"/>
  <c r="G149" i="3"/>
  <c r="K151" i="3"/>
  <c r="J151" i="3"/>
  <c r="G153" i="3"/>
  <c r="H157" i="3"/>
  <c r="G170" i="3"/>
  <c r="G177" i="3"/>
  <c r="H181" i="3"/>
  <c r="L192" i="3"/>
  <c r="K192" i="3"/>
  <c r="J192" i="3"/>
  <c r="I192" i="3"/>
  <c r="H192" i="3"/>
  <c r="G192" i="3"/>
  <c r="L203" i="3"/>
  <c r="I215" i="3"/>
  <c r="G215" i="3"/>
  <c r="K215" i="3"/>
  <c r="J215" i="3"/>
  <c r="H215" i="3"/>
  <c r="J220" i="3"/>
  <c r="H220" i="3"/>
  <c r="L220" i="3"/>
  <c r="K220" i="3"/>
  <c r="I220" i="3"/>
  <c r="G220" i="3"/>
  <c r="H3" i="3"/>
  <c r="G65" i="3"/>
  <c r="G77" i="3"/>
  <c r="I87" i="3"/>
  <c r="H96" i="3"/>
  <c r="I109" i="3"/>
  <c r="I111" i="3"/>
  <c r="I113" i="3"/>
  <c r="H115" i="3"/>
  <c r="J117" i="3"/>
  <c r="H121" i="3"/>
  <c r="H123" i="3"/>
  <c r="H125" i="3"/>
  <c r="G127" i="3"/>
  <c r="G129" i="3"/>
  <c r="G133" i="3"/>
  <c r="G135" i="3"/>
  <c r="G137" i="3"/>
  <c r="K139" i="3"/>
  <c r="J139" i="3"/>
  <c r="I141" i="3"/>
  <c r="H141" i="3"/>
  <c r="H149" i="3"/>
  <c r="G151" i="3"/>
  <c r="J153" i="3"/>
  <c r="I157" i="3"/>
  <c r="H170" i="3"/>
  <c r="L173" i="3"/>
  <c r="G173" i="3"/>
  <c r="K175" i="3"/>
  <c r="J175" i="3"/>
  <c r="J177" i="3"/>
  <c r="J181" i="3"/>
  <c r="H184" i="3"/>
  <c r="G184" i="3"/>
  <c r="L184" i="3"/>
  <c r="L204" i="3"/>
  <c r="K204" i="3"/>
  <c r="J204" i="3"/>
  <c r="I204" i="3"/>
  <c r="H204" i="3"/>
  <c r="G204" i="3"/>
  <c r="L215" i="3"/>
  <c r="G15" i="3"/>
  <c r="G39" i="3"/>
  <c r="J3" i="3"/>
  <c r="H5" i="3"/>
  <c r="I10" i="3"/>
  <c r="G12" i="3"/>
  <c r="J15" i="3"/>
  <c r="H17" i="3"/>
  <c r="I22" i="3"/>
  <c r="G24" i="3"/>
  <c r="J27" i="3"/>
  <c r="H29" i="3"/>
  <c r="I34" i="3"/>
  <c r="G36" i="3"/>
  <c r="J39" i="3"/>
  <c r="H41" i="3"/>
  <c r="I46" i="3"/>
  <c r="G48" i="3"/>
  <c r="J51" i="3"/>
  <c r="H53" i="3"/>
  <c r="I58" i="3"/>
  <c r="G60" i="3"/>
  <c r="J63" i="3"/>
  <c r="H65" i="3"/>
  <c r="I70" i="3"/>
  <c r="G72" i="3"/>
  <c r="J75" i="3"/>
  <c r="H77" i="3"/>
  <c r="I82" i="3"/>
  <c r="G84" i="3"/>
  <c r="J87" i="3"/>
  <c r="H89" i="3"/>
  <c r="I96" i="3"/>
  <c r="H98" i="3"/>
  <c r="H100" i="3"/>
  <c r="G102" i="3"/>
  <c r="J109" i="3"/>
  <c r="J111" i="3"/>
  <c r="J113" i="3"/>
  <c r="I115" i="3"/>
  <c r="K117" i="3"/>
  <c r="I121" i="3"/>
  <c r="I123" i="3"/>
  <c r="I125" i="3"/>
  <c r="H127" i="3"/>
  <c r="J129" i="3"/>
  <c r="H133" i="3"/>
  <c r="H135" i="3"/>
  <c r="H137" i="3"/>
  <c r="G139" i="3"/>
  <c r="G141" i="3"/>
  <c r="G145" i="3"/>
  <c r="G147" i="3"/>
  <c r="I149" i="3"/>
  <c r="H151" i="3"/>
  <c r="K153" i="3"/>
  <c r="J157" i="3"/>
  <c r="G164" i="3"/>
  <c r="K170" i="3"/>
  <c r="H173" i="3"/>
  <c r="G175" i="3"/>
  <c r="K177" i="3"/>
  <c r="L181" i="3"/>
  <c r="I184" i="3"/>
  <c r="L216" i="3"/>
  <c r="K216" i="3"/>
  <c r="J216" i="3"/>
  <c r="I216" i="3"/>
  <c r="H216" i="3"/>
  <c r="G216" i="3"/>
  <c r="I27" i="3"/>
  <c r="G53" i="3"/>
  <c r="K3" i="3"/>
  <c r="H12" i="3"/>
  <c r="K15" i="3"/>
  <c r="I17" i="3"/>
  <c r="H24" i="3"/>
  <c r="K27" i="3"/>
  <c r="I29" i="3"/>
  <c r="J34" i="3"/>
  <c r="H36" i="3"/>
  <c r="K39" i="3"/>
  <c r="I41" i="3"/>
  <c r="J46" i="3"/>
  <c r="H48" i="3"/>
  <c r="K51" i="3"/>
  <c r="I53" i="3"/>
  <c r="J58" i="3"/>
  <c r="H60" i="3"/>
  <c r="K63" i="3"/>
  <c r="I65" i="3"/>
  <c r="J70" i="3"/>
  <c r="H72" i="3"/>
  <c r="K75" i="3"/>
  <c r="I77" i="3"/>
  <c r="J82" i="3"/>
  <c r="H84" i="3"/>
  <c r="K87" i="3"/>
  <c r="I89" i="3"/>
  <c r="J96" i="3"/>
  <c r="J98" i="3"/>
  <c r="I100" i="3"/>
  <c r="H102" i="3"/>
  <c r="K109" i="3"/>
  <c r="K111" i="3"/>
  <c r="K113" i="3"/>
  <c r="L115" i="3"/>
  <c r="L117" i="3"/>
  <c r="J121" i="3"/>
  <c r="J123" i="3"/>
  <c r="J125" i="3"/>
  <c r="I127" i="3"/>
  <c r="K129" i="3"/>
  <c r="I133" i="3"/>
  <c r="I135" i="3"/>
  <c r="I137" i="3"/>
  <c r="H139" i="3"/>
  <c r="J141" i="3"/>
  <c r="H145" i="3"/>
  <c r="H147" i="3"/>
  <c r="J149" i="3"/>
  <c r="I151" i="3"/>
  <c r="L153" i="3"/>
  <c r="L157" i="3"/>
  <c r="H160" i="3"/>
  <c r="G160" i="3"/>
  <c r="H164" i="3"/>
  <c r="L170" i="3"/>
  <c r="I173" i="3"/>
  <c r="H175" i="3"/>
  <c r="L177" i="3"/>
  <c r="J182" i="3"/>
  <c r="I182" i="3"/>
  <c r="J184" i="3"/>
  <c r="I15" i="3"/>
  <c r="H22" i="3"/>
  <c r="I39" i="3"/>
  <c r="H58" i="3"/>
  <c r="I75" i="3"/>
  <c r="L3" i="3"/>
  <c r="J5" i="3"/>
  <c r="H7" i="3"/>
  <c r="K10" i="3"/>
  <c r="I12" i="3"/>
  <c r="G14" i="3"/>
  <c r="J17" i="3"/>
  <c r="H19" i="3"/>
  <c r="K22" i="3"/>
  <c r="I24" i="3"/>
  <c r="G26" i="3"/>
  <c r="L27" i="3"/>
  <c r="J29" i="3"/>
  <c r="H31" i="3"/>
  <c r="K34" i="3"/>
  <c r="I36" i="3"/>
  <c r="G38" i="3"/>
  <c r="J41" i="3"/>
  <c r="H43" i="3"/>
  <c r="K46" i="3"/>
  <c r="I48" i="3"/>
  <c r="G50" i="3"/>
  <c r="L51" i="3"/>
  <c r="J53" i="3"/>
  <c r="H55" i="3"/>
  <c r="K58" i="3"/>
  <c r="I60" i="3"/>
  <c r="G62" i="3"/>
  <c r="L63" i="3"/>
  <c r="J65" i="3"/>
  <c r="H67" i="3"/>
  <c r="K70" i="3"/>
  <c r="I72" i="3"/>
  <c r="G74" i="3"/>
  <c r="J77" i="3"/>
  <c r="K82" i="3"/>
  <c r="I84" i="3"/>
  <c r="G86" i="3"/>
  <c r="J89" i="3"/>
  <c r="G93" i="3"/>
  <c r="L96" i="3"/>
  <c r="K98" i="3"/>
  <c r="J100" i="3"/>
  <c r="I102" i="3"/>
  <c r="G106" i="3"/>
  <c r="K121" i="3"/>
  <c r="K123" i="3"/>
  <c r="K125" i="3"/>
  <c r="L127" i="3"/>
  <c r="L129" i="3"/>
  <c r="J133" i="3"/>
  <c r="J135" i="3"/>
  <c r="J137" i="3"/>
  <c r="I139" i="3"/>
  <c r="K141" i="3"/>
  <c r="I145" i="3"/>
  <c r="J147" i="3"/>
  <c r="K149" i="3"/>
  <c r="L151" i="3"/>
  <c r="J158" i="3"/>
  <c r="I158" i="3"/>
  <c r="I160" i="3"/>
  <c r="I164" i="3"/>
  <c r="I171" i="3"/>
  <c r="G171" i="3"/>
  <c r="J173" i="3"/>
  <c r="I175" i="3"/>
  <c r="G182" i="3"/>
  <c r="K184" i="3"/>
  <c r="G22" i="3"/>
  <c r="H51" i="3"/>
  <c r="H10" i="3"/>
  <c r="G41" i="3"/>
  <c r="H46" i="3"/>
  <c r="I63" i="3"/>
  <c r="H70" i="3"/>
  <c r="K5" i="3"/>
  <c r="I7" i="3"/>
  <c r="G9" i="3"/>
  <c r="L10" i="3"/>
  <c r="J12" i="3"/>
  <c r="H14" i="3"/>
  <c r="K17" i="3"/>
  <c r="I19" i="3"/>
  <c r="G21" i="3"/>
  <c r="L22" i="3"/>
  <c r="J24" i="3"/>
  <c r="H26" i="3"/>
  <c r="K29" i="3"/>
  <c r="I31" i="3"/>
  <c r="G33" i="3"/>
  <c r="L34" i="3"/>
  <c r="J36" i="3"/>
  <c r="H38" i="3"/>
  <c r="K41" i="3"/>
  <c r="I43" i="3"/>
  <c r="G45" i="3"/>
  <c r="J48" i="3"/>
  <c r="H50" i="3"/>
  <c r="K53" i="3"/>
  <c r="I55" i="3"/>
  <c r="G57" i="3"/>
  <c r="L58" i="3"/>
  <c r="J60" i="3"/>
  <c r="H62" i="3"/>
  <c r="K65" i="3"/>
  <c r="I67" i="3"/>
  <c r="G69" i="3"/>
  <c r="J72" i="3"/>
  <c r="H74" i="3"/>
  <c r="K77" i="3"/>
  <c r="I79" i="3"/>
  <c r="G81" i="3"/>
  <c r="L82" i="3"/>
  <c r="J84" i="3"/>
  <c r="H86" i="3"/>
  <c r="K89" i="3"/>
  <c r="I91" i="3"/>
  <c r="I93" i="3"/>
  <c r="L98" i="3"/>
  <c r="K100" i="3"/>
  <c r="J102" i="3"/>
  <c r="I104" i="3"/>
  <c r="H106" i="3"/>
  <c r="L108" i="3"/>
  <c r="K108" i="3"/>
  <c r="J110" i="3"/>
  <c r="I110" i="3"/>
  <c r="H112" i="3"/>
  <c r="G112" i="3"/>
  <c r="G116" i="3"/>
  <c r="G118" i="3"/>
  <c r="K133" i="3"/>
  <c r="K135" i="3"/>
  <c r="K137" i="3"/>
  <c r="L139" i="3"/>
  <c r="L141" i="3"/>
  <c r="J145" i="3"/>
  <c r="K147" i="3"/>
  <c r="G154" i="3"/>
  <c r="G158" i="3"/>
  <c r="J160" i="3"/>
  <c r="K164" i="3"/>
  <c r="H171" i="3"/>
  <c r="K173" i="3"/>
  <c r="L175" i="3"/>
  <c r="H182" i="3"/>
  <c r="K187" i="3"/>
  <c r="J187" i="3"/>
  <c r="K189" i="3"/>
  <c r="I189" i="3"/>
  <c r="J189" i="3"/>
  <c r="H189" i="3"/>
  <c r="L194" i="3"/>
  <c r="J194" i="3"/>
  <c r="K194" i="3"/>
  <c r="I194" i="3"/>
  <c r="H194" i="3"/>
  <c r="G194" i="3"/>
  <c r="L228" i="3"/>
  <c r="K228" i="3"/>
  <c r="J228" i="3"/>
  <c r="I228" i="3"/>
  <c r="H228" i="3"/>
  <c r="G228" i="3"/>
  <c r="G5" i="3"/>
  <c r="G17" i="3"/>
  <c r="G29" i="3"/>
  <c r="I5" i="3"/>
  <c r="J10" i="3"/>
  <c r="G4" i="3"/>
  <c r="J7" i="3"/>
  <c r="H9" i="3"/>
  <c r="K12" i="3"/>
  <c r="I14" i="3"/>
  <c r="G16" i="3"/>
  <c r="J19" i="3"/>
  <c r="H21" i="3"/>
  <c r="K24" i="3"/>
  <c r="I26" i="3"/>
  <c r="G28" i="3"/>
  <c r="J31" i="3"/>
  <c r="H33" i="3"/>
  <c r="K36" i="3"/>
  <c r="I38" i="3"/>
  <c r="G40" i="3"/>
  <c r="J43" i="3"/>
  <c r="H45" i="3"/>
  <c r="K48" i="3"/>
  <c r="I50" i="3"/>
  <c r="G52" i="3"/>
  <c r="J55" i="3"/>
  <c r="H57" i="3"/>
  <c r="K60" i="3"/>
  <c r="I62" i="3"/>
  <c r="G64" i="3"/>
  <c r="J67" i="3"/>
  <c r="H69" i="3"/>
  <c r="K72" i="3"/>
  <c r="I74" i="3"/>
  <c r="G76" i="3"/>
  <c r="J79" i="3"/>
  <c r="H81" i="3"/>
  <c r="K84" i="3"/>
  <c r="I86" i="3"/>
  <c r="G88" i="3"/>
  <c r="K91" i="3"/>
  <c r="J93" i="3"/>
  <c r="G97" i="3"/>
  <c r="L100" i="3"/>
  <c r="K102" i="3"/>
  <c r="J104" i="3"/>
  <c r="I106" i="3"/>
  <c r="G108" i="3"/>
  <c r="G110" i="3"/>
  <c r="I112" i="3"/>
  <c r="H116" i="3"/>
  <c r="H118" i="3"/>
  <c r="L120" i="3"/>
  <c r="K120" i="3"/>
  <c r="J122" i="3"/>
  <c r="I122" i="3"/>
  <c r="H124" i="3"/>
  <c r="G124" i="3"/>
  <c r="G128" i="3"/>
  <c r="G130" i="3"/>
  <c r="K145" i="3"/>
  <c r="L147" i="3"/>
  <c r="G152" i="3"/>
  <c r="I154" i="3"/>
  <c r="H158" i="3"/>
  <c r="K160" i="3"/>
  <c r="L164" i="3"/>
  <c r="K169" i="3"/>
  <c r="I169" i="3"/>
  <c r="J171" i="3"/>
  <c r="J176" i="3"/>
  <c r="H176" i="3"/>
  <c r="K182" i="3"/>
  <c r="G187" i="3"/>
  <c r="G189" i="3"/>
  <c r="L206" i="3"/>
  <c r="J206" i="3"/>
  <c r="K206" i="3"/>
  <c r="I206" i="3"/>
  <c r="H206" i="3"/>
  <c r="G206" i="3"/>
  <c r="G27" i="3"/>
  <c r="G63" i="3"/>
  <c r="G34" i="3"/>
  <c r="J106" i="3"/>
  <c r="I116" i="3"/>
  <c r="I118" i="3"/>
  <c r="L132" i="3"/>
  <c r="K132" i="3"/>
  <c r="J134" i="3"/>
  <c r="I134" i="3"/>
  <c r="H136" i="3"/>
  <c r="G136" i="3"/>
  <c r="H148" i="3"/>
  <c r="G148" i="3"/>
  <c r="H152" i="3"/>
  <c r="J154" i="3"/>
  <c r="K158" i="3"/>
  <c r="L160" i="3"/>
  <c r="I165" i="3"/>
  <c r="H165" i="3"/>
  <c r="K171" i="3"/>
  <c r="G176" i="3"/>
  <c r="L182" i="3"/>
  <c r="H187" i="3"/>
  <c r="L189" i="3"/>
  <c r="L218" i="3"/>
  <c r="J218" i="3"/>
  <c r="K218" i="3"/>
  <c r="I218" i="3"/>
  <c r="H218" i="3"/>
  <c r="G218" i="3"/>
  <c r="I4" i="3"/>
  <c r="G6" i="3"/>
  <c r="J9" i="3"/>
  <c r="H11" i="3"/>
  <c r="K14" i="3"/>
  <c r="I16" i="3"/>
  <c r="G18" i="3"/>
  <c r="J21" i="3"/>
  <c r="H23" i="3"/>
  <c r="K26" i="3"/>
  <c r="I28" i="3"/>
  <c r="G30" i="3"/>
  <c r="J33" i="3"/>
  <c r="H35" i="3"/>
  <c r="K38" i="3"/>
  <c r="I40" i="3"/>
  <c r="G42" i="3"/>
  <c r="J45" i="3"/>
  <c r="H47" i="3"/>
  <c r="K50" i="3"/>
  <c r="I52" i="3"/>
  <c r="G54" i="3"/>
  <c r="J57" i="3"/>
  <c r="H59" i="3"/>
  <c r="K62" i="3"/>
  <c r="I64" i="3"/>
  <c r="G66" i="3"/>
  <c r="J69" i="3"/>
  <c r="H71" i="3"/>
  <c r="K74" i="3"/>
  <c r="I76" i="3"/>
  <c r="G78" i="3"/>
  <c r="J81" i="3"/>
  <c r="H83" i="3"/>
  <c r="K86" i="3"/>
  <c r="I88" i="3"/>
  <c r="G90" i="3"/>
  <c r="L93" i="3"/>
  <c r="I97" i="3"/>
  <c r="H99" i="3"/>
  <c r="G101" i="3"/>
  <c r="K106" i="3"/>
  <c r="I108" i="3"/>
  <c r="K110" i="3"/>
  <c r="K112" i="3"/>
  <c r="J116" i="3"/>
  <c r="J118" i="3"/>
  <c r="H120" i="3"/>
  <c r="H122" i="3"/>
  <c r="J124" i="3"/>
  <c r="I128" i="3"/>
  <c r="I130" i="3"/>
  <c r="G132" i="3"/>
  <c r="G134" i="3"/>
  <c r="I136" i="3"/>
  <c r="H140" i="3"/>
  <c r="H142" i="3"/>
  <c r="L144" i="3"/>
  <c r="K144" i="3"/>
  <c r="J146" i="3"/>
  <c r="I146" i="3"/>
  <c r="I148" i="3"/>
  <c r="I152" i="3"/>
  <c r="K154" i="3"/>
  <c r="L158" i="3"/>
  <c r="L161" i="3"/>
  <c r="G161" i="3"/>
  <c r="K163" i="3"/>
  <c r="J163" i="3"/>
  <c r="G165" i="3"/>
  <c r="H169" i="3"/>
  <c r="L171" i="3"/>
  <c r="I176" i="3"/>
  <c r="I183" i="3"/>
  <c r="G183" i="3"/>
  <c r="I187" i="3"/>
  <c r="L190" i="3"/>
  <c r="K190" i="3"/>
  <c r="J190" i="3"/>
  <c r="I190" i="3"/>
  <c r="H190" i="3"/>
  <c r="G190" i="3"/>
  <c r="K201" i="3"/>
  <c r="I201" i="3"/>
  <c r="J201" i="3"/>
  <c r="H201" i="3"/>
  <c r="G201" i="3"/>
  <c r="H101" i="3"/>
  <c r="G103" i="3"/>
  <c r="J108" i="3"/>
  <c r="L110" i="3"/>
  <c r="L112" i="3"/>
  <c r="I120" i="3"/>
  <c r="K122" i="3"/>
  <c r="K124" i="3"/>
  <c r="H132" i="3"/>
  <c r="H134" i="3"/>
  <c r="J136" i="3"/>
  <c r="G144" i="3"/>
  <c r="G146" i="3"/>
  <c r="J148" i="3"/>
  <c r="K152" i="3"/>
  <c r="L154" i="3"/>
  <c r="H161" i="3"/>
  <c r="G163" i="3"/>
  <c r="J165" i="3"/>
  <c r="J169" i="3"/>
  <c r="H172" i="3"/>
  <c r="G172" i="3"/>
  <c r="L172" i="3"/>
  <c r="K176" i="3"/>
  <c r="H183" i="3"/>
  <c r="L187" i="3"/>
  <c r="I191" i="3"/>
  <c r="G191" i="3"/>
  <c r="K191" i="3"/>
  <c r="J191" i="3"/>
  <c r="L201" i="3"/>
  <c r="K213" i="3"/>
  <c r="I213" i="3"/>
  <c r="J213" i="3"/>
  <c r="H213" i="3"/>
  <c r="G213" i="3"/>
  <c r="L257" i="3"/>
  <c r="J257" i="3"/>
  <c r="L283" i="3"/>
  <c r="K283" i="3"/>
  <c r="J283" i="3"/>
  <c r="I283" i="3"/>
  <c r="H283" i="3"/>
  <c r="L286" i="3"/>
  <c r="K286" i="3"/>
  <c r="L326" i="3"/>
  <c r="K326" i="3"/>
  <c r="J326" i="3"/>
  <c r="I326" i="3"/>
  <c r="H326" i="3"/>
  <c r="G326" i="3"/>
  <c r="K243" i="3"/>
  <c r="L254" i="3"/>
  <c r="K254" i="3"/>
  <c r="J254" i="3"/>
  <c r="I254" i="3"/>
  <c r="G254" i="3"/>
  <c r="G257" i="3"/>
  <c r="G262" i="3"/>
  <c r="G283" i="3"/>
  <c r="G286" i="3"/>
  <c r="L312" i="3"/>
  <c r="K312" i="3"/>
  <c r="J312" i="3"/>
  <c r="I312" i="3"/>
  <c r="L441" i="3"/>
  <c r="K441" i="3"/>
  <c r="J441" i="3"/>
  <c r="I441" i="3"/>
  <c r="H441" i="3"/>
  <c r="G441" i="3"/>
  <c r="G226" i="3"/>
  <c r="G231" i="3"/>
  <c r="J244" i="3"/>
  <c r="I244" i="3"/>
  <c r="H244" i="3"/>
  <c r="G244" i="3"/>
  <c r="H254" i="3"/>
  <c r="H257" i="3"/>
  <c r="H262" i="3"/>
  <c r="L281" i="3"/>
  <c r="K281" i="3"/>
  <c r="J281" i="3"/>
  <c r="H286" i="3"/>
  <c r="L295" i="3"/>
  <c r="K295" i="3"/>
  <c r="J295" i="3"/>
  <c r="I295" i="3"/>
  <c r="H295" i="3"/>
  <c r="L298" i="3"/>
  <c r="K298" i="3"/>
  <c r="G312" i="3"/>
  <c r="G327" i="3"/>
  <c r="L424" i="3"/>
  <c r="K424" i="3"/>
  <c r="J424" i="3"/>
  <c r="H424" i="3"/>
  <c r="G424" i="3"/>
  <c r="H226" i="3"/>
  <c r="H231" i="3"/>
  <c r="K244" i="3"/>
  <c r="L252" i="3"/>
  <c r="K252" i="3"/>
  <c r="I252" i="3"/>
  <c r="I257" i="3"/>
  <c r="I262" i="3"/>
  <c r="L278" i="3"/>
  <c r="K278" i="3"/>
  <c r="J278" i="3"/>
  <c r="I278" i="3"/>
  <c r="G278" i="3"/>
  <c r="G281" i="3"/>
  <c r="I286" i="3"/>
  <c r="G295" i="3"/>
  <c r="G298" i="3"/>
  <c r="H312" i="3"/>
  <c r="L324" i="3"/>
  <c r="K324" i="3"/>
  <c r="J324" i="3"/>
  <c r="I324" i="3"/>
  <c r="H327" i="3"/>
  <c r="K335" i="3"/>
  <c r="J335" i="3"/>
  <c r="G335" i="3"/>
  <c r="L335" i="3"/>
  <c r="I335" i="3"/>
  <c r="K347" i="3"/>
  <c r="J347" i="3"/>
  <c r="G347" i="3"/>
  <c r="L347" i="3"/>
  <c r="L361" i="3"/>
  <c r="I361" i="3"/>
  <c r="H361" i="3"/>
  <c r="K361" i="3"/>
  <c r="G361" i="3"/>
  <c r="I424" i="3"/>
  <c r="I226" i="3"/>
  <c r="I231" i="3"/>
  <c r="L244" i="3"/>
  <c r="L247" i="3"/>
  <c r="K247" i="3"/>
  <c r="J247" i="3"/>
  <c r="H247" i="3"/>
  <c r="K257" i="3"/>
  <c r="J262" i="3"/>
  <c r="J268" i="3"/>
  <c r="I268" i="3"/>
  <c r="H268" i="3"/>
  <c r="G268" i="3"/>
  <c r="H281" i="3"/>
  <c r="J286" i="3"/>
  <c r="L293" i="3"/>
  <c r="K293" i="3"/>
  <c r="J293" i="3"/>
  <c r="H298" i="3"/>
  <c r="L307" i="3"/>
  <c r="K307" i="3"/>
  <c r="J307" i="3"/>
  <c r="I307" i="3"/>
  <c r="H307" i="3"/>
  <c r="L310" i="3"/>
  <c r="K310" i="3"/>
  <c r="I327" i="3"/>
  <c r="L345" i="3"/>
  <c r="I345" i="3"/>
  <c r="J345" i="3"/>
  <c r="L369" i="3"/>
  <c r="I369" i="3"/>
  <c r="H369" i="3"/>
  <c r="K369" i="3"/>
  <c r="J369" i="3"/>
  <c r="G185" i="3"/>
  <c r="J226" i="3"/>
  <c r="J231" i="3"/>
  <c r="L245" i="3"/>
  <c r="J245" i="3"/>
  <c r="G247" i="3"/>
  <c r="H252" i="3"/>
  <c r="H255" i="3"/>
  <c r="L262" i="3"/>
  <c r="K268" i="3"/>
  <c r="L276" i="3"/>
  <c r="K276" i="3"/>
  <c r="I276" i="3"/>
  <c r="I281" i="3"/>
  <c r="G293" i="3"/>
  <c r="I298" i="3"/>
  <c r="G307" i="3"/>
  <c r="G310" i="3"/>
  <c r="H324" i="3"/>
  <c r="J327" i="3"/>
  <c r="I333" i="3"/>
  <c r="L333" i="3"/>
  <c r="K333" i="3"/>
  <c r="J333" i="3"/>
  <c r="G345" i="3"/>
  <c r="I347" i="3"/>
  <c r="G369" i="3"/>
  <c r="K226" i="3"/>
  <c r="K231" i="3"/>
  <c r="L242" i="3"/>
  <c r="K242" i="3"/>
  <c r="J242" i="3"/>
  <c r="I242" i="3"/>
  <c r="G242" i="3"/>
  <c r="I247" i="3"/>
  <c r="L268" i="3"/>
  <c r="L271" i="3"/>
  <c r="K271" i="3"/>
  <c r="J271" i="3"/>
  <c r="H271" i="3"/>
  <c r="L290" i="3"/>
  <c r="K290" i="3"/>
  <c r="J290" i="3"/>
  <c r="I290" i="3"/>
  <c r="H290" i="3"/>
  <c r="G290" i="3"/>
  <c r="H293" i="3"/>
  <c r="J298" i="3"/>
  <c r="L305" i="3"/>
  <c r="K305" i="3"/>
  <c r="J305" i="3"/>
  <c r="H310" i="3"/>
  <c r="L319" i="3"/>
  <c r="K319" i="3"/>
  <c r="J319" i="3"/>
  <c r="I319" i="3"/>
  <c r="H319" i="3"/>
  <c r="L322" i="3"/>
  <c r="K322" i="3"/>
  <c r="K327" i="3"/>
  <c r="H345" i="3"/>
  <c r="L348" i="3"/>
  <c r="K348" i="3"/>
  <c r="J348" i="3"/>
  <c r="I348" i="3"/>
  <c r="H348" i="3"/>
  <c r="G348" i="3"/>
  <c r="L409" i="3"/>
  <c r="K409" i="3"/>
  <c r="J409" i="3"/>
  <c r="I409" i="3"/>
  <c r="H409" i="3"/>
  <c r="G409" i="3"/>
  <c r="G195" i="3"/>
  <c r="G197" i="3"/>
  <c r="G207" i="3"/>
  <c r="G209" i="3"/>
  <c r="G219" i="3"/>
  <c r="G221" i="3"/>
  <c r="J232" i="3"/>
  <c r="I232" i="3"/>
  <c r="H232" i="3"/>
  <c r="G232" i="3"/>
  <c r="H242" i="3"/>
  <c r="L269" i="3"/>
  <c r="J269" i="3"/>
  <c r="G271" i="3"/>
  <c r="I293" i="3"/>
  <c r="G305" i="3"/>
  <c r="I310" i="3"/>
  <c r="G319" i="3"/>
  <c r="G322" i="3"/>
  <c r="K345" i="3"/>
  <c r="K225" i="3"/>
  <c r="I225" i="3"/>
  <c r="L240" i="3"/>
  <c r="K240" i="3"/>
  <c r="I240" i="3"/>
  <c r="L266" i="3"/>
  <c r="K266" i="3"/>
  <c r="J266" i="3"/>
  <c r="I266" i="3"/>
  <c r="G266" i="3"/>
  <c r="L302" i="3"/>
  <c r="K302" i="3"/>
  <c r="J302" i="3"/>
  <c r="I302" i="3"/>
  <c r="H302" i="3"/>
  <c r="G302" i="3"/>
  <c r="L317" i="3"/>
  <c r="K317" i="3"/>
  <c r="J317" i="3"/>
  <c r="H322" i="3"/>
  <c r="I337" i="3"/>
  <c r="H337" i="3"/>
  <c r="L337" i="3"/>
  <c r="G225" i="3"/>
  <c r="L235" i="3"/>
  <c r="K235" i="3"/>
  <c r="J235" i="3"/>
  <c r="H235" i="3"/>
  <c r="G240" i="3"/>
  <c r="G243" i="3"/>
  <c r="J256" i="3"/>
  <c r="I256" i="3"/>
  <c r="H256" i="3"/>
  <c r="G256" i="3"/>
  <c r="H266" i="3"/>
  <c r="L288" i="3"/>
  <c r="K288" i="3"/>
  <c r="J288" i="3"/>
  <c r="I288" i="3"/>
  <c r="I305" i="3"/>
  <c r="G317" i="3"/>
  <c r="I322" i="3"/>
  <c r="L329" i="3"/>
  <c r="K329" i="3"/>
  <c r="K331" i="3"/>
  <c r="L331" i="3"/>
  <c r="J331" i="3"/>
  <c r="I331" i="3"/>
  <c r="H356" i="3"/>
  <c r="G356" i="3"/>
  <c r="L356" i="3"/>
  <c r="J356" i="3"/>
  <c r="K156" i="3"/>
  <c r="K168" i="3"/>
  <c r="K180" i="3"/>
  <c r="J193" i="3"/>
  <c r="J195" i="3"/>
  <c r="J197" i="3"/>
  <c r="I199" i="3"/>
  <c r="J205" i="3"/>
  <c r="J207" i="3"/>
  <c r="J209" i="3"/>
  <c r="I211" i="3"/>
  <c r="J217" i="3"/>
  <c r="J219" i="3"/>
  <c r="J221" i="3"/>
  <c r="I223" i="3"/>
  <c r="H225" i="3"/>
  <c r="L233" i="3"/>
  <c r="J233" i="3"/>
  <c r="G235" i="3"/>
  <c r="H240" i="3"/>
  <c r="H243" i="3"/>
  <c r="L250" i="3"/>
  <c r="K256" i="3"/>
  <c r="L264" i="3"/>
  <c r="K264" i="3"/>
  <c r="I264" i="3"/>
  <c r="I269" i="3"/>
  <c r="I274" i="3"/>
  <c r="K279" i="3"/>
  <c r="G288" i="3"/>
  <c r="I291" i="3"/>
  <c r="G303" i="3"/>
  <c r="L314" i="3"/>
  <c r="K314" i="3"/>
  <c r="J314" i="3"/>
  <c r="I314" i="3"/>
  <c r="H314" i="3"/>
  <c r="G314" i="3"/>
  <c r="H317" i="3"/>
  <c r="J322" i="3"/>
  <c r="G329" i="3"/>
  <c r="G331" i="3"/>
  <c r="I356" i="3"/>
  <c r="L397" i="3"/>
  <c r="K397" i="3"/>
  <c r="J397" i="3"/>
  <c r="I397" i="3"/>
  <c r="H397" i="3"/>
  <c r="G397" i="3"/>
  <c r="K193" i="3"/>
  <c r="J199" i="3"/>
  <c r="K205" i="3"/>
  <c r="J211" i="3"/>
  <c r="K217" i="3"/>
  <c r="J223" i="3"/>
  <c r="J225" i="3"/>
  <c r="L230" i="3"/>
  <c r="K230" i="3"/>
  <c r="J230" i="3"/>
  <c r="I230" i="3"/>
  <c r="G230" i="3"/>
  <c r="I235" i="3"/>
  <c r="J240" i="3"/>
  <c r="I243" i="3"/>
  <c r="L256" i="3"/>
  <c r="L259" i="3"/>
  <c r="K259" i="3"/>
  <c r="J259" i="3"/>
  <c r="H259" i="3"/>
  <c r="K269" i="3"/>
  <c r="J274" i="3"/>
  <c r="H288" i="3"/>
  <c r="J291" i="3"/>
  <c r="L300" i="3"/>
  <c r="K300" i="3"/>
  <c r="J300" i="3"/>
  <c r="I300" i="3"/>
  <c r="H303" i="3"/>
  <c r="I317" i="3"/>
  <c r="H329" i="3"/>
  <c r="H331" i="3"/>
  <c r="K343" i="3"/>
  <c r="L343" i="3"/>
  <c r="J343" i="3"/>
  <c r="K356" i="3"/>
  <c r="I377" i="3"/>
  <c r="H377" i="3"/>
  <c r="L377" i="3"/>
  <c r="K377" i="3"/>
  <c r="J377" i="3"/>
  <c r="G377" i="3"/>
  <c r="L380" i="3"/>
  <c r="K380" i="3"/>
  <c r="H380" i="3"/>
  <c r="G380" i="3"/>
  <c r="L412" i="3"/>
  <c r="K412" i="3"/>
  <c r="J412" i="3"/>
  <c r="H412" i="3"/>
  <c r="G412" i="3"/>
  <c r="L352" i="3"/>
  <c r="K352" i="3"/>
  <c r="H352" i="3"/>
  <c r="H372" i="3"/>
  <c r="G372" i="3"/>
  <c r="L372" i="3"/>
  <c r="K372" i="3"/>
  <c r="I380" i="3"/>
  <c r="L388" i="3"/>
  <c r="K388" i="3"/>
  <c r="H388" i="3"/>
  <c r="G388" i="3"/>
  <c r="L400" i="3"/>
  <c r="K400" i="3"/>
  <c r="H400" i="3"/>
  <c r="G400" i="3"/>
  <c r="I412" i="3"/>
  <c r="L465" i="3"/>
  <c r="K465" i="3"/>
  <c r="J465" i="3"/>
  <c r="I465" i="3"/>
  <c r="H465" i="3"/>
  <c r="G465" i="3"/>
  <c r="L429" i="3"/>
  <c r="K429" i="3"/>
  <c r="I429" i="3"/>
  <c r="H429" i="3"/>
  <c r="L364" i="3"/>
  <c r="K364" i="3"/>
  <c r="H364" i="3"/>
  <c r="G364" i="3"/>
  <c r="J372" i="3"/>
  <c r="L381" i="3"/>
  <c r="I381" i="3"/>
  <c r="H381" i="3"/>
  <c r="J388" i="3"/>
  <c r="J400" i="3"/>
  <c r="G429" i="3"/>
  <c r="L489" i="3"/>
  <c r="K489" i="3"/>
  <c r="J489" i="3"/>
  <c r="I489" i="3"/>
  <c r="H489" i="3"/>
  <c r="G489" i="3"/>
  <c r="I350" i="3"/>
  <c r="J352" i="3"/>
  <c r="L357" i="3"/>
  <c r="I357" i="3"/>
  <c r="I364" i="3"/>
  <c r="L373" i="3"/>
  <c r="I373" i="3"/>
  <c r="H373" i="3"/>
  <c r="G381" i="3"/>
  <c r="L392" i="3"/>
  <c r="K392" i="3"/>
  <c r="J392" i="3"/>
  <c r="I392" i="3"/>
  <c r="H392" i="3"/>
  <c r="G392" i="3"/>
  <c r="L417" i="3"/>
  <c r="K417" i="3"/>
  <c r="I417" i="3"/>
  <c r="H417" i="3"/>
  <c r="J429" i="3"/>
  <c r="L340" i="3"/>
  <c r="K340" i="3"/>
  <c r="H340" i="3"/>
  <c r="H344" i="3"/>
  <c r="G344" i="3"/>
  <c r="K350" i="3"/>
  <c r="G357" i="3"/>
  <c r="J364" i="3"/>
  <c r="J381" i="3"/>
  <c r="L393" i="3"/>
  <c r="I393" i="3"/>
  <c r="H393" i="3"/>
  <c r="G417" i="3"/>
  <c r="H237" i="3"/>
  <c r="H249" i="3"/>
  <c r="H261" i="3"/>
  <c r="H273" i="3"/>
  <c r="G280" i="3"/>
  <c r="H285" i="3"/>
  <c r="G292" i="3"/>
  <c r="H297" i="3"/>
  <c r="G304" i="3"/>
  <c r="H309" i="3"/>
  <c r="G316" i="3"/>
  <c r="H321" i="3"/>
  <c r="G328" i="3"/>
  <c r="G338" i="3"/>
  <c r="G340" i="3"/>
  <c r="I344" i="3"/>
  <c r="L350" i="3"/>
  <c r="G353" i="3"/>
  <c r="G355" i="3"/>
  <c r="H357" i="3"/>
  <c r="I365" i="3"/>
  <c r="H365" i="3"/>
  <c r="L365" i="3"/>
  <c r="J373" i="3"/>
  <c r="K381" i="3"/>
  <c r="H384" i="3"/>
  <c r="G384" i="3"/>
  <c r="L384" i="3"/>
  <c r="K384" i="3"/>
  <c r="G393" i="3"/>
  <c r="L405" i="3"/>
  <c r="K405" i="3"/>
  <c r="I405" i="3"/>
  <c r="H405" i="3"/>
  <c r="J417" i="3"/>
  <c r="L453" i="3"/>
  <c r="K453" i="3"/>
  <c r="J453" i="3"/>
  <c r="I453" i="3"/>
  <c r="H453" i="3"/>
  <c r="G453" i="3"/>
  <c r="G227" i="3"/>
  <c r="I237" i="3"/>
  <c r="G239" i="3"/>
  <c r="I249" i="3"/>
  <c r="G251" i="3"/>
  <c r="I261" i="3"/>
  <c r="G263" i="3"/>
  <c r="I273" i="3"/>
  <c r="G275" i="3"/>
  <c r="H280" i="3"/>
  <c r="I285" i="3"/>
  <c r="G287" i="3"/>
  <c r="H292" i="3"/>
  <c r="I297" i="3"/>
  <c r="G299" i="3"/>
  <c r="H304" i="3"/>
  <c r="I309" i="3"/>
  <c r="G311" i="3"/>
  <c r="H316" i="3"/>
  <c r="I321" i="3"/>
  <c r="G323" i="3"/>
  <c r="I328" i="3"/>
  <c r="G336" i="3"/>
  <c r="H338" i="3"/>
  <c r="I340" i="3"/>
  <c r="J344" i="3"/>
  <c r="H353" i="3"/>
  <c r="H355" i="3"/>
  <c r="J357" i="3"/>
  <c r="G365" i="3"/>
  <c r="L368" i="3"/>
  <c r="K368" i="3"/>
  <c r="H368" i="3"/>
  <c r="G368" i="3"/>
  <c r="K373" i="3"/>
  <c r="I384" i="3"/>
  <c r="J393" i="3"/>
  <c r="G405" i="3"/>
  <c r="L433" i="3"/>
  <c r="K433" i="3"/>
  <c r="J433" i="3"/>
  <c r="I433" i="3"/>
  <c r="H433" i="3"/>
  <c r="G433" i="3"/>
  <c r="H227" i="3"/>
  <c r="J237" i="3"/>
  <c r="H239" i="3"/>
  <c r="J249" i="3"/>
  <c r="H251" i="3"/>
  <c r="J261" i="3"/>
  <c r="H263" i="3"/>
  <c r="J273" i="3"/>
  <c r="H275" i="3"/>
  <c r="I280" i="3"/>
  <c r="J285" i="3"/>
  <c r="H287" i="3"/>
  <c r="I292" i="3"/>
  <c r="J297" i="3"/>
  <c r="H299" i="3"/>
  <c r="I304" i="3"/>
  <c r="J309" i="3"/>
  <c r="H311" i="3"/>
  <c r="I316" i="3"/>
  <c r="J321" i="3"/>
  <c r="H323" i="3"/>
  <c r="J328" i="3"/>
  <c r="H336" i="3"/>
  <c r="I338" i="3"/>
  <c r="J340" i="3"/>
  <c r="K344" i="3"/>
  <c r="I349" i="3"/>
  <c r="H349" i="3"/>
  <c r="I353" i="3"/>
  <c r="I355" i="3"/>
  <c r="K357" i="3"/>
  <c r="H360" i="3"/>
  <c r="L360" i="3"/>
  <c r="K360" i="3"/>
  <c r="J365" i="3"/>
  <c r="I368" i="3"/>
  <c r="L376" i="3"/>
  <c r="K376" i="3"/>
  <c r="H376" i="3"/>
  <c r="G376" i="3"/>
  <c r="J384" i="3"/>
  <c r="K393" i="3"/>
  <c r="J405" i="3"/>
  <c r="L436" i="3"/>
  <c r="K436" i="3"/>
  <c r="J436" i="3"/>
  <c r="I436" i="3"/>
  <c r="H436" i="3"/>
  <c r="G436" i="3"/>
  <c r="L477" i="3"/>
  <c r="K477" i="3"/>
  <c r="J477" i="3"/>
  <c r="I477" i="3"/>
  <c r="H477" i="3"/>
  <c r="G477" i="3"/>
  <c r="K328" i="3"/>
  <c r="I332" i="3"/>
  <c r="I336" i="3"/>
  <c r="K338" i="3"/>
  <c r="L344" i="3"/>
  <c r="G349" i="3"/>
  <c r="J355" i="3"/>
  <c r="G360" i="3"/>
  <c r="K365" i="3"/>
  <c r="J368" i="3"/>
  <c r="I376" i="3"/>
  <c r="L385" i="3"/>
  <c r="I385" i="3"/>
  <c r="H385" i="3"/>
  <c r="L421" i="3"/>
  <c r="K421" i="3"/>
  <c r="J421" i="3"/>
  <c r="I421" i="3"/>
  <c r="H421" i="3"/>
  <c r="G421" i="3"/>
  <c r="I362" i="3"/>
  <c r="J367" i="3"/>
  <c r="J379" i="3"/>
  <c r="L389" i="3"/>
  <c r="J391" i="3"/>
  <c r="K396" i="3"/>
  <c r="L401" i="3"/>
  <c r="K408" i="3"/>
  <c r="L413" i="3"/>
  <c r="K420" i="3"/>
  <c r="L425" i="3"/>
  <c r="K432" i="3"/>
  <c r="L437" i="3"/>
  <c r="K444" i="3"/>
  <c r="G448" i="3"/>
  <c r="L449" i="3"/>
  <c r="K456" i="3"/>
  <c r="G460" i="3"/>
  <c r="L461" i="3"/>
  <c r="K468" i="3"/>
  <c r="G472" i="3"/>
  <c r="L473" i="3"/>
  <c r="K480" i="3"/>
  <c r="G484" i="3"/>
  <c r="L485" i="3"/>
  <c r="K492" i="3"/>
  <c r="G496" i="3"/>
  <c r="L497" i="3"/>
  <c r="G359" i="3"/>
  <c r="K367" i="3"/>
  <c r="G371" i="3"/>
  <c r="K379" i="3"/>
  <c r="G383" i="3"/>
  <c r="K391" i="3"/>
  <c r="G395" i="3"/>
  <c r="L396" i="3"/>
  <c r="K403" i="3"/>
  <c r="G407" i="3"/>
  <c r="L408" i="3"/>
  <c r="K415" i="3"/>
  <c r="G419" i="3"/>
  <c r="L420" i="3"/>
  <c r="K427" i="3"/>
  <c r="G431" i="3"/>
  <c r="L432" i="3"/>
  <c r="K439" i="3"/>
  <c r="G443" i="3"/>
  <c r="L444" i="3"/>
  <c r="H448" i="3"/>
  <c r="K451" i="3"/>
  <c r="G455" i="3"/>
  <c r="L456" i="3"/>
  <c r="H460" i="3"/>
  <c r="K463" i="3"/>
  <c r="G467" i="3"/>
  <c r="L468" i="3"/>
  <c r="H472" i="3"/>
  <c r="K475" i="3"/>
  <c r="G479" i="3"/>
  <c r="L480" i="3"/>
  <c r="H484" i="3"/>
  <c r="K487" i="3"/>
  <c r="G491" i="3"/>
  <c r="L492" i="3"/>
  <c r="H496" i="3"/>
  <c r="K499" i="3"/>
  <c r="I448" i="3"/>
  <c r="I460" i="3"/>
  <c r="I472" i="3"/>
  <c r="I484" i="3"/>
  <c r="I496" i="3"/>
  <c r="G445" i="3"/>
  <c r="J448" i="3"/>
  <c r="G457" i="3"/>
  <c r="J460" i="3"/>
  <c r="G469" i="3"/>
  <c r="J472" i="3"/>
  <c r="G481" i="3"/>
  <c r="J484" i="3"/>
  <c r="G493" i="3"/>
  <c r="J496" i="3"/>
  <c r="I354" i="3"/>
  <c r="J359" i="3"/>
  <c r="I366" i="3"/>
  <c r="J371" i="3"/>
  <c r="I378" i="3"/>
  <c r="J383" i="3"/>
  <c r="I390" i="3"/>
  <c r="J395" i="3"/>
  <c r="I402" i="3"/>
  <c r="G404" i="3"/>
  <c r="J407" i="3"/>
  <c r="I414" i="3"/>
  <c r="G416" i="3"/>
  <c r="J419" i="3"/>
  <c r="I426" i="3"/>
  <c r="G428" i="3"/>
  <c r="J431" i="3"/>
  <c r="I438" i="3"/>
  <c r="G440" i="3"/>
  <c r="J443" i="3"/>
  <c r="H445" i="3"/>
  <c r="K448" i="3"/>
  <c r="I450" i="3"/>
  <c r="G452" i="3"/>
  <c r="J455" i="3"/>
  <c r="H457" i="3"/>
  <c r="K460" i="3"/>
  <c r="I462" i="3"/>
  <c r="G464" i="3"/>
  <c r="J467" i="3"/>
  <c r="H469" i="3"/>
  <c r="K472" i="3"/>
  <c r="I474" i="3"/>
  <c r="G476" i="3"/>
  <c r="J479" i="3"/>
  <c r="H481" i="3"/>
  <c r="K484" i="3"/>
  <c r="I486" i="3"/>
  <c r="G488" i="3"/>
  <c r="J491" i="3"/>
  <c r="H493" i="3"/>
  <c r="K496" i="3"/>
  <c r="I498" i="3"/>
  <c r="G500" i="3"/>
  <c r="H404" i="3"/>
  <c r="H416" i="3"/>
  <c r="H428" i="3"/>
  <c r="H440" i="3"/>
  <c r="I445" i="3"/>
  <c r="H452" i="3"/>
  <c r="I457" i="3"/>
  <c r="H464" i="3"/>
  <c r="I469" i="3"/>
  <c r="H476" i="3"/>
  <c r="I481" i="3"/>
  <c r="H488" i="3"/>
  <c r="I493" i="3"/>
  <c r="G495" i="3"/>
  <c r="H500" i="3"/>
  <c r="I404" i="3"/>
  <c r="I416" i="3"/>
  <c r="I428" i="3"/>
  <c r="I440" i="3"/>
  <c r="J445" i="3"/>
  <c r="I452" i="3"/>
  <c r="J457" i="3"/>
  <c r="I464" i="3"/>
  <c r="J469" i="3"/>
  <c r="I476" i="3"/>
  <c r="J481" i="3"/>
  <c r="I488" i="3"/>
  <c r="J493" i="3"/>
  <c r="I500" i="3"/>
  <c r="G389" i="3"/>
  <c r="G401" i="3"/>
  <c r="J404" i="3"/>
  <c r="G413" i="3"/>
  <c r="J416" i="3"/>
  <c r="G425" i="3"/>
  <c r="J428" i="3"/>
  <c r="G437" i="3"/>
  <c r="J440" i="3"/>
  <c r="K445" i="3"/>
  <c r="G449" i="3"/>
  <c r="J452" i="3"/>
  <c r="K457" i="3"/>
  <c r="G461" i="3"/>
  <c r="J464" i="3"/>
  <c r="K469" i="3"/>
  <c r="G473" i="3"/>
  <c r="J476" i="3"/>
  <c r="K481" i="3"/>
  <c r="G485" i="3"/>
  <c r="J488" i="3"/>
  <c r="K493" i="3"/>
  <c r="G497" i="3"/>
  <c r="J500" i="3"/>
  <c r="H389" i="3"/>
  <c r="G396" i="3"/>
  <c r="H401" i="3"/>
  <c r="K404" i="3"/>
  <c r="G408" i="3"/>
  <c r="H413" i="3"/>
  <c r="K416" i="3"/>
  <c r="G420" i="3"/>
  <c r="H425" i="3"/>
  <c r="K428" i="3"/>
  <c r="G432" i="3"/>
  <c r="H437" i="3"/>
  <c r="K440" i="3"/>
  <c r="G444" i="3"/>
  <c r="H449" i="3"/>
  <c r="K452" i="3"/>
  <c r="G456" i="3"/>
  <c r="H461" i="3"/>
  <c r="K464" i="3"/>
  <c r="G468" i="3"/>
  <c r="H473" i="3"/>
  <c r="K476" i="3"/>
  <c r="G480" i="3"/>
  <c r="H485" i="3"/>
  <c r="K488" i="3"/>
  <c r="G492" i="3"/>
  <c r="H497" i="3"/>
  <c r="K500" i="3"/>
  <c r="B91" i="4"/>
  <c r="B90" i="4"/>
  <c r="B89" i="4"/>
  <c r="B88" i="4"/>
  <c r="B87" i="4"/>
  <c r="B96" i="4"/>
  <c r="B84" i="4"/>
  <c r="B85" i="4"/>
  <c r="B95" i="4"/>
  <c r="B94" i="4"/>
  <c r="B93" i="4"/>
  <c r="B86" i="4"/>
  <c r="B92" i="4"/>
  <c r="AI320" i="2"/>
  <c r="AI317" i="2"/>
  <c r="AI322" i="2"/>
  <c r="AL316" i="2"/>
  <c r="AI324" i="2"/>
  <c r="AI318" i="2"/>
  <c r="AI323" i="2"/>
  <c r="AL325" i="2"/>
  <c r="AL324" i="2"/>
  <c r="B4" i="4" l="1"/>
  <c r="AE327" i="2"/>
  <c r="B2" i="4"/>
  <c r="B3" i="4"/>
  <c r="AE315" i="2"/>
  <c r="AH315" i="2"/>
  <c r="AE245" i="2"/>
  <c r="AL245" i="2"/>
  <c r="AH245" i="2"/>
  <c r="AE246" i="2"/>
  <c r="AL246" i="2"/>
  <c r="AH246" i="2"/>
  <c r="AE247" i="2"/>
  <c r="AH247" i="2"/>
  <c r="AE248" i="2"/>
  <c r="AH248" i="2"/>
  <c r="AE249" i="2"/>
  <c r="AH249" i="2"/>
  <c r="AE250" i="2"/>
  <c r="AH250" i="2"/>
  <c r="AE251" i="2"/>
  <c r="AH251" i="2"/>
  <c r="AE252" i="2"/>
  <c r="AL252" i="2"/>
  <c r="AH252" i="2"/>
  <c r="AE253" i="2"/>
  <c r="AH253" i="2"/>
  <c r="AE254" i="2"/>
  <c r="AH254" i="2"/>
  <c r="AE255" i="2"/>
  <c r="AL255" i="2"/>
  <c r="AH255" i="2"/>
  <c r="AE256" i="2"/>
  <c r="AH256" i="2"/>
  <c r="AE257" i="2"/>
  <c r="AL257" i="2"/>
  <c r="AH257" i="2"/>
  <c r="AE258" i="2"/>
  <c r="AL258" i="2"/>
  <c r="AH258" i="2"/>
  <c r="M247" i="2"/>
  <c r="M248" i="2"/>
  <c r="M249" i="2"/>
  <c r="M250" i="2"/>
  <c r="M251" i="2"/>
  <c r="M252" i="2"/>
  <c r="M253" i="2"/>
  <c r="M254" i="2"/>
  <c r="M255" i="2"/>
  <c r="AE14" i="2"/>
  <c r="AL14" i="2"/>
  <c r="AH14" i="2"/>
  <c r="AE15" i="2"/>
  <c r="AL15" i="2"/>
  <c r="AH15" i="2"/>
  <c r="AE16" i="2"/>
  <c r="AL16" i="2"/>
  <c r="AH16" i="2"/>
  <c r="AE17" i="2"/>
  <c r="AL17" i="2"/>
  <c r="AH17" i="2"/>
  <c r="AE18" i="2"/>
  <c r="AL18" i="2"/>
  <c r="AH18" i="2"/>
  <c r="AE19" i="2"/>
  <c r="AH19" i="2"/>
  <c r="AE20" i="2"/>
  <c r="AH20" i="2"/>
  <c r="AE21" i="2"/>
  <c r="AL21" i="2"/>
  <c r="AH21" i="2"/>
  <c r="AE22" i="2"/>
  <c r="AH22" i="2"/>
  <c r="AE23" i="2"/>
  <c r="AL23" i="2"/>
  <c r="AH23" i="2"/>
  <c r="AE24" i="2"/>
  <c r="AH24" i="2"/>
  <c r="AE25" i="2"/>
  <c r="AH25" i="2"/>
  <c r="AE26" i="2"/>
  <c r="AL26" i="2"/>
  <c r="AH26" i="2"/>
  <c r="AE27" i="2"/>
  <c r="AL27" i="2"/>
  <c r="AH27" i="2"/>
  <c r="AE28" i="2"/>
  <c r="AL28" i="2"/>
  <c r="AH28" i="2"/>
  <c r="AE29" i="2"/>
  <c r="AL29" i="2"/>
  <c r="AH29" i="2"/>
  <c r="AE30" i="2"/>
  <c r="AL30" i="2"/>
  <c r="AH30" i="2"/>
  <c r="AE31" i="2"/>
  <c r="AH31" i="2"/>
  <c r="AE32" i="2"/>
  <c r="AH32" i="2"/>
  <c r="AE33" i="2"/>
  <c r="AL33" i="2"/>
  <c r="AH33" i="2"/>
  <c r="AE34" i="2"/>
  <c r="AL34" i="2"/>
  <c r="AH34" i="2"/>
  <c r="AE35" i="2"/>
  <c r="AL35" i="2"/>
  <c r="AH35" i="2"/>
  <c r="AE36" i="2"/>
  <c r="AH36" i="2"/>
  <c r="AE37" i="2"/>
  <c r="AL37" i="2"/>
  <c r="AH37" i="2"/>
  <c r="AE38" i="2"/>
  <c r="AL38" i="2"/>
  <c r="AH38" i="2"/>
  <c r="AE39" i="2"/>
  <c r="AL39" i="2"/>
  <c r="AH39" i="2"/>
  <c r="AE40" i="2"/>
  <c r="AL40" i="2"/>
  <c r="AH40" i="2"/>
  <c r="AE41" i="2"/>
  <c r="AL41" i="2"/>
  <c r="AH41" i="2"/>
  <c r="AE42" i="2"/>
  <c r="AL42" i="2"/>
  <c r="AH42" i="2"/>
  <c r="AE43" i="2"/>
  <c r="AL43" i="2"/>
  <c r="AH43" i="2"/>
  <c r="AE44" i="2"/>
  <c r="AH44" i="2"/>
  <c r="AE45" i="2"/>
  <c r="AL45" i="2"/>
  <c r="AH45" i="2"/>
  <c r="AE46" i="2"/>
  <c r="AL46" i="2"/>
  <c r="AH46" i="2"/>
  <c r="AE47" i="2"/>
  <c r="AL47" i="2"/>
  <c r="AH47" i="2"/>
  <c r="AE48" i="2"/>
  <c r="AH48" i="2"/>
  <c r="AE49" i="2"/>
  <c r="AL49" i="2"/>
  <c r="AH49" i="2"/>
  <c r="AE50" i="2"/>
  <c r="AL50" i="2"/>
  <c r="AH50" i="2"/>
  <c r="AE51" i="2"/>
  <c r="AL51" i="2"/>
  <c r="AH51" i="2"/>
  <c r="AE52" i="2"/>
  <c r="AL52" i="2"/>
  <c r="AH52" i="2"/>
  <c r="AE53" i="2"/>
  <c r="AL53" i="2"/>
  <c r="AH53" i="2"/>
  <c r="AE54" i="2"/>
  <c r="AL54" i="2"/>
  <c r="AH54" i="2"/>
  <c r="AE55" i="2"/>
  <c r="AL55" i="2"/>
  <c r="AH55" i="2"/>
  <c r="AE56" i="2"/>
  <c r="AL56" i="2"/>
  <c r="AH56" i="2"/>
  <c r="AE57" i="2"/>
  <c r="AL57" i="2"/>
  <c r="AH57" i="2"/>
  <c r="AE58" i="2"/>
  <c r="AL58" i="2"/>
  <c r="AH58" i="2"/>
  <c r="AE59" i="2"/>
  <c r="AL59" i="2"/>
  <c r="AH59" i="2"/>
  <c r="AE60" i="2"/>
  <c r="AL60" i="2"/>
  <c r="AH60" i="2"/>
  <c r="AE61" i="2"/>
  <c r="AH61" i="2"/>
  <c r="AE62" i="2"/>
  <c r="AL62" i="2"/>
  <c r="AH62" i="2"/>
  <c r="AE63" i="2"/>
  <c r="AL63" i="2"/>
  <c r="AH63" i="2"/>
  <c r="AE64" i="2"/>
  <c r="AL64" i="2"/>
  <c r="AH64" i="2"/>
  <c r="AE65" i="2"/>
  <c r="AL65" i="2"/>
  <c r="AH65" i="2"/>
  <c r="AE66" i="2"/>
  <c r="AL66" i="2"/>
  <c r="AH66" i="2"/>
  <c r="AE67" i="2"/>
  <c r="AL67" i="2"/>
  <c r="AH67" i="2"/>
  <c r="AE68" i="2"/>
  <c r="AL68" i="2"/>
  <c r="AH68" i="2"/>
  <c r="AE69" i="2"/>
  <c r="AH69" i="2"/>
  <c r="AE70" i="2"/>
  <c r="AL70" i="2"/>
  <c r="AH70" i="2"/>
  <c r="AE71" i="2"/>
  <c r="AL71" i="2"/>
  <c r="AH71" i="2"/>
  <c r="AE72" i="2"/>
  <c r="AL72" i="2"/>
  <c r="AH72" i="2"/>
  <c r="AE73" i="2"/>
  <c r="AH73" i="2"/>
  <c r="AE74" i="2"/>
  <c r="AL74" i="2"/>
  <c r="AH74" i="2"/>
  <c r="AE75" i="2"/>
  <c r="AL75" i="2"/>
  <c r="AH75" i="2"/>
  <c r="AE76" i="2"/>
  <c r="AL76" i="2"/>
  <c r="AH76" i="2"/>
  <c r="AE77" i="2"/>
  <c r="AL77" i="2"/>
  <c r="AH77" i="2"/>
  <c r="AE78" i="2"/>
  <c r="AL78" i="2"/>
  <c r="AH78" i="2"/>
  <c r="AE79" i="2"/>
  <c r="AH79" i="2"/>
  <c r="AE80" i="2"/>
  <c r="AL80" i="2"/>
  <c r="AH80" i="2"/>
  <c r="AE81" i="2"/>
  <c r="AL81" i="2"/>
  <c r="AH81" i="2"/>
  <c r="AE82" i="2"/>
  <c r="AL82" i="2"/>
  <c r="AH82" i="2"/>
  <c r="AE83" i="2"/>
  <c r="AL83" i="2"/>
  <c r="AH83" i="2"/>
  <c r="AE84" i="2"/>
  <c r="AL84" i="2"/>
  <c r="AH84" i="2"/>
  <c r="AE85" i="2"/>
  <c r="AL85" i="2"/>
  <c r="AH85" i="2"/>
  <c r="AE86" i="2"/>
  <c r="AL86" i="2"/>
  <c r="AH86" i="2"/>
  <c r="AE87" i="2"/>
  <c r="AL87" i="2"/>
  <c r="AH87" i="2"/>
  <c r="AE88" i="2"/>
  <c r="AL88" i="2"/>
  <c r="AH88" i="2"/>
  <c r="AE89" i="2"/>
  <c r="AH89" i="2"/>
  <c r="AE90" i="2"/>
  <c r="AL90" i="2"/>
  <c r="AH90" i="2"/>
  <c r="AE91" i="2"/>
  <c r="AL91" i="2"/>
  <c r="AH91" i="2"/>
  <c r="AE92" i="2"/>
  <c r="AL92" i="2"/>
  <c r="AH92" i="2"/>
  <c r="AE93" i="2"/>
  <c r="AL93" i="2"/>
  <c r="AH93" i="2"/>
  <c r="AE94" i="2"/>
  <c r="AL94" i="2"/>
  <c r="AH94" i="2"/>
  <c r="AE95" i="2"/>
  <c r="AL95" i="2"/>
  <c r="AH95" i="2"/>
  <c r="AE96" i="2"/>
  <c r="AH96" i="2"/>
  <c r="AE97" i="2"/>
  <c r="AL97" i="2"/>
  <c r="AH97" i="2"/>
  <c r="AE98" i="2"/>
  <c r="AL98" i="2"/>
  <c r="AH98" i="2"/>
  <c r="AE99" i="2"/>
  <c r="AL99" i="2"/>
  <c r="AH99" i="2"/>
  <c r="AE100" i="2"/>
  <c r="AL100" i="2"/>
  <c r="AH100" i="2"/>
  <c r="AE101" i="2"/>
  <c r="AH101" i="2"/>
  <c r="AE102" i="2"/>
  <c r="AL102" i="2"/>
  <c r="AH102" i="2"/>
  <c r="AE103" i="2"/>
  <c r="AH103" i="2"/>
  <c r="AE104" i="2"/>
  <c r="AL104" i="2"/>
  <c r="AH104" i="2"/>
  <c r="AE105" i="2"/>
  <c r="AL105" i="2"/>
  <c r="AH105" i="2"/>
  <c r="AE106" i="2"/>
  <c r="AL106" i="2"/>
  <c r="AH106" i="2"/>
  <c r="AE107" i="2"/>
  <c r="AL107" i="2"/>
  <c r="AH107" i="2"/>
  <c r="AE108" i="2"/>
  <c r="AL108" i="2"/>
  <c r="AH108" i="2"/>
  <c r="AE109" i="2"/>
  <c r="AL109" i="2"/>
  <c r="AH109" i="2"/>
  <c r="AE110" i="2"/>
  <c r="AL110" i="2"/>
  <c r="AH110" i="2"/>
  <c r="AE111" i="2"/>
  <c r="AL111" i="2"/>
  <c r="AH111" i="2"/>
  <c r="AE112" i="2"/>
  <c r="AL112" i="2"/>
  <c r="AH112" i="2"/>
  <c r="AE113" i="2"/>
  <c r="AL113" i="2"/>
  <c r="AH113" i="2"/>
  <c r="AE114" i="2"/>
  <c r="AL114" i="2"/>
  <c r="AH114" i="2"/>
  <c r="AE115" i="2"/>
  <c r="AL115" i="2"/>
  <c r="AH115" i="2"/>
  <c r="AE116" i="2"/>
  <c r="AL116" i="2"/>
  <c r="AH116" i="2"/>
  <c r="AE117" i="2"/>
  <c r="AH117" i="2"/>
  <c r="AE118" i="2"/>
  <c r="AL118" i="2"/>
  <c r="AH118" i="2"/>
  <c r="AE119" i="2"/>
  <c r="AL119" i="2"/>
  <c r="AH119" i="2"/>
  <c r="AE120" i="2"/>
  <c r="AL120" i="2"/>
  <c r="AH120" i="2"/>
  <c r="AE121" i="2"/>
  <c r="AH121" i="2"/>
  <c r="AE122" i="2"/>
  <c r="AL122" i="2"/>
  <c r="AH122" i="2"/>
  <c r="AE123" i="2"/>
  <c r="AH123" i="2"/>
  <c r="AE124" i="2"/>
  <c r="AH124" i="2"/>
  <c r="AE125" i="2"/>
  <c r="AL125" i="2"/>
  <c r="AH125" i="2"/>
  <c r="AE126" i="2"/>
  <c r="AH126" i="2"/>
  <c r="AE127" i="2"/>
  <c r="AL127" i="2"/>
  <c r="AH127" i="2"/>
  <c r="AE128" i="2"/>
  <c r="AH128" i="2"/>
  <c r="AE129" i="2"/>
  <c r="AH129" i="2"/>
  <c r="AE130" i="2"/>
  <c r="AL130" i="2"/>
  <c r="AH130" i="2"/>
  <c r="AE131" i="2"/>
  <c r="AL131" i="2"/>
  <c r="AH131" i="2"/>
  <c r="AE132" i="2"/>
  <c r="AL132" i="2"/>
  <c r="AH132" i="2"/>
  <c r="AE133" i="2"/>
  <c r="AH133" i="2"/>
  <c r="AE134" i="2"/>
  <c r="AH134" i="2"/>
  <c r="AE135" i="2"/>
  <c r="AH135" i="2"/>
  <c r="AE136" i="2"/>
  <c r="AH136" i="2"/>
  <c r="AE137" i="2"/>
  <c r="AL137" i="2"/>
  <c r="AH137" i="2"/>
  <c r="AE138" i="2"/>
  <c r="AH138" i="2"/>
  <c r="AE139" i="2"/>
  <c r="AL139" i="2"/>
  <c r="AH139" i="2"/>
  <c r="AE140" i="2"/>
  <c r="AL140" i="2"/>
  <c r="AH140" i="2"/>
  <c r="AE141" i="2"/>
  <c r="AL141" i="2"/>
  <c r="AH141" i="2"/>
  <c r="AE142" i="2"/>
  <c r="AL142" i="2"/>
  <c r="AH142" i="2"/>
  <c r="AE143" i="2"/>
  <c r="AL143" i="2"/>
  <c r="AH143" i="2"/>
  <c r="AE144" i="2"/>
  <c r="AL144" i="2"/>
  <c r="AH144" i="2"/>
  <c r="AE145" i="2"/>
  <c r="AH145" i="2"/>
  <c r="AE146" i="2"/>
  <c r="AH146" i="2"/>
  <c r="AE147" i="2"/>
  <c r="AL147" i="2"/>
  <c r="AH147" i="2"/>
  <c r="AE148" i="2"/>
  <c r="AL148" i="2"/>
  <c r="AH148" i="2"/>
  <c r="AE149" i="2"/>
  <c r="AH149" i="2"/>
  <c r="AE150" i="2"/>
  <c r="AL150" i="2"/>
  <c r="AH150" i="2"/>
  <c r="AE151" i="2"/>
  <c r="AL151" i="2"/>
  <c r="AH151" i="2"/>
  <c r="AE152" i="2"/>
  <c r="AH152" i="2"/>
  <c r="AE153" i="2"/>
  <c r="AL153" i="2"/>
  <c r="AH153" i="2"/>
  <c r="AE154" i="2"/>
  <c r="AL154" i="2"/>
  <c r="AH154" i="2"/>
  <c r="AE155" i="2"/>
  <c r="AL155" i="2"/>
  <c r="AH155" i="2"/>
  <c r="AE156" i="2"/>
  <c r="AL156" i="2"/>
  <c r="AH156" i="2"/>
  <c r="AE157" i="2"/>
  <c r="AH157" i="2"/>
  <c r="AE158" i="2"/>
  <c r="AL158" i="2"/>
  <c r="AH158" i="2"/>
  <c r="AE159" i="2"/>
  <c r="AL159" i="2"/>
  <c r="AH159" i="2"/>
  <c r="AE160" i="2"/>
  <c r="AL160" i="2"/>
  <c r="AH160" i="2"/>
  <c r="AE161" i="2"/>
  <c r="AL161" i="2"/>
  <c r="AH161" i="2"/>
  <c r="AE162" i="2"/>
  <c r="AL162" i="2"/>
  <c r="AH162" i="2"/>
  <c r="AE163" i="2"/>
  <c r="AL163" i="2"/>
  <c r="AH163" i="2"/>
  <c r="AE164" i="2"/>
  <c r="AL164" i="2"/>
  <c r="AH164" i="2"/>
  <c r="AE165" i="2"/>
  <c r="AL165" i="2"/>
  <c r="AH165" i="2"/>
  <c r="AE166" i="2"/>
  <c r="AL166" i="2"/>
  <c r="AH166" i="2"/>
  <c r="AE167" i="2"/>
  <c r="AL167" i="2"/>
  <c r="AH167" i="2"/>
  <c r="AE168" i="2"/>
  <c r="AL168" i="2"/>
  <c r="AH168" i="2"/>
  <c r="AE169" i="2"/>
  <c r="AH169" i="2"/>
  <c r="AE170" i="2"/>
  <c r="AL170" i="2"/>
  <c r="AH170" i="2"/>
  <c r="AE171" i="2"/>
  <c r="AL171" i="2"/>
  <c r="AH171" i="2"/>
  <c r="AE172" i="2"/>
  <c r="AL172" i="2"/>
  <c r="AH172" i="2"/>
  <c r="AE173" i="2"/>
  <c r="AH173" i="2"/>
  <c r="AE174" i="2"/>
  <c r="AL174" i="2"/>
  <c r="AH174" i="2"/>
  <c r="AE175" i="2"/>
  <c r="AL175" i="2"/>
  <c r="AH175" i="2"/>
  <c r="AE176" i="2"/>
  <c r="AH176" i="2"/>
  <c r="AE177" i="2"/>
  <c r="AL177" i="2"/>
  <c r="AH177" i="2"/>
  <c r="AE178" i="2"/>
  <c r="AL178" i="2"/>
  <c r="AH178" i="2"/>
  <c r="AE179" i="2"/>
  <c r="AL179" i="2"/>
  <c r="AH179" i="2"/>
  <c r="AE180" i="2"/>
  <c r="AL180" i="2"/>
  <c r="AH180" i="2"/>
  <c r="AE181" i="2"/>
  <c r="AL181" i="2"/>
  <c r="AH181" i="2"/>
  <c r="AE182" i="2"/>
  <c r="AL182" i="2"/>
  <c r="AH182" i="2"/>
  <c r="AE183" i="2"/>
  <c r="AL183" i="2"/>
  <c r="AH183" i="2"/>
  <c r="AE184" i="2"/>
  <c r="AL184" i="2"/>
  <c r="AH184" i="2"/>
  <c r="AE185" i="2"/>
  <c r="AL185" i="2"/>
  <c r="AH185" i="2"/>
  <c r="AE186" i="2"/>
  <c r="AL186" i="2"/>
  <c r="AH186" i="2"/>
  <c r="AE187" i="2"/>
  <c r="AL187" i="2"/>
  <c r="AH187" i="2"/>
  <c r="AE188" i="2"/>
  <c r="AL188" i="2"/>
  <c r="AH188" i="2"/>
  <c r="AE189" i="2"/>
  <c r="AL189" i="2"/>
  <c r="AH189" i="2"/>
  <c r="AE190" i="2"/>
  <c r="AL190" i="2"/>
  <c r="AH190" i="2"/>
  <c r="AE191" i="2"/>
  <c r="AL191" i="2"/>
  <c r="AH191" i="2"/>
  <c r="AE192" i="2"/>
  <c r="AL192" i="2"/>
  <c r="AH192" i="2"/>
  <c r="AE193" i="2"/>
  <c r="AL193" i="2"/>
  <c r="AH193" i="2"/>
  <c r="AE194" i="2"/>
  <c r="AH194" i="2"/>
  <c r="AE195" i="2"/>
  <c r="AL195" i="2"/>
  <c r="AH195" i="2"/>
  <c r="AE196" i="2"/>
  <c r="AL196" i="2"/>
  <c r="AH196" i="2"/>
  <c r="AE197" i="2"/>
  <c r="AL197" i="2"/>
  <c r="AH197" i="2"/>
  <c r="AE198" i="2"/>
  <c r="AL198" i="2"/>
  <c r="AH198" i="2"/>
  <c r="AE199" i="2"/>
  <c r="AL199" i="2"/>
  <c r="AH199" i="2"/>
  <c r="AE200" i="2"/>
  <c r="AL200" i="2"/>
  <c r="AH200" i="2"/>
  <c r="AE201" i="2"/>
  <c r="AL201" i="2"/>
  <c r="AH201" i="2"/>
  <c r="AE202" i="2"/>
  <c r="AL202" i="2"/>
  <c r="AH202" i="2"/>
  <c r="AE203" i="2"/>
  <c r="AL203" i="2"/>
  <c r="AH203" i="2"/>
  <c r="AE204" i="2"/>
  <c r="AL204" i="2"/>
  <c r="AH204" i="2"/>
  <c r="AE205" i="2"/>
  <c r="AL205" i="2"/>
  <c r="AH205" i="2"/>
  <c r="AE206" i="2"/>
  <c r="AL206" i="2"/>
  <c r="AH206" i="2"/>
  <c r="AE207" i="2"/>
  <c r="AL207" i="2"/>
  <c r="AH207" i="2"/>
  <c r="AE208" i="2"/>
  <c r="AL208" i="2"/>
  <c r="AH208" i="2"/>
  <c r="AE209" i="2"/>
  <c r="AL209" i="2"/>
  <c r="AH209" i="2"/>
  <c r="AE210" i="2"/>
  <c r="AL210" i="2"/>
  <c r="AH210" i="2"/>
  <c r="AE211" i="2"/>
  <c r="AL211" i="2"/>
  <c r="AH211" i="2"/>
  <c r="AE212" i="2"/>
  <c r="AL212" i="2"/>
  <c r="AH212" i="2"/>
  <c r="AE213" i="2"/>
  <c r="AL213" i="2"/>
  <c r="AH213" i="2"/>
  <c r="AE214" i="2"/>
  <c r="AL214" i="2"/>
  <c r="AH214" i="2"/>
  <c r="AE215" i="2"/>
  <c r="AL215" i="2"/>
  <c r="AH215" i="2"/>
  <c r="AE216" i="2"/>
  <c r="AL216" i="2"/>
  <c r="AH216" i="2"/>
  <c r="AE217" i="2"/>
  <c r="AH217" i="2"/>
  <c r="AE218" i="2"/>
  <c r="AL218" i="2"/>
  <c r="AH218" i="2"/>
  <c r="AE219" i="2"/>
  <c r="AL219" i="2"/>
  <c r="AH219" i="2"/>
  <c r="AE220" i="2"/>
  <c r="AH220" i="2"/>
  <c r="AE221" i="2"/>
  <c r="AL221" i="2"/>
  <c r="AH221" i="2"/>
  <c r="AE222" i="2"/>
  <c r="AL222" i="2"/>
  <c r="AH222" i="2"/>
  <c r="AE223" i="2"/>
  <c r="AH223" i="2"/>
  <c r="AE224" i="2"/>
  <c r="AL224" i="2"/>
  <c r="AH224" i="2"/>
  <c r="AE225" i="2"/>
  <c r="AL225" i="2"/>
  <c r="AH225" i="2"/>
  <c r="AE226" i="2"/>
  <c r="AL226" i="2"/>
  <c r="AH226" i="2"/>
  <c r="AE227" i="2"/>
  <c r="AH227" i="2"/>
  <c r="AE228" i="2"/>
  <c r="AL228" i="2"/>
  <c r="AH228" i="2"/>
  <c r="AE229" i="2"/>
  <c r="AL229" i="2"/>
  <c r="AH229" i="2"/>
  <c r="AE230" i="2"/>
  <c r="AL230" i="2"/>
  <c r="AH230" i="2"/>
  <c r="AE231" i="2"/>
  <c r="AL231" i="2"/>
  <c r="AH231" i="2"/>
  <c r="AE232" i="2"/>
  <c r="AH232" i="2"/>
  <c r="AE233" i="2"/>
  <c r="AH233" i="2"/>
  <c r="AE234" i="2"/>
  <c r="AL234" i="2"/>
  <c r="AH234" i="2"/>
  <c r="AE235" i="2"/>
  <c r="AL235" i="2"/>
  <c r="AH235" i="2"/>
  <c r="AE236" i="2"/>
  <c r="AL236" i="2"/>
  <c r="AH236" i="2"/>
  <c r="AE237" i="2"/>
  <c r="AL237" i="2"/>
  <c r="AH237" i="2"/>
  <c r="AE238" i="2"/>
  <c r="AL238" i="2"/>
  <c r="AH238" i="2"/>
  <c r="AE239" i="2"/>
  <c r="AL239" i="2"/>
  <c r="AH239" i="2"/>
  <c r="AE240" i="2"/>
  <c r="AL240" i="2"/>
  <c r="AH240" i="2"/>
  <c r="AE241" i="2"/>
  <c r="AH241" i="2"/>
  <c r="AE242" i="2"/>
  <c r="AH242" i="2"/>
  <c r="AE243" i="2"/>
  <c r="AH243" i="2"/>
  <c r="AE244" i="2"/>
  <c r="AL244" i="2"/>
  <c r="AH244" i="2"/>
  <c r="AE259" i="2"/>
  <c r="AL259" i="2"/>
  <c r="AH259" i="2"/>
  <c r="AE260" i="2"/>
  <c r="AL260" i="2"/>
  <c r="AH260" i="2"/>
  <c r="AE261" i="2"/>
  <c r="AL261" i="2"/>
  <c r="AH261" i="2"/>
  <c r="AE262" i="2"/>
  <c r="AL262" i="2"/>
  <c r="AH262" i="2"/>
  <c r="AE263" i="2"/>
  <c r="AL263" i="2"/>
  <c r="AH263" i="2"/>
  <c r="AE264" i="2"/>
  <c r="AL264" i="2"/>
  <c r="AH264" i="2"/>
  <c r="AE265" i="2"/>
  <c r="AL265" i="2"/>
  <c r="AH265" i="2"/>
  <c r="AE266" i="2"/>
  <c r="AL266" i="2"/>
  <c r="AH266" i="2"/>
  <c r="AE267" i="2"/>
  <c r="AL267" i="2"/>
  <c r="AH267" i="2"/>
  <c r="AE268" i="2"/>
  <c r="AH268" i="2"/>
  <c r="AE269" i="2"/>
  <c r="AH269" i="2"/>
  <c r="AE270" i="2"/>
  <c r="AH270" i="2"/>
  <c r="AE271" i="2"/>
  <c r="AL271" i="2"/>
  <c r="AH271" i="2"/>
  <c r="AE272" i="2"/>
  <c r="AH272" i="2"/>
  <c r="AE273" i="2"/>
  <c r="AH273" i="2"/>
  <c r="AE274" i="2"/>
  <c r="AL274" i="2"/>
  <c r="AH274" i="2"/>
  <c r="AE275" i="2"/>
  <c r="AH275" i="2"/>
  <c r="AE276" i="2"/>
  <c r="AH276" i="2"/>
  <c r="AE277" i="2"/>
  <c r="AL277" i="2"/>
  <c r="AH277" i="2"/>
  <c r="AE278" i="2"/>
  <c r="AL278" i="2"/>
  <c r="AH278" i="2"/>
  <c r="AE279" i="2"/>
  <c r="AL279" i="2"/>
  <c r="AH279" i="2"/>
  <c r="AE280" i="2"/>
  <c r="AL280" i="2"/>
  <c r="AH280" i="2"/>
  <c r="AE281" i="2"/>
  <c r="AL281" i="2"/>
  <c r="AH281" i="2"/>
  <c r="AE282" i="2"/>
  <c r="AL282" i="2"/>
  <c r="AH282" i="2"/>
  <c r="AE283" i="2"/>
  <c r="AL283" i="2"/>
  <c r="AH283" i="2"/>
  <c r="AE284" i="2"/>
  <c r="AL284" i="2"/>
  <c r="AH284" i="2"/>
  <c r="AE285" i="2"/>
  <c r="AL285" i="2"/>
  <c r="AH285" i="2"/>
  <c r="AE286" i="2"/>
  <c r="AL286" i="2"/>
  <c r="AH286" i="2"/>
  <c r="AE287" i="2"/>
  <c r="AL287" i="2"/>
  <c r="AH287" i="2"/>
  <c r="AE288" i="2"/>
  <c r="AL288" i="2"/>
  <c r="AH288" i="2"/>
  <c r="AE289" i="2"/>
  <c r="AL289" i="2"/>
  <c r="AH289" i="2"/>
  <c r="AE290" i="2"/>
  <c r="AL290" i="2"/>
  <c r="AH290" i="2"/>
  <c r="AE291" i="2"/>
  <c r="AL291" i="2"/>
  <c r="AH291" i="2"/>
  <c r="AE292" i="2"/>
  <c r="AL292" i="2"/>
  <c r="AH292" i="2"/>
  <c r="AE293" i="2"/>
  <c r="AL293" i="2"/>
  <c r="AH293" i="2"/>
  <c r="AE294" i="2"/>
  <c r="AL294" i="2"/>
  <c r="AH294" i="2"/>
  <c r="AE295" i="2"/>
  <c r="AL295" i="2"/>
  <c r="AH295" i="2"/>
  <c r="AE296" i="2"/>
  <c r="AL296" i="2"/>
  <c r="AH296" i="2"/>
  <c r="AE297" i="2"/>
  <c r="AL297" i="2"/>
  <c r="AH297" i="2"/>
  <c r="AE298" i="2"/>
  <c r="AL298" i="2"/>
  <c r="AH298" i="2"/>
  <c r="AE299" i="2"/>
  <c r="AL299" i="2"/>
  <c r="AH299" i="2"/>
  <c r="AE300" i="2"/>
  <c r="AL300" i="2"/>
  <c r="AH300" i="2"/>
  <c r="AE301" i="2"/>
  <c r="AH301" i="2"/>
  <c r="AE302" i="2"/>
  <c r="AL302" i="2"/>
  <c r="AH302" i="2"/>
  <c r="AE303" i="2"/>
  <c r="AL303" i="2"/>
  <c r="AH303" i="2"/>
  <c r="AE304" i="2"/>
  <c r="AH304" i="2"/>
  <c r="AE305" i="2"/>
  <c r="AL305" i="2"/>
  <c r="AH305" i="2"/>
  <c r="AE306" i="2"/>
  <c r="AL306" i="2"/>
  <c r="AH306" i="2"/>
  <c r="AE307" i="2"/>
  <c r="AL307" i="2"/>
  <c r="AH307" i="2"/>
  <c r="AE308" i="2"/>
  <c r="AH308" i="2"/>
  <c r="AE309" i="2"/>
  <c r="AL309" i="2"/>
  <c r="AH309" i="2"/>
  <c r="AE310" i="2"/>
  <c r="AL310" i="2"/>
  <c r="AH310" i="2"/>
  <c r="AE311" i="2"/>
  <c r="AH311" i="2"/>
  <c r="AE312" i="2"/>
  <c r="AL312" i="2"/>
  <c r="AH312" i="2"/>
  <c r="AE313" i="2"/>
  <c r="AL313" i="2"/>
  <c r="AH313" i="2"/>
  <c r="AE314" i="2"/>
  <c r="AL314" i="2"/>
  <c r="AH314" i="2"/>
  <c r="AE4" i="2"/>
  <c r="AL4" i="2"/>
  <c r="AH4" i="2"/>
  <c r="AE5" i="2"/>
  <c r="AH5" i="2"/>
  <c r="AE6" i="2"/>
  <c r="AL6" i="2"/>
  <c r="AH6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5" i="2"/>
  <c r="M246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39" i="2"/>
  <c r="M340" i="2"/>
  <c r="M341" i="2"/>
  <c r="M350" i="2"/>
  <c r="M351" i="2"/>
  <c r="M352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8" i="2"/>
  <c r="M404" i="2"/>
  <c r="M405" i="2"/>
  <c r="M406" i="2"/>
  <c r="M407" i="2"/>
  <c r="M408" i="2"/>
  <c r="K134" i="2"/>
  <c r="B9" i="4"/>
  <c r="B33" i="4"/>
  <c r="B31" i="4"/>
  <c r="B10" i="4"/>
  <c r="B26" i="4"/>
  <c r="B12" i="4"/>
  <c r="B16" i="4"/>
  <c r="B25" i="4"/>
  <c r="B11" i="4"/>
  <c r="B35" i="4"/>
  <c r="B29" i="4"/>
  <c r="B32" i="4"/>
  <c r="B17" i="4"/>
  <c r="B21" i="4"/>
  <c r="B18" i="4"/>
  <c r="B13" i="4"/>
  <c r="B30" i="4"/>
  <c r="B28" i="4"/>
  <c r="B24" i="4"/>
  <c r="B22" i="4"/>
  <c r="B23" i="4"/>
  <c r="B7" i="4"/>
  <c r="B19" i="4"/>
  <c r="B15" i="4"/>
  <c r="B14" i="4"/>
  <c r="B34" i="4"/>
  <c r="B8" i="4"/>
  <c r="B20" i="4"/>
  <c r="B27" i="4"/>
  <c r="AI218" i="2" l="1"/>
  <c r="AI250" i="2"/>
  <c r="AI127" i="2"/>
  <c r="AI42" i="2"/>
  <c r="AI26" i="2"/>
  <c r="AI242" i="2"/>
  <c r="AI241" i="2"/>
  <c r="AI158" i="2"/>
  <c r="AI221" i="2"/>
  <c r="AI28" i="2"/>
  <c r="AI175" i="2"/>
  <c r="AI246" i="2"/>
  <c r="AI113" i="2"/>
  <c r="AI109" i="2"/>
  <c r="AI314" i="2"/>
  <c r="AI192" i="2"/>
  <c r="AI188" i="2"/>
  <c r="AI184" i="2"/>
  <c r="AI180" i="2"/>
  <c r="AI77" i="2"/>
  <c r="AI227" i="2"/>
  <c r="AI51" i="2"/>
  <c r="AI249" i="2"/>
  <c r="AI237" i="2"/>
  <c r="AI293" i="2"/>
  <c r="AI144" i="2"/>
  <c r="AI140" i="2"/>
  <c r="AI65" i="2"/>
  <c r="AI296" i="2"/>
  <c r="AI199" i="2"/>
  <c r="AI49" i="2"/>
  <c r="AI45" i="2"/>
  <c r="AI41" i="2"/>
  <c r="AI252" i="2"/>
  <c r="AL249" i="2"/>
  <c r="AI76" i="2"/>
  <c r="AI68" i="2"/>
  <c r="AI222" i="2"/>
  <c r="AI16" i="2"/>
  <c r="AI255" i="2"/>
  <c r="AI91" i="2"/>
  <c r="AI251" i="2"/>
  <c r="AI286" i="2"/>
  <c r="AI282" i="2"/>
  <c r="AI278" i="2"/>
  <c r="AL250" i="2"/>
  <c r="AI315" i="2"/>
  <c r="AI297" i="2"/>
  <c r="AI236" i="2"/>
  <c r="AI290" i="2"/>
  <c r="AI219" i="2"/>
  <c r="AI90" i="2"/>
  <c r="AI86" i="2"/>
  <c r="AI312" i="2"/>
  <c r="AI229" i="2"/>
  <c r="AI97" i="2"/>
  <c r="AI257" i="2"/>
  <c r="AI300" i="2"/>
  <c r="AI289" i="2"/>
  <c r="AI240" i="2"/>
  <c r="AI225" i="2"/>
  <c r="AI151" i="2"/>
  <c r="AI93" i="2"/>
  <c r="AI27" i="2"/>
  <c r="AI15" i="2"/>
  <c r="AI285" i="2"/>
  <c r="AI281" i="2"/>
  <c r="AI197" i="2"/>
  <c r="AI18" i="2"/>
  <c r="AL315" i="2"/>
  <c r="AI64" i="2"/>
  <c r="AI33" i="2"/>
  <c r="AI245" i="2"/>
  <c r="AI56" i="2"/>
  <c r="AI52" i="2"/>
  <c r="AI102" i="2"/>
  <c r="AI313" i="2"/>
  <c r="AI168" i="2"/>
  <c r="AI137" i="2"/>
  <c r="AI98" i="2"/>
  <c r="AI63" i="2"/>
  <c r="AI40" i="2"/>
  <c r="AI5" i="2"/>
  <c r="AI247" i="2"/>
  <c r="AL251" i="2"/>
  <c r="AI146" i="2"/>
  <c r="AI99" i="2"/>
  <c r="AI92" i="2"/>
  <c r="AI216" i="2"/>
  <c r="AI204" i="2"/>
  <c r="AI169" i="2"/>
  <c r="AI88" i="2"/>
  <c r="AI53" i="2"/>
  <c r="AI38" i="2"/>
  <c r="AI22" i="2"/>
  <c r="AI248" i="2"/>
  <c r="AI134" i="2"/>
  <c r="AI194" i="2"/>
  <c r="AI101" i="2"/>
  <c r="AI79" i="2"/>
  <c r="AI48" i="2"/>
  <c r="AI44" i="2"/>
  <c r="AI25" i="2"/>
  <c r="AL169" i="2"/>
  <c r="AI256" i="2"/>
  <c r="AI149" i="2"/>
  <c r="AI152" i="2"/>
  <c r="AI276" i="2"/>
  <c r="AI108" i="2"/>
  <c r="AL247" i="2"/>
  <c r="AI254" i="2"/>
  <c r="AI302" i="2"/>
  <c r="AI200" i="2"/>
  <c r="AL146" i="2"/>
  <c r="AI145" i="2"/>
  <c r="AI298" i="2"/>
  <c r="AI165" i="2"/>
  <c r="AI89" i="2"/>
  <c r="AI85" i="2"/>
  <c r="AI54" i="2"/>
  <c r="AL276" i="2"/>
  <c r="AI258" i="2"/>
  <c r="AI103" i="2"/>
  <c r="AI36" i="2"/>
  <c r="AI223" i="2"/>
  <c r="AI133" i="2"/>
  <c r="AI117" i="2"/>
  <c r="AI277" i="2"/>
  <c r="AI273" i="2"/>
  <c r="AI269" i="2"/>
  <c r="AI176" i="2"/>
  <c r="AI172" i="2"/>
  <c r="AI161" i="2"/>
  <c r="AI139" i="2"/>
  <c r="AI128" i="2"/>
  <c r="AI120" i="2"/>
  <c r="AI116" i="2"/>
  <c r="AI112" i="2"/>
  <c r="AI19" i="2"/>
  <c r="AL133" i="2"/>
  <c r="AL48" i="2"/>
  <c r="AI69" i="2"/>
  <c r="AI308" i="2"/>
  <c r="AI129" i="2"/>
  <c r="AI173" i="2"/>
  <c r="AI288" i="2"/>
  <c r="AI228" i="2"/>
  <c r="AI67" i="2"/>
  <c r="AI96" i="2"/>
  <c r="AI233" i="2"/>
  <c r="AI295" i="2"/>
  <c r="AI284" i="2"/>
  <c r="AI280" i="2"/>
  <c r="AI126" i="2"/>
  <c r="AI121" i="2"/>
  <c r="AI61" i="2"/>
  <c r="AI272" i="2"/>
  <c r="AI268" i="2"/>
  <c r="AI224" i="2"/>
  <c r="AI157" i="2"/>
  <c r="AL194" i="2"/>
  <c r="AL248" i="2"/>
  <c r="AL227" i="2"/>
  <c r="AI301" i="2"/>
  <c r="AI220" i="2"/>
  <c r="AL145" i="2"/>
  <c r="AI20" i="2"/>
  <c r="AI84" i="2"/>
  <c r="AL134" i="2"/>
  <c r="AI201" i="2"/>
  <c r="AI111" i="2"/>
  <c r="AI74" i="2"/>
  <c r="AI66" i="2"/>
  <c r="AI37" i="2"/>
  <c r="AI21" i="2"/>
  <c r="AL157" i="2"/>
  <c r="AL256" i="2"/>
  <c r="AI122" i="2"/>
  <c r="AI73" i="2"/>
  <c r="AI253" i="2"/>
  <c r="AI72" i="2"/>
  <c r="AI4" i="2"/>
  <c r="AI186" i="2"/>
  <c r="AI182" i="2"/>
  <c r="AI156" i="2"/>
  <c r="AI17" i="2"/>
  <c r="AL73" i="2"/>
  <c r="AL254" i="2"/>
  <c r="AL253" i="2"/>
  <c r="AI275" i="2"/>
  <c r="AI307" i="2"/>
  <c r="AI124" i="2"/>
  <c r="AI32" i="2"/>
  <c r="AI243" i="2"/>
  <c r="AI270" i="2"/>
  <c r="AI232" i="2"/>
  <c r="AI123" i="2"/>
  <c r="AI31" i="2"/>
  <c r="AL275" i="2"/>
  <c r="AL22" i="2"/>
  <c r="AI6" i="2"/>
  <c r="AI306" i="2"/>
  <c r="AI303" i="2"/>
  <c r="AI164" i="2"/>
  <c r="AL129" i="2"/>
  <c r="AL117" i="2"/>
  <c r="AL69" i="2"/>
  <c r="AI311" i="2"/>
  <c r="AL96" i="2"/>
  <c r="AI309" i="2"/>
  <c r="AI292" i="2"/>
  <c r="AI265" i="2"/>
  <c r="AI231" i="2"/>
  <c r="AI196" i="2"/>
  <c r="AI174" i="2"/>
  <c r="AI160" i="2"/>
  <c r="AI150" i="2"/>
  <c r="AI136" i="2"/>
  <c r="AI115" i="2"/>
  <c r="AI104" i="2"/>
  <c r="AI87" i="2"/>
  <c r="AI80" i="2"/>
  <c r="AI55" i="2"/>
  <c r="AI30" i="2"/>
  <c r="AL273" i="2"/>
  <c r="AL176" i="2"/>
  <c r="AL152" i="2"/>
  <c r="AL128" i="2"/>
  <c r="AL44" i="2"/>
  <c r="AL32" i="2"/>
  <c r="AL20" i="2"/>
  <c r="AI267" i="2"/>
  <c r="AI138" i="2"/>
  <c r="AL36" i="2"/>
  <c r="AL311" i="2"/>
  <c r="AI62" i="2"/>
  <c r="AL308" i="2"/>
  <c r="AL272" i="2"/>
  <c r="AL223" i="2"/>
  <c r="AL103" i="2"/>
  <c r="AL79" i="2"/>
  <c r="AL31" i="2"/>
  <c r="AL19" i="2"/>
  <c r="AI266" i="2"/>
  <c r="AL138" i="2"/>
  <c r="AL126" i="2"/>
  <c r="AI226" i="2"/>
  <c r="AL25" i="2"/>
  <c r="AI304" i="2"/>
  <c r="AI305" i="2"/>
  <c r="AI291" i="2"/>
  <c r="AI234" i="2"/>
  <c r="AI170" i="2"/>
  <c r="AI132" i="2"/>
  <c r="AI125" i="2"/>
  <c r="AI100" i="2"/>
  <c r="AI29" i="2"/>
  <c r="AI14" i="2"/>
  <c r="AL270" i="2"/>
  <c r="AL233" i="2"/>
  <c r="AL173" i="2"/>
  <c r="AL149" i="2"/>
  <c r="AL101" i="2"/>
  <c r="AL89" i="2"/>
  <c r="AL5" i="2"/>
  <c r="AI271" i="2"/>
  <c r="AL121" i="2"/>
  <c r="AL61" i="2"/>
  <c r="AL301" i="2"/>
  <c r="AI60" i="2"/>
  <c r="AI202" i="2"/>
  <c r="AI195" i="2"/>
  <c r="AI159" i="2"/>
  <c r="AI75" i="2"/>
  <c r="AL269" i="2"/>
  <c r="AL232" i="2"/>
  <c r="AL220" i="2"/>
  <c r="AL124" i="2"/>
  <c r="AI46" i="2"/>
  <c r="AI294" i="2"/>
  <c r="AI283" i="2"/>
  <c r="AI279" i="2"/>
  <c r="AI110" i="2"/>
  <c r="AI57" i="2"/>
  <c r="AI50" i="2"/>
  <c r="AI39" i="2"/>
  <c r="AL304" i="2"/>
  <c r="AL268" i="2"/>
  <c r="AL123" i="2"/>
  <c r="AI179" i="2"/>
  <c r="AI181" i="2"/>
  <c r="AI264" i="2"/>
  <c r="AI244" i="2"/>
  <c r="AI259" i="2"/>
  <c r="AI148" i="2"/>
  <c r="AI189" i="2"/>
  <c r="AI183" i="2"/>
  <c r="AI262" i="2"/>
  <c r="AI171" i="2"/>
  <c r="AI261" i="2"/>
  <c r="AI214" i="2"/>
  <c r="AI206" i="2"/>
  <c r="AI71" i="2"/>
  <c r="AI212" i="2"/>
  <c r="AI235" i="2"/>
  <c r="AI210" i="2"/>
  <c r="AI153" i="2"/>
  <c r="AI263" i="2"/>
  <c r="AI230" i="2"/>
  <c r="AI191" i="2"/>
  <c r="AI193" i="2"/>
  <c r="AI198" i="2"/>
  <c r="AI208" i="2"/>
  <c r="AI185" i="2"/>
  <c r="AI154" i="2"/>
  <c r="AI162" i="2"/>
  <c r="AI310" i="2"/>
  <c r="AI187" i="2"/>
  <c r="AI260" i="2"/>
  <c r="AI141" i="2"/>
  <c r="AI43" i="2"/>
  <c r="AI178" i="2"/>
  <c r="AI118" i="2"/>
  <c r="AI299" i="2"/>
  <c r="AI238" i="2"/>
  <c r="AI190" i="2"/>
  <c r="AI155" i="2"/>
  <c r="AI105" i="2"/>
  <c r="AI287" i="2"/>
  <c r="AI274" i="2"/>
  <c r="AI239" i="2"/>
  <c r="AI203" i="2"/>
  <c r="AI163" i="2"/>
  <c r="AI215" i="2"/>
  <c r="AI213" i="2"/>
  <c r="AI211" i="2"/>
  <c r="AI209" i="2"/>
  <c r="AI207" i="2"/>
  <c r="AI205" i="2"/>
  <c r="AI177" i="2"/>
  <c r="AI142" i="2"/>
  <c r="AI131" i="2"/>
  <c r="AI114" i="2"/>
  <c r="AI81" i="2"/>
  <c r="AI166" i="2"/>
  <c r="AI147" i="2"/>
  <c r="AI135" i="2"/>
  <c r="AI78" i="2"/>
  <c r="AI167" i="2"/>
  <c r="AI119" i="2"/>
  <c r="AI143" i="2"/>
  <c r="AI130" i="2"/>
  <c r="AI106" i="2"/>
  <c r="AI94" i="2"/>
  <c r="AI82" i="2"/>
  <c r="AI107" i="2"/>
  <c r="AI58" i="2"/>
  <c r="AI47" i="2"/>
  <c r="AI95" i="2"/>
  <c r="AI23" i="2"/>
  <c r="AI83" i="2"/>
  <c r="AI70" i="2"/>
  <c r="AI35" i="2"/>
  <c r="AI59" i="2"/>
  <c r="AI34" i="2"/>
  <c r="M3" i="2" l="1"/>
  <c r="M409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AQ3" i="2" l="1"/>
  <c r="A101" i="3"/>
  <c r="B101" i="3" s="1"/>
  <c r="A100" i="3"/>
  <c r="B100" i="3" s="1"/>
  <c r="A99" i="3"/>
  <c r="B99" i="3" s="1"/>
  <c r="A98" i="3"/>
  <c r="B98" i="3" s="1"/>
  <c r="A97" i="3"/>
  <c r="B97" i="3" s="1"/>
  <c r="A96" i="3"/>
  <c r="B96" i="3" s="1"/>
  <c r="A95" i="3"/>
  <c r="B95" i="3" s="1"/>
  <c r="A94" i="3"/>
  <c r="B94" i="3" s="1"/>
  <c r="A93" i="3"/>
  <c r="B93" i="3" s="1"/>
  <c r="A92" i="3"/>
  <c r="B92" i="3" s="1"/>
  <c r="A91" i="3"/>
  <c r="B91" i="3" s="1"/>
  <c r="A90" i="3"/>
  <c r="B90" i="3" s="1"/>
  <c r="A89" i="3"/>
  <c r="B89" i="3" s="1"/>
  <c r="A88" i="3"/>
  <c r="B88" i="3" s="1"/>
  <c r="A87" i="3"/>
  <c r="B87" i="3" s="1"/>
  <c r="A86" i="3"/>
  <c r="B86" i="3" s="1"/>
  <c r="A85" i="3"/>
  <c r="B85" i="3" s="1"/>
  <c r="A84" i="3"/>
  <c r="B84" i="3" s="1"/>
  <c r="A83" i="3"/>
  <c r="B83" i="3" s="1"/>
  <c r="A82" i="3"/>
  <c r="B82" i="3" s="1"/>
  <c r="A81" i="3"/>
  <c r="B81" i="3" s="1"/>
  <c r="A80" i="3"/>
  <c r="B80" i="3" s="1"/>
  <c r="A79" i="3"/>
  <c r="B79" i="3" s="1"/>
  <c r="A78" i="3"/>
  <c r="B78" i="3" s="1"/>
  <c r="A77" i="3"/>
  <c r="B77" i="3" s="1"/>
  <c r="A76" i="3"/>
  <c r="B76" i="3" s="1"/>
  <c r="A75" i="3"/>
  <c r="B75" i="3" s="1"/>
  <c r="A74" i="3"/>
  <c r="B74" i="3" s="1"/>
  <c r="A73" i="3"/>
  <c r="B73" i="3" s="1"/>
  <c r="A72" i="3"/>
  <c r="B72" i="3" s="1"/>
  <c r="A71" i="3"/>
  <c r="B71" i="3" s="1"/>
  <c r="A70" i="3"/>
  <c r="B70" i="3" s="1"/>
  <c r="A69" i="3"/>
  <c r="B69" i="3" s="1"/>
  <c r="A68" i="3"/>
  <c r="B68" i="3" s="1"/>
  <c r="A67" i="3"/>
  <c r="B67" i="3" s="1"/>
  <c r="A66" i="3"/>
  <c r="B66" i="3" s="1"/>
  <c r="A65" i="3"/>
  <c r="B65" i="3" s="1"/>
  <c r="A64" i="3"/>
  <c r="B64" i="3" s="1"/>
  <c r="A63" i="3"/>
  <c r="B63" i="3" s="1"/>
  <c r="A62" i="3"/>
  <c r="B62" i="3" s="1"/>
  <c r="A61" i="3"/>
  <c r="B61" i="3" s="1"/>
  <c r="A60" i="3"/>
  <c r="B60" i="3" s="1"/>
  <c r="A59" i="3"/>
  <c r="B59" i="3" s="1"/>
  <c r="A58" i="3"/>
  <c r="B58" i="3" s="1"/>
  <c r="A57" i="3"/>
  <c r="B57" i="3" s="1"/>
  <c r="A56" i="3"/>
  <c r="B56" i="3" s="1"/>
  <c r="A55" i="3"/>
  <c r="B55" i="3" s="1"/>
  <c r="A54" i="3"/>
  <c r="B54" i="3" s="1"/>
  <c r="A53" i="3"/>
  <c r="B53" i="3" s="1"/>
  <c r="A52" i="3"/>
  <c r="B52" i="3" s="1"/>
  <c r="A51" i="3"/>
  <c r="B51" i="3" s="1"/>
  <c r="A50" i="3"/>
  <c r="B50" i="3" s="1"/>
  <c r="A49" i="3"/>
  <c r="B49" i="3" s="1"/>
  <c r="A48" i="3"/>
  <c r="B48" i="3" s="1"/>
  <c r="A47" i="3"/>
  <c r="B47" i="3" s="1"/>
  <c r="A46" i="3"/>
  <c r="B46" i="3" s="1"/>
  <c r="A45" i="3"/>
  <c r="B45" i="3" s="1"/>
  <c r="A44" i="3"/>
  <c r="B44" i="3" s="1"/>
  <c r="A43" i="3"/>
  <c r="B43" i="3" s="1"/>
  <c r="A42" i="3"/>
  <c r="B42" i="3" s="1"/>
  <c r="A41" i="3"/>
  <c r="B41" i="3" s="1"/>
  <c r="A40" i="3"/>
  <c r="B40" i="3" s="1"/>
  <c r="A39" i="3"/>
  <c r="B39" i="3" s="1"/>
  <c r="A38" i="3"/>
  <c r="B38" i="3" s="1"/>
  <c r="A37" i="3"/>
  <c r="B37" i="3" s="1"/>
  <c r="A36" i="3"/>
  <c r="B36" i="3" s="1"/>
  <c r="A35" i="3"/>
  <c r="B35" i="3" s="1"/>
  <c r="A34" i="3"/>
  <c r="B34" i="3" s="1"/>
  <c r="A33" i="3"/>
  <c r="B33" i="3" s="1"/>
  <c r="A32" i="3"/>
  <c r="B32" i="3" s="1"/>
  <c r="A31" i="3"/>
  <c r="B31" i="3" s="1"/>
  <c r="A30" i="3"/>
  <c r="B30" i="3" s="1"/>
  <c r="A29" i="3"/>
  <c r="B29" i="3" s="1"/>
  <c r="A28" i="3"/>
  <c r="B28" i="3" s="1"/>
  <c r="A27" i="3"/>
  <c r="B27" i="3" s="1"/>
  <c r="A26" i="3"/>
  <c r="B26" i="3" s="1"/>
  <c r="A25" i="3"/>
  <c r="B25" i="3" s="1"/>
  <c r="A24" i="3"/>
  <c r="B24" i="3" s="1"/>
  <c r="A23" i="3"/>
  <c r="B23" i="3" s="1"/>
  <c r="A22" i="3"/>
  <c r="B22" i="3" s="1"/>
  <c r="A21" i="3"/>
  <c r="B21" i="3" s="1"/>
  <c r="A20" i="3"/>
  <c r="B20" i="3" s="1"/>
  <c r="A19" i="3"/>
  <c r="B19" i="3" s="1"/>
  <c r="A18" i="3"/>
  <c r="B18" i="3" s="1"/>
  <c r="A17" i="3"/>
  <c r="B17" i="3" s="1"/>
  <c r="A16" i="3"/>
  <c r="B16" i="3" s="1"/>
  <c r="A15" i="3"/>
  <c r="B15" i="3" s="1"/>
  <c r="A14" i="3"/>
  <c r="B14" i="3" s="1"/>
  <c r="A13" i="3"/>
  <c r="B13" i="3" s="1"/>
  <c r="A12" i="3"/>
  <c r="B12" i="3" s="1"/>
  <c r="A11" i="3"/>
  <c r="B11" i="3" s="1"/>
  <c r="A10" i="3"/>
  <c r="B10" i="3" s="1"/>
  <c r="A9" i="3"/>
  <c r="B9" i="3" s="1"/>
  <c r="A8" i="3"/>
  <c r="B8" i="3" s="1"/>
  <c r="A7" i="3"/>
  <c r="B7" i="3" s="1"/>
  <c r="A6" i="3"/>
  <c r="B6" i="3" s="1"/>
  <c r="A5" i="3"/>
  <c r="B5" i="3" s="1"/>
  <c r="A4" i="3"/>
  <c r="B4" i="3" s="1"/>
  <c r="A3" i="3"/>
  <c r="B3" i="3" s="1"/>
  <c r="D2" i="3"/>
  <c r="B2" i="3"/>
  <c r="A2" i="3"/>
  <c r="B82" i="4"/>
  <c r="AM406" i="2" l="1"/>
  <c r="AM408" i="2"/>
  <c r="AM407" i="2"/>
  <c r="AM403" i="2"/>
  <c r="AM405" i="2"/>
  <c r="AM409" i="2"/>
  <c r="AM404" i="2"/>
  <c r="AM387" i="2"/>
  <c r="AM396" i="2"/>
  <c r="AM392" i="2"/>
  <c r="AM390" i="2"/>
  <c r="AM386" i="2"/>
  <c r="AM401" i="2"/>
  <c r="AM399" i="2"/>
  <c r="AM395" i="2"/>
  <c r="AM389" i="2"/>
  <c r="AM384" i="2"/>
  <c r="AM393" i="2"/>
  <c r="AM402" i="2"/>
  <c r="AM398" i="2"/>
  <c r="AM385" i="2"/>
  <c r="AM397" i="2"/>
  <c r="AM391" i="2"/>
  <c r="AM400" i="2"/>
  <c r="AM394" i="2"/>
  <c r="AM388" i="2"/>
  <c r="AM372" i="2"/>
  <c r="AM382" i="2"/>
  <c r="AM379" i="2"/>
  <c r="AM376" i="2"/>
  <c r="AM375" i="2"/>
  <c r="AM373" i="2"/>
  <c r="AM370" i="2"/>
  <c r="AM381" i="2"/>
  <c r="AM380" i="2"/>
  <c r="AM383" i="2"/>
  <c r="AM377" i="2"/>
  <c r="AM371" i="2"/>
  <c r="AM374" i="2"/>
  <c r="AM378" i="2"/>
  <c r="AM336" i="2"/>
  <c r="AM339" i="2"/>
  <c r="AM342" i="2"/>
  <c r="AM338" i="2"/>
  <c r="AM333" i="2"/>
  <c r="AM335" i="2"/>
  <c r="AM345" i="2"/>
  <c r="AM348" i="2"/>
  <c r="AM341" i="2"/>
  <c r="AM347" i="2"/>
  <c r="AM334" i="2"/>
  <c r="AM340" i="2"/>
  <c r="AM369" i="2"/>
  <c r="AM337" i="2"/>
  <c r="AM346" i="2"/>
  <c r="AM343" i="2"/>
  <c r="AM367" i="2"/>
  <c r="AM365" i="2"/>
  <c r="AM368" i="2"/>
  <c r="AM366" i="2"/>
  <c r="AM361" i="2"/>
  <c r="AM363" i="2"/>
  <c r="AM360" i="2"/>
  <c r="AM362" i="2"/>
  <c r="AM364" i="2"/>
  <c r="AM349" i="2"/>
  <c r="AM352" i="2"/>
  <c r="AM350" i="2"/>
  <c r="AM353" i="2"/>
  <c r="AM351" i="2"/>
  <c r="AM358" i="2"/>
  <c r="AM359" i="2"/>
  <c r="AM356" i="2"/>
  <c r="AM354" i="2"/>
  <c r="AM357" i="2"/>
  <c r="AM355" i="2"/>
  <c r="AM329" i="2"/>
  <c r="AM330" i="2"/>
  <c r="AM331" i="2"/>
  <c r="AM327" i="2"/>
  <c r="AM326" i="2"/>
  <c r="AM328" i="2"/>
  <c r="AM319" i="2"/>
  <c r="AM323" i="2"/>
  <c r="AM322" i="2"/>
  <c r="AM316" i="2"/>
  <c r="AM317" i="2"/>
  <c r="AM318" i="2"/>
  <c r="AM321" i="2"/>
  <c r="AM320" i="2"/>
  <c r="AM324" i="2"/>
  <c r="AM325" i="2"/>
  <c r="AM257" i="2"/>
  <c r="AM249" i="2"/>
  <c r="AM246" i="2"/>
  <c r="AM245" i="2"/>
  <c r="AM255" i="2"/>
  <c r="AM258" i="2"/>
  <c r="AM252" i="2"/>
  <c r="AM250" i="2"/>
  <c r="AM315" i="2"/>
  <c r="AM247" i="2"/>
  <c r="AM256" i="2"/>
  <c r="AM251" i="2"/>
  <c r="AM253" i="2"/>
  <c r="AM254" i="2"/>
  <c r="AM248" i="2"/>
  <c r="AM16" i="2"/>
  <c r="AM29" i="2"/>
  <c r="AM44" i="2"/>
  <c r="AM62" i="2"/>
  <c r="AM188" i="2"/>
  <c r="AM306" i="2"/>
  <c r="AM312" i="2"/>
  <c r="AM285" i="2"/>
  <c r="AM40" i="2"/>
  <c r="AM228" i="2"/>
  <c r="AM297" i="2"/>
  <c r="AM5" i="2"/>
  <c r="AM274" i="2"/>
  <c r="AM41" i="2"/>
  <c r="AM53" i="2"/>
  <c r="AM74" i="2"/>
  <c r="AM86" i="2"/>
  <c r="AM98" i="2"/>
  <c r="AM125" i="2"/>
  <c r="AM149" i="2"/>
  <c r="AM160" i="2"/>
  <c r="AM175" i="2"/>
  <c r="AM219" i="2"/>
  <c r="AM229" i="2"/>
  <c r="AM232" i="2"/>
  <c r="AM289" i="2"/>
  <c r="AM295" i="2"/>
  <c r="AM36" i="2"/>
  <c r="AM48" i="2"/>
  <c r="AM56" i="2"/>
  <c r="AM65" i="2"/>
  <c r="AM68" i="2"/>
  <c r="AM77" i="2"/>
  <c r="AM80" i="2"/>
  <c r="AM101" i="2"/>
  <c r="AM110" i="2"/>
  <c r="AM116" i="2"/>
  <c r="AM122" i="2"/>
  <c r="AM137" i="2"/>
  <c r="AM146" i="2"/>
  <c r="AM192" i="2"/>
  <c r="AM224" i="2"/>
  <c r="AM301" i="2"/>
  <c r="AM304" i="2"/>
  <c r="AM138" i="2"/>
  <c r="AM176" i="2"/>
  <c r="AM233" i="2"/>
  <c r="AM276" i="2"/>
  <c r="AM267" i="2"/>
  <c r="AM180" i="2"/>
  <c r="AM85" i="2"/>
  <c r="AM121" i="2"/>
  <c r="AM223" i="2"/>
  <c r="AM26" i="2"/>
  <c r="AM109" i="2"/>
  <c r="AM133" i="2"/>
  <c r="AM32" i="2"/>
  <c r="AM151" i="2"/>
  <c r="AM169" i="2"/>
  <c r="AM277" i="2"/>
  <c r="AM27" i="2"/>
  <c r="AM60" i="2"/>
  <c r="AM84" i="2"/>
  <c r="AM113" i="2"/>
  <c r="AM128" i="2"/>
  <c r="AM134" i="2"/>
  <c r="AM158" i="2"/>
  <c r="AM170" i="2"/>
  <c r="AM173" i="2"/>
  <c r="AM182" i="2"/>
  <c r="AM266" i="2"/>
  <c r="AM269" i="2"/>
  <c r="AM272" i="2"/>
  <c r="AM278" i="2"/>
  <c r="AM281" i="2"/>
  <c r="AM284" i="2"/>
  <c r="AM287" i="2"/>
  <c r="AM4" i="2"/>
  <c r="AM6" i="2"/>
  <c r="AM75" i="2"/>
  <c r="AM123" i="2"/>
  <c r="AM220" i="2"/>
  <c r="AM282" i="2"/>
  <c r="AM61" i="2"/>
  <c r="AM240" i="2"/>
  <c r="AM204" i="2"/>
  <c r="AM294" i="2"/>
  <c r="AM127" i="2"/>
  <c r="AM38" i="2"/>
  <c r="AM103" i="2"/>
  <c r="AM221" i="2"/>
  <c r="AM286" i="2"/>
  <c r="AM30" i="2"/>
  <c r="AM39" i="2"/>
  <c r="AM51" i="2"/>
  <c r="AM72" i="2"/>
  <c r="AM96" i="2"/>
  <c r="AM104" i="2"/>
  <c r="AM120" i="2"/>
  <c r="AM144" i="2"/>
  <c r="AM152" i="2"/>
  <c r="AM164" i="2"/>
  <c r="AM222" i="2"/>
  <c r="AM227" i="2"/>
  <c r="AM299" i="2"/>
  <c r="AM87" i="2"/>
  <c r="AM99" i="2"/>
  <c r="AM161" i="2"/>
  <c r="AM273" i="2"/>
  <c r="AM305" i="2"/>
  <c r="AM52" i="2"/>
  <c r="AM218" i="2"/>
  <c r="AM288" i="2"/>
  <c r="AM64" i="2"/>
  <c r="AM291" i="2"/>
  <c r="AM79" i="2"/>
  <c r="AM115" i="2"/>
  <c r="AM184" i="2"/>
  <c r="AM18" i="2"/>
  <c r="AM139" i="2"/>
  <c r="AM268" i="2"/>
  <c r="AM42" i="2"/>
  <c r="AM54" i="2"/>
  <c r="AM63" i="2"/>
  <c r="AM108" i="2"/>
  <c r="AM126" i="2"/>
  <c r="AM132" i="2"/>
  <c r="AM156" i="2"/>
  <c r="AM186" i="2"/>
  <c r="AM290" i="2"/>
  <c r="AM293" i="2"/>
  <c r="AM307" i="2"/>
  <c r="AM25" i="2"/>
  <c r="AM150" i="2"/>
  <c r="AM168" i="2"/>
  <c r="AM236" i="2"/>
  <c r="AM302" i="2"/>
  <c r="AM159" i="2"/>
  <c r="AM73" i="2"/>
  <c r="AM97" i="2"/>
  <c r="AM157" i="2"/>
  <c r="AM216" i="2"/>
  <c r="AM50" i="2"/>
  <c r="AM88" i="2"/>
  <c r="AM265" i="2"/>
  <c r="AM283" i="2"/>
  <c r="AM17" i="2"/>
  <c r="AM279" i="2"/>
  <c r="AM174" i="2"/>
  <c r="AM55" i="2"/>
  <c r="AM231" i="2"/>
  <c r="AM76" i="2"/>
  <c r="AM271" i="2"/>
  <c r="AM15" i="2"/>
  <c r="AM28" i="2"/>
  <c r="AM37" i="2"/>
  <c r="AM49" i="2"/>
  <c r="AM66" i="2"/>
  <c r="AM90" i="2"/>
  <c r="AM190" i="2"/>
  <c r="AM225" i="2"/>
  <c r="AM270" i="2"/>
  <c r="AM311" i="2"/>
  <c r="AM20" i="2"/>
  <c r="AM314" i="2"/>
  <c r="AM145" i="2"/>
  <c r="AM300" i="2"/>
  <c r="AM100" i="2"/>
  <c r="AM234" i="2"/>
  <c r="AM112" i="2"/>
  <c r="AM226" i="2"/>
  <c r="AM280" i="2"/>
  <c r="AM14" i="2"/>
  <c r="AM310" i="2"/>
  <c r="AM303" i="2"/>
  <c r="AM215" i="2"/>
  <c r="AM166" i="2"/>
  <c r="AM58" i="2"/>
  <c r="AM35" i="2"/>
  <c r="AM308" i="2"/>
  <c r="AM45" i="2"/>
  <c r="AM264" i="2"/>
  <c r="AM214" i="2"/>
  <c r="AM210" i="2"/>
  <c r="AM193" i="2"/>
  <c r="AM208" i="2"/>
  <c r="AM118" i="2"/>
  <c r="AM213" i="2"/>
  <c r="AM130" i="2"/>
  <c r="AM93" i="2"/>
  <c r="AM140" i="2"/>
  <c r="AM189" i="2"/>
  <c r="AM260" i="2"/>
  <c r="AM275" i="2"/>
  <c r="AM142" i="2"/>
  <c r="AM47" i="2"/>
  <c r="AM244" i="2"/>
  <c r="AM206" i="2"/>
  <c r="AM198" i="2"/>
  <c r="AM147" i="2"/>
  <c r="AM59" i="2"/>
  <c r="AM33" i="2"/>
  <c r="AM309" i="2"/>
  <c r="AM211" i="2"/>
  <c r="AM95" i="2"/>
  <c r="AM183" i="2"/>
  <c r="AM94" i="2"/>
  <c r="AM92" i="2"/>
  <c r="AM262" i="2"/>
  <c r="AM237" i="2"/>
  <c r="AM167" i="2"/>
  <c r="AM23" i="2"/>
  <c r="AM296" i="2"/>
  <c r="AM111" i="2"/>
  <c r="AM194" i="2"/>
  <c r="AM82" i="2"/>
  <c r="AM102" i="2"/>
  <c r="AM202" i="2"/>
  <c r="AM91" i="2"/>
  <c r="AM155" i="2"/>
  <c r="AM107" i="2"/>
  <c r="AM178" i="2"/>
  <c r="AM195" i="2"/>
  <c r="AM185" i="2"/>
  <c r="AM238" i="2"/>
  <c r="AM165" i="2"/>
  <c r="AM71" i="2"/>
  <c r="AM199" i="2"/>
  <c r="AM313" i="2"/>
  <c r="AM131" i="2"/>
  <c r="AM117" i="2"/>
  <c r="AM162" i="2"/>
  <c r="AM19" i="2"/>
  <c r="AM172" i="2"/>
  <c r="AM205" i="2"/>
  <c r="AM105" i="2"/>
  <c r="AM21" i="2"/>
  <c r="AM153" i="2"/>
  <c r="AM89" i="2"/>
  <c r="AM106" i="2"/>
  <c r="AM163" i="2"/>
  <c r="AM141" i="2"/>
  <c r="AM78" i="2"/>
  <c r="AM298" i="2"/>
  <c r="AM263" i="2"/>
  <c r="AM239" i="2"/>
  <c r="AM230" i="2"/>
  <c r="AM209" i="2"/>
  <c r="AM31" i="2"/>
  <c r="AM197" i="2"/>
  <c r="AM200" i="2"/>
  <c r="AM119" i="2"/>
  <c r="AM154" i="2"/>
  <c r="AM179" i="2"/>
  <c r="AM67" i="2"/>
  <c r="AM69" i="2"/>
  <c r="AM235" i="2"/>
  <c r="AM57" i="2"/>
  <c r="AM259" i="2"/>
  <c r="AM201" i="2"/>
  <c r="AM292" i="2"/>
  <c r="AM207" i="2"/>
  <c r="AM83" i="2"/>
  <c r="AM181" i="2"/>
  <c r="AM81" i="2"/>
  <c r="AM148" i="2"/>
  <c r="AM22" i="2"/>
  <c r="AM261" i="2"/>
  <c r="AM143" i="2"/>
  <c r="AM212" i="2"/>
  <c r="AM43" i="2"/>
  <c r="AM129" i="2"/>
  <c r="AM70" i="2"/>
  <c r="AM177" i="2"/>
  <c r="AM203" i="2"/>
  <c r="AM124" i="2"/>
  <c r="AM114" i="2"/>
  <c r="AM46" i="2"/>
  <c r="AM171" i="2"/>
  <c r="AM34" i="2"/>
  <c r="AM191" i="2"/>
  <c r="AM196" i="2"/>
  <c r="AM187" i="2"/>
  <c r="AS3" i="2"/>
  <c r="AE332" i="2" l="1"/>
  <c r="AL332" i="2"/>
  <c r="AH332" i="2"/>
  <c r="I217" i="2"/>
  <c r="AL3" i="2"/>
  <c r="AL7" i="2"/>
  <c r="AL8" i="2"/>
  <c r="AL9" i="2"/>
  <c r="AL11" i="2"/>
  <c r="AL12" i="2"/>
  <c r="AL13" i="2"/>
  <c r="AI332" i="2" l="1"/>
  <c r="AM332" i="2"/>
  <c r="K241" i="2"/>
  <c r="AL241" i="2" s="1"/>
  <c r="AM241" i="2" s="1"/>
  <c r="AE3" i="2"/>
  <c r="AE7" i="2"/>
  <c r="AE8" i="2"/>
  <c r="AE9" i="2"/>
  <c r="AE10" i="2"/>
  <c r="AE11" i="2"/>
  <c r="AE12" i="2"/>
  <c r="AE13" i="2"/>
  <c r="AI217" i="2" l="1"/>
  <c r="AL217" i="2"/>
  <c r="AM217" i="2" s="1"/>
  <c r="AH7" i="2"/>
  <c r="AM7" i="2" s="1"/>
  <c r="AH8" i="2"/>
  <c r="AM8" i="2" s="1"/>
  <c r="AH9" i="2"/>
  <c r="AM9" i="2" s="1"/>
  <c r="AH10" i="2"/>
  <c r="AH11" i="2"/>
  <c r="AM11" i="2" s="1"/>
  <c r="AH12" i="2"/>
  <c r="AH13" i="2"/>
  <c r="AM13" i="2" s="1"/>
  <c r="H10" i="2"/>
  <c r="G33" i="2"/>
  <c r="AD33" i="2" l="1"/>
  <c r="AD34" i="2" s="1"/>
  <c r="AD35" i="2" s="1"/>
  <c r="AD36" i="2" s="1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AD52" i="2" s="1"/>
  <c r="AD53" i="2" s="1"/>
  <c r="AD54" i="2" s="1"/>
  <c r="AD55" i="2" s="1"/>
  <c r="AD56" i="2" s="1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D86" i="2" s="1"/>
  <c r="AD87" i="2" s="1"/>
  <c r="AD88" i="2" s="1"/>
  <c r="AD89" i="2" s="1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D138" i="2" s="1"/>
  <c r="AD139" i="2" s="1"/>
  <c r="AD140" i="2" s="1"/>
  <c r="AD141" i="2" s="1"/>
  <c r="AD142" i="2" s="1"/>
  <c r="AD143" i="2" s="1"/>
  <c r="AD144" i="2" s="1"/>
  <c r="AD145" i="2" s="1"/>
  <c r="AD146" i="2" s="1"/>
  <c r="AD147" i="2" s="1"/>
  <c r="AD148" i="2" s="1"/>
  <c r="AD149" i="2" s="1"/>
  <c r="AD150" i="2" s="1"/>
  <c r="AD151" i="2" s="1"/>
  <c r="AD152" i="2" s="1"/>
  <c r="AD153" i="2" s="1"/>
  <c r="AD154" i="2" s="1"/>
  <c r="AD155" i="2" s="1"/>
  <c r="AD156" i="2" s="1"/>
  <c r="AD157" i="2" s="1"/>
  <c r="AD158" i="2" s="1"/>
  <c r="AD159" i="2" s="1"/>
  <c r="AD160" i="2" s="1"/>
  <c r="AD161" i="2" s="1"/>
  <c r="AD162" i="2" s="1"/>
  <c r="AD163" i="2" s="1"/>
  <c r="AD164" i="2" s="1"/>
  <c r="AD165" i="2" s="1"/>
  <c r="AD166" i="2" s="1"/>
  <c r="AD167" i="2" s="1"/>
  <c r="AD168" i="2" s="1"/>
  <c r="AD169" i="2" s="1"/>
  <c r="AD170" i="2" s="1"/>
  <c r="AD171" i="2" s="1"/>
  <c r="AD172" i="2" s="1"/>
  <c r="AD173" i="2" s="1"/>
  <c r="AD174" i="2" s="1"/>
  <c r="AD175" i="2" s="1"/>
  <c r="AD176" i="2" s="1"/>
  <c r="AD177" i="2" s="1"/>
  <c r="AD178" i="2" s="1"/>
  <c r="AD179" i="2" s="1"/>
  <c r="AD180" i="2" s="1"/>
  <c r="AD181" i="2" s="1"/>
  <c r="AD182" i="2" s="1"/>
  <c r="AD183" i="2" s="1"/>
  <c r="AD184" i="2" s="1"/>
  <c r="AD185" i="2" s="1"/>
  <c r="AD186" i="2" s="1"/>
  <c r="AD187" i="2" s="1"/>
  <c r="AD188" i="2" s="1"/>
  <c r="AD189" i="2" s="1"/>
  <c r="AD190" i="2" s="1"/>
  <c r="AD191" i="2" s="1"/>
  <c r="AD192" i="2" s="1"/>
  <c r="AD193" i="2" s="1"/>
  <c r="AD194" i="2" s="1"/>
  <c r="AD195" i="2" s="1"/>
  <c r="AD196" i="2" s="1"/>
  <c r="AD197" i="2" s="1"/>
  <c r="AD198" i="2" s="1"/>
  <c r="AD199" i="2" s="1"/>
  <c r="AD200" i="2" s="1"/>
  <c r="AD201" i="2" s="1"/>
  <c r="AD202" i="2" s="1"/>
  <c r="AD203" i="2" s="1"/>
  <c r="AD204" i="2" s="1"/>
  <c r="AD205" i="2" s="1"/>
  <c r="AD206" i="2" s="1"/>
  <c r="AD207" i="2" s="1"/>
  <c r="AD208" i="2" s="1"/>
  <c r="AD209" i="2" s="1"/>
  <c r="AD210" i="2" s="1"/>
  <c r="AD211" i="2" s="1"/>
  <c r="AD212" i="2" s="1"/>
  <c r="AD213" i="2" s="1"/>
  <c r="AD214" i="2" s="1"/>
  <c r="AD215" i="2" s="1"/>
  <c r="AD216" i="2" s="1"/>
  <c r="AD217" i="2" s="1"/>
  <c r="AD218" i="2" s="1"/>
  <c r="AD219" i="2" s="1"/>
  <c r="AD220" i="2" s="1"/>
  <c r="AD221" i="2" s="1"/>
  <c r="AD222" i="2" s="1"/>
  <c r="AD223" i="2" s="1"/>
  <c r="AD224" i="2" s="1"/>
  <c r="AD225" i="2" s="1"/>
  <c r="AD226" i="2" s="1"/>
  <c r="AD227" i="2" s="1"/>
  <c r="AD228" i="2" s="1"/>
  <c r="AD229" i="2" s="1"/>
  <c r="AD230" i="2" s="1"/>
  <c r="AD231" i="2" s="1"/>
  <c r="AD232" i="2" s="1"/>
  <c r="AD233" i="2" s="1"/>
  <c r="AD234" i="2" s="1"/>
  <c r="AD235" i="2" s="1"/>
  <c r="AD236" i="2" s="1"/>
  <c r="AD237" i="2" s="1"/>
  <c r="AD238" i="2" s="1"/>
  <c r="AD239" i="2" s="1"/>
  <c r="AD240" i="2" s="1"/>
  <c r="AD241" i="2" s="1"/>
  <c r="AD242" i="2" s="1"/>
  <c r="AD243" i="2" s="1"/>
  <c r="AD244" i="2" s="1"/>
  <c r="AD245" i="2" s="1"/>
  <c r="AD246" i="2" s="1"/>
  <c r="AD247" i="2" s="1"/>
  <c r="AD248" i="2" s="1"/>
  <c r="AD249" i="2" s="1"/>
  <c r="AD250" i="2" s="1"/>
  <c r="AD251" i="2" s="1"/>
  <c r="AD252" i="2" s="1"/>
  <c r="AD253" i="2" s="1"/>
  <c r="AD254" i="2" s="1"/>
  <c r="AD255" i="2" s="1"/>
  <c r="AD256" i="2" s="1"/>
  <c r="AD257" i="2" s="1"/>
  <c r="AD258" i="2" s="1"/>
  <c r="AD259" i="2" s="1"/>
  <c r="AD260" i="2" s="1"/>
  <c r="AD261" i="2" s="1"/>
  <c r="AD262" i="2" s="1"/>
  <c r="AD263" i="2" s="1"/>
  <c r="AD264" i="2" s="1"/>
  <c r="AD265" i="2" s="1"/>
  <c r="AD266" i="2" s="1"/>
  <c r="AD267" i="2" s="1"/>
  <c r="AD268" i="2" s="1"/>
  <c r="AD269" i="2" s="1"/>
  <c r="AD270" i="2" s="1"/>
  <c r="AD271" i="2" s="1"/>
  <c r="AD272" i="2" s="1"/>
  <c r="AD273" i="2" s="1"/>
  <c r="AD274" i="2" s="1"/>
  <c r="AD275" i="2" s="1"/>
  <c r="AD276" i="2" s="1"/>
  <c r="AD277" i="2" s="1"/>
  <c r="AD278" i="2" s="1"/>
  <c r="AD279" i="2" s="1"/>
  <c r="AD280" i="2" s="1"/>
  <c r="AD281" i="2" s="1"/>
  <c r="AD282" i="2" s="1"/>
  <c r="AD283" i="2" s="1"/>
  <c r="AD284" i="2" s="1"/>
  <c r="AD285" i="2" s="1"/>
  <c r="AD286" i="2" s="1"/>
  <c r="AD287" i="2" s="1"/>
  <c r="AD288" i="2" s="1"/>
  <c r="AD289" i="2" s="1"/>
  <c r="AD290" i="2" s="1"/>
  <c r="AD291" i="2" s="1"/>
  <c r="AD292" i="2" s="1"/>
  <c r="AD293" i="2" s="1"/>
  <c r="AD294" i="2" s="1"/>
  <c r="AD295" i="2" s="1"/>
  <c r="AD296" i="2" s="1"/>
  <c r="AD297" i="2" s="1"/>
  <c r="AD298" i="2" s="1"/>
  <c r="AD299" i="2" s="1"/>
  <c r="AD300" i="2" s="1"/>
  <c r="AD301" i="2" s="1"/>
  <c r="AD302" i="2" s="1"/>
  <c r="AD303" i="2" s="1"/>
  <c r="AD304" i="2" s="1"/>
  <c r="AD305" i="2" s="1"/>
  <c r="AD306" i="2" s="1"/>
  <c r="AD307" i="2" s="1"/>
  <c r="AD308" i="2" s="1"/>
  <c r="AD309" i="2" s="1"/>
  <c r="AD310" i="2" s="1"/>
  <c r="AD311" i="2" s="1"/>
  <c r="AD312" i="2" s="1"/>
  <c r="AD313" i="2" s="1"/>
  <c r="AD314" i="2" s="1"/>
  <c r="AD315" i="2" s="1"/>
  <c r="AD316" i="2" s="1"/>
  <c r="AD317" i="2" s="1"/>
  <c r="AD318" i="2" s="1"/>
  <c r="AD319" i="2" s="1"/>
  <c r="AD320" i="2" s="1"/>
  <c r="AD321" i="2" s="1"/>
  <c r="AD322" i="2" s="1"/>
  <c r="AD323" i="2" s="1"/>
  <c r="AD324" i="2" s="1"/>
  <c r="AD325" i="2" s="1"/>
  <c r="AD326" i="2" s="1"/>
  <c r="AD327" i="2" s="1"/>
  <c r="AD328" i="2" s="1"/>
  <c r="AD329" i="2" s="1"/>
  <c r="AD330" i="2" s="1"/>
  <c r="AD331" i="2" s="1"/>
  <c r="AD332" i="2" s="1"/>
  <c r="K135" i="2"/>
  <c r="AL10" i="2"/>
  <c r="AM10" i="2" s="1"/>
  <c r="AI12" i="2"/>
  <c r="AM12" i="2"/>
  <c r="AI11" i="2"/>
  <c r="AI7" i="2"/>
  <c r="AI13" i="2"/>
  <c r="AI9" i="2"/>
  <c r="AI8" i="2"/>
  <c r="AI10" i="2" l="1"/>
  <c r="AD333" i="2"/>
  <c r="AD334" i="2" s="1"/>
  <c r="AL135" i="2"/>
  <c r="AM135" i="2" s="1"/>
  <c r="H24" i="2"/>
  <c r="AH3" i="2"/>
  <c r="AM3" i="2" s="1"/>
  <c r="AE402" i="2" l="1"/>
  <c r="AD335" i="2"/>
  <c r="AD336" i="2" s="1"/>
  <c r="AD337" i="2" s="1"/>
  <c r="AD338" i="2" s="1"/>
  <c r="AD339" i="2" s="1"/>
  <c r="AD340" i="2" s="1"/>
  <c r="AD341" i="2" s="1"/>
  <c r="AD342" i="2" s="1"/>
  <c r="AD343" i="2" s="1"/>
  <c r="AD344" i="2" s="1"/>
  <c r="AD345" i="2" s="1"/>
  <c r="AD346" i="2" s="1"/>
  <c r="AD347" i="2" s="1"/>
  <c r="AD348" i="2" s="1"/>
  <c r="AD349" i="2" s="1"/>
  <c r="AD350" i="2" s="1"/>
  <c r="AD351" i="2" s="1"/>
  <c r="AD352" i="2" s="1"/>
  <c r="AD353" i="2" s="1"/>
  <c r="AD354" i="2" s="1"/>
  <c r="AD355" i="2" s="1"/>
  <c r="AD356" i="2" s="1"/>
  <c r="AD357" i="2" s="1"/>
  <c r="AD358" i="2" s="1"/>
  <c r="U3" i="1"/>
  <c r="K243" i="2"/>
  <c r="AL243" i="2" s="1"/>
  <c r="AM243" i="2" s="1"/>
  <c r="K136" i="2"/>
  <c r="AC3" i="2"/>
  <c r="H3" i="1"/>
  <c r="AD359" i="2" l="1"/>
  <c r="W3" i="1"/>
  <c r="AL136" i="2"/>
  <c r="AM136" i="2" s="1"/>
  <c r="AC4" i="2"/>
  <c r="AB4" i="2" s="1"/>
  <c r="AA4" i="2" s="1"/>
  <c r="AB3" i="2"/>
  <c r="AA3" i="2" s="1"/>
  <c r="AI24" i="2"/>
  <c r="AL24" i="2"/>
  <c r="AM24" i="2" s="1"/>
  <c r="AR3" i="2"/>
  <c r="AT3" i="2" s="1"/>
  <c r="AU3" i="2" s="1"/>
  <c r="AV3" i="2" s="1"/>
  <c r="X3" i="1"/>
  <c r="AI3" i="2"/>
  <c r="B36" i="4"/>
  <c r="AD360" i="2" l="1"/>
  <c r="AD361" i="2" s="1"/>
  <c r="AD362" i="2" s="1"/>
  <c r="AD363" i="2" s="1"/>
  <c r="AD364" i="2" s="1"/>
  <c r="AD365" i="2" s="1"/>
  <c r="AD366" i="2" s="1"/>
  <c r="AD367" i="2" s="1"/>
  <c r="AD368" i="2" s="1"/>
  <c r="AD369" i="2" s="1"/>
  <c r="AD370" i="2" s="1"/>
  <c r="AD371" i="2" s="1"/>
  <c r="AD372" i="2" s="1"/>
  <c r="AD373" i="2" s="1"/>
  <c r="AD374" i="2" s="1"/>
  <c r="AD375" i="2" s="1"/>
  <c r="AD376" i="2" s="1"/>
  <c r="AD377" i="2" s="1"/>
  <c r="AD378" i="2" s="1"/>
  <c r="AD379" i="2" s="1"/>
  <c r="AD380" i="2" s="1"/>
  <c r="AD381" i="2" s="1"/>
  <c r="AD382" i="2" s="1"/>
  <c r="AD383" i="2" s="1"/>
  <c r="AD384" i="2" s="1"/>
  <c r="AD385" i="2" s="1"/>
  <c r="AD386" i="2" s="1"/>
  <c r="AD387" i="2" s="1"/>
  <c r="AD388" i="2" s="1"/>
  <c r="AD389" i="2" s="1"/>
  <c r="AD390" i="2" s="1"/>
  <c r="AD391" i="2" s="1"/>
  <c r="AD392" i="2" s="1"/>
  <c r="AD393" i="2" s="1"/>
  <c r="AD394" i="2" s="1"/>
  <c r="AD395" i="2" s="1"/>
  <c r="AD396" i="2" s="1"/>
  <c r="AD397" i="2" s="1"/>
  <c r="AD398" i="2" s="1"/>
  <c r="AD399" i="2" s="1"/>
  <c r="AD400" i="2" s="1"/>
  <c r="AD401" i="2" s="1"/>
  <c r="AD402" i="2" s="1"/>
  <c r="AD403" i="2" s="1"/>
  <c r="AD404" i="2" s="1"/>
  <c r="AD405" i="2" s="1"/>
  <c r="AD406" i="2" s="1"/>
  <c r="AD407" i="2" s="1"/>
  <c r="AD408" i="2" s="1"/>
  <c r="AD409" i="2" s="1"/>
  <c r="AD410" i="2" s="1"/>
  <c r="AC5" i="2"/>
  <c r="V3" i="2" l="1" a="1"/>
  <c r="V3" i="2" s="1"/>
  <c r="AC6" i="2"/>
  <c r="AB5" i="2"/>
  <c r="AA5" i="2" s="1"/>
  <c r="AE325" i="2"/>
  <c r="O3" i="1" a="1"/>
  <c r="O3" i="1" l="1"/>
  <c r="AC7" i="2"/>
  <c r="AB6" i="2"/>
  <c r="AA6" i="2" s="1"/>
  <c r="AE326" i="2"/>
  <c r="AL242" i="2"/>
  <c r="AM242" i="2" s="1"/>
  <c r="AC8" i="2" l="1"/>
  <c r="AB7" i="2"/>
  <c r="AA7" i="2" s="1"/>
  <c r="AE328" i="2"/>
  <c r="AC9" i="2" l="1"/>
  <c r="AB8" i="2"/>
  <c r="AA8" i="2" s="1"/>
  <c r="AE329" i="2"/>
  <c r="AC10" i="2" l="1"/>
  <c r="AB9" i="2"/>
  <c r="AA9" i="2" s="1"/>
  <c r="AE331" i="2"/>
  <c r="AC11" i="2" l="1"/>
  <c r="AB10" i="2"/>
  <c r="AA10" i="2" s="1"/>
  <c r="AC12" i="2" l="1"/>
  <c r="AB11" i="2"/>
  <c r="AA11" i="2" s="1"/>
  <c r="AC13" i="2" l="1"/>
  <c r="AB12" i="2"/>
  <c r="AA12" i="2" s="1"/>
  <c r="AC14" i="2" l="1"/>
  <c r="AB13" i="2"/>
  <c r="AA13" i="2" s="1"/>
  <c r="AC15" i="2" l="1"/>
  <c r="AB14" i="2"/>
  <c r="AA14" i="2" s="1"/>
  <c r="AC16" i="2" l="1"/>
  <c r="AB15" i="2"/>
  <c r="AA15" i="2" s="1"/>
  <c r="AC17" i="2" l="1"/>
  <c r="AB16" i="2"/>
  <c r="AA16" i="2" s="1"/>
  <c r="AC18" i="2" l="1"/>
  <c r="AB17" i="2"/>
  <c r="AA17" i="2" s="1"/>
  <c r="AC19" i="2" l="1"/>
  <c r="AB18" i="2"/>
  <c r="AA18" i="2" s="1"/>
  <c r="AC20" i="2" l="1"/>
  <c r="AB19" i="2"/>
  <c r="AA19" i="2" s="1"/>
  <c r="AC21" i="2" l="1"/>
  <c r="AB20" i="2"/>
  <c r="AA20" i="2" s="1"/>
  <c r="AC22" i="2" l="1"/>
  <c r="AB21" i="2"/>
  <c r="AA21" i="2" s="1"/>
  <c r="AC23" i="2" l="1"/>
  <c r="AB22" i="2"/>
  <c r="AA22" i="2" s="1"/>
  <c r="AC24" i="2" l="1"/>
  <c r="AB23" i="2"/>
  <c r="AA23" i="2" s="1"/>
  <c r="AC25" i="2" l="1"/>
  <c r="AB24" i="2"/>
  <c r="AA24" i="2" s="1"/>
  <c r="AC26" i="2" l="1"/>
  <c r="AB25" i="2"/>
  <c r="AA25" i="2" s="1"/>
  <c r="AC27" i="2" l="1"/>
  <c r="AB26" i="2"/>
  <c r="AA26" i="2" s="1"/>
  <c r="AC28" i="2" l="1"/>
  <c r="AB27" i="2"/>
  <c r="AA27" i="2" s="1"/>
  <c r="AC29" i="2" l="1"/>
  <c r="AB28" i="2"/>
  <c r="AA28" i="2" s="1"/>
  <c r="AC30" i="2" l="1"/>
  <c r="AB29" i="2"/>
  <c r="AA29" i="2" s="1"/>
  <c r="AC31" i="2" l="1"/>
  <c r="AB30" i="2"/>
  <c r="AA30" i="2" s="1"/>
  <c r="AC32" i="2" l="1"/>
  <c r="AB31" i="2"/>
  <c r="AA31" i="2" s="1"/>
  <c r="AC33" i="2" l="1"/>
  <c r="AB32" i="2"/>
  <c r="AA32" i="2" s="1"/>
  <c r="AC34" i="2" l="1"/>
  <c r="AB33" i="2"/>
  <c r="AA33" i="2" s="1"/>
  <c r="B37" i="4"/>
  <c r="AC35" i="2" l="1"/>
  <c r="AB34" i="2"/>
  <c r="AA34" i="2" s="1"/>
  <c r="AC36" i="2" l="1"/>
  <c r="AB35" i="2"/>
  <c r="AA35" i="2" s="1"/>
  <c r="AC37" i="2" l="1"/>
  <c r="AB36" i="2"/>
  <c r="AA36" i="2" s="1"/>
  <c r="AC38" i="2" l="1"/>
  <c r="AB37" i="2"/>
  <c r="AA37" i="2" s="1"/>
  <c r="AC39" i="2" l="1"/>
  <c r="AB38" i="2"/>
  <c r="AA38" i="2" s="1"/>
  <c r="AC40" i="2" l="1"/>
  <c r="AB39" i="2"/>
  <c r="AA39" i="2" s="1"/>
  <c r="AC41" i="2" l="1"/>
  <c r="AB40" i="2"/>
  <c r="AA40" i="2" s="1"/>
  <c r="AC42" i="2" l="1"/>
  <c r="AB41" i="2"/>
  <c r="AA41" i="2" s="1"/>
  <c r="AC43" i="2" l="1"/>
  <c r="AB42" i="2"/>
  <c r="AA42" i="2" s="1"/>
  <c r="B38" i="4"/>
  <c r="AC44" i="2" l="1"/>
  <c r="AB43" i="2"/>
  <c r="AA43" i="2" s="1"/>
  <c r="AC45" i="2" l="1"/>
  <c r="AB44" i="2"/>
  <c r="AA44" i="2" s="1"/>
  <c r="AC46" i="2" l="1"/>
  <c r="AB45" i="2"/>
  <c r="AA45" i="2" s="1"/>
  <c r="AC47" i="2" l="1"/>
  <c r="AB46" i="2"/>
  <c r="AA46" i="2" s="1"/>
  <c r="AC48" i="2" l="1"/>
  <c r="AB47" i="2"/>
  <c r="AA47" i="2" s="1"/>
  <c r="AC49" i="2" l="1"/>
  <c r="AB48" i="2"/>
  <c r="AA48" i="2" s="1"/>
  <c r="AC50" i="2" l="1"/>
  <c r="AB49" i="2"/>
  <c r="AA49" i="2" s="1"/>
  <c r="AC51" i="2" l="1"/>
  <c r="AB50" i="2"/>
  <c r="AA50" i="2" s="1"/>
  <c r="AC52" i="2" l="1"/>
  <c r="AB51" i="2"/>
  <c r="AA51" i="2" s="1"/>
  <c r="AC53" i="2" l="1"/>
  <c r="AB52" i="2"/>
  <c r="AA52" i="2" s="1"/>
  <c r="B39" i="4"/>
  <c r="AC54" i="2" l="1"/>
  <c r="AB53" i="2"/>
  <c r="AA53" i="2" s="1"/>
  <c r="AC55" i="2" l="1"/>
  <c r="AB54" i="2"/>
  <c r="AA54" i="2" s="1"/>
  <c r="AC56" i="2" l="1"/>
  <c r="AB55" i="2"/>
  <c r="AA55" i="2" s="1"/>
  <c r="AC57" i="2" l="1"/>
  <c r="AB56" i="2"/>
  <c r="AA56" i="2" s="1"/>
  <c r="AC58" i="2" l="1"/>
  <c r="AB57" i="2"/>
  <c r="AA57" i="2" s="1"/>
  <c r="AC59" i="2" l="1"/>
  <c r="AB58" i="2"/>
  <c r="AA58" i="2" s="1"/>
  <c r="AC60" i="2" l="1"/>
  <c r="AB59" i="2"/>
  <c r="AA59" i="2" s="1"/>
  <c r="AC61" i="2" l="1"/>
  <c r="AB60" i="2"/>
  <c r="AA60" i="2" s="1"/>
  <c r="AC62" i="2" l="1"/>
  <c r="AB61" i="2"/>
  <c r="AA61" i="2" s="1"/>
  <c r="B40" i="4"/>
  <c r="AC63" i="2" l="1"/>
  <c r="AB62" i="2"/>
  <c r="AA62" i="2" s="1"/>
  <c r="AC64" i="2" l="1"/>
  <c r="AB63" i="2"/>
  <c r="AA63" i="2" s="1"/>
  <c r="AC65" i="2" l="1"/>
  <c r="AB64" i="2"/>
  <c r="AA64" i="2" s="1"/>
  <c r="AC66" i="2" l="1"/>
  <c r="AB65" i="2"/>
  <c r="AA65" i="2" s="1"/>
  <c r="AC67" i="2" l="1"/>
  <c r="AB66" i="2"/>
  <c r="AA66" i="2" s="1"/>
  <c r="AC68" i="2" l="1"/>
  <c r="AB67" i="2"/>
  <c r="AA67" i="2" s="1"/>
  <c r="AC69" i="2" l="1"/>
  <c r="AB68" i="2"/>
  <c r="AA68" i="2" s="1"/>
  <c r="AC70" i="2" l="1"/>
  <c r="AB69" i="2"/>
  <c r="AA69" i="2" s="1"/>
  <c r="B41" i="4"/>
  <c r="AC71" i="2" l="1"/>
  <c r="AB70" i="2"/>
  <c r="AA70" i="2" s="1"/>
  <c r="AC72" i="2" l="1"/>
  <c r="AB71" i="2"/>
  <c r="AA71" i="2" s="1"/>
  <c r="AC73" i="2" l="1"/>
  <c r="AB72" i="2"/>
  <c r="AA72" i="2" s="1"/>
  <c r="AC74" i="2" l="1"/>
  <c r="AB73" i="2"/>
  <c r="AA73" i="2" s="1"/>
  <c r="AC75" i="2" l="1"/>
  <c r="AB74" i="2"/>
  <c r="AA74" i="2" s="1"/>
  <c r="AC76" i="2" l="1"/>
  <c r="AB75" i="2"/>
  <c r="AA75" i="2" s="1"/>
  <c r="AC77" i="2" l="1"/>
  <c r="AB76" i="2"/>
  <c r="AA76" i="2" s="1"/>
  <c r="AC78" i="2" l="1"/>
  <c r="AB77" i="2"/>
  <c r="AA77" i="2" s="1"/>
  <c r="AC79" i="2" l="1"/>
  <c r="AB78" i="2"/>
  <c r="AA78" i="2" s="1"/>
  <c r="AC80" i="2" l="1"/>
  <c r="AB79" i="2"/>
  <c r="AA79" i="2" s="1"/>
  <c r="AC81" i="2" l="1"/>
  <c r="AB80" i="2"/>
  <c r="AA80" i="2" s="1"/>
  <c r="B42" i="4"/>
  <c r="AC82" i="2" l="1"/>
  <c r="AB81" i="2"/>
  <c r="AA81" i="2" s="1"/>
  <c r="AC83" i="2" l="1"/>
  <c r="AB82" i="2"/>
  <c r="AA82" i="2" s="1"/>
  <c r="AC84" i="2" l="1"/>
  <c r="AB83" i="2"/>
  <c r="AA83" i="2" s="1"/>
  <c r="AC85" i="2" l="1"/>
  <c r="AB84" i="2"/>
  <c r="AA84" i="2" s="1"/>
  <c r="AC86" i="2" l="1"/>
  <c r="AB85" i="2"/>
  <c r="AA85" i="2" s="1"/>
  <c r="AC87" i="2" l="1"/>
  <c r="AB86" i="2"/>
  <c r="AA86" i="2" s="1"/>
  <c r="AC88" i="2" l="1"/>
  <c r="AB87" i="2"/>
  <c r="AA87" i="2" s="1"/>
  <c r="AC89" i="2" l="1"/>
  <c r="AB88" i="2"/>
  <c r="AA88" i="2" s="1"/>
  <c r="AC90" i="2" l="1"/>
  <c r="AB89" i="2"/>
  <c r="AA89" i="2" s="1"/>
  <c r="B43" i="4"/>
  <c r="AC91" i="2" l="1"/>
  <c r="AB90" i="2"/>
  <c r="AA90" i="2" s="1"/>
  <c r="AC92" i="2" l="1"/>
  <c r="AB91" i="2"/>
  <c r="AA91" i="2" s="1"/>
  <c r="AC93" i="2" l="1"/>
  <c r="AB92" i="2"/>
  <c r="AA92" i="2" s="1"/>
  <c r="AC94" i="2" l="1"/>
  <c r="AB93" i="2"/>
  <c r="AA93" i="2" s="1"/>
  <c r="AC95" i="2" l="1"/>
  <c r="AB94" i="2"/>
  <c r="AA94" i="2" s="1"/>
  <c r="AC96" i="2" l="1"/>
  <c r="AB95" i="2"/>
  <c r="AA95" i="2" s="1"/>
  <c r="AC97" i="2" l="1"/>
  <c r="AB96" i="2"/>
  <c r="AA96" i="2" s="1"/>
  <c r="AC98" i="2" l="1"/>
  <c r="AB97" i="2"/>
  <c r="AA97" i="2" s="1"/>
  <c r="B44" i="4"/>
  <c r="AC99" i="2" l="1"/>
  <c r="AB98" i="2"/>
  <c r="AA98" i="2" s="1"/>
  <c r="AC100" i="2" l="1"/>
  <c r="AB99" i="2"/>
  <c r="AA99" i="2" s="1"/>
  <c r="AC101" i="2" l="1"/>
  <c r="AB100" i="2"/>
  <c r="AA100" i="2" s="1"/>
  <c r="AC102" i="2" l="1"/>
  <c r="AB101" i="2"/>
  <c r="AA101" i="2" s="1"/>
  <c r="AC103" i="2" l="1"/>
  <c r="AB102" i="2"/>
  <c r="AA102" i="2" s="1"/>
  <c r="AC104" i="2" l="1"/>
  <c r="AB103" i="2"/>
  <c r="AA103" i="2" s="1"/>
  <c r="AC105" i="2" l="1"/>
  <c r="AB104" i="2"/>
  <c r="AA104" i="2" s="1"/>
  <c r="AC106" i="2" l="1"/>
  <c r="AB105" i="2"/>
  <c r="AA105" i="2" s="1"/>
  <c r="AC107" i="2" l="1"/>
  <c r="AB106" i="2"/>
  <c r="AA106" i="2" s="1"/>
  <c r="B45" i="4"/>
  <c r="AC108" i="2" l="1"/>
  <c r="AB107" i="2"/>
  <c r="AA107" i="2" s="1"/>
  <c r="AC109" i="2" l="1"/>
  <c r="AB108" i="2"/>
  <c r="AA108" i="2" s="1"/>
  <c r="AC110" i="2" l="1"/>
  <c r="AB109" i="2"/>
  <c r="AA109" i="2" s="1"/>
  <c r="AC111" i="2" l="1"/>
  <c r="AB110" i="2"/>
  <c r="AA110" i="2" s="1"/>
  <c r="AC112" i="2" l="1"/>
  <c r="AB111" i="2"/>
  <c r="AA111" i="2" s="1"/>
  <c r="AC113" i="2" l="1"/>
  <c r="AB112" i="2"/>
  <c r="AA112" i="2" s="1"/>
  <c r="AC114" i="2" l="1"/>
  <c r="AB113" i="2"/>
  <c r="AA113" i="2" s="1"/>
  <c r="AC115" i="2" l="1"/>
  <c r="AB114" i="2"/>
  <c r="AA114" i="2" s="1"/>
  <c r="AC116" i="2" l="1"/>
  <c r="AB115" i="2"/>
  <c r="AA115" i="2" s="1"/>
  <c r="AC117" i="2" l="1"/>
  <c r="AB116" i="2"/>
  <c r="AA116" i="2" s="1"/>
  <c r="B46" i="4"/>
  <c r="AC118" i="2" l="1"/>
  <c r="AB117" i="2"/>
  <c r="AA117" i="2" s="1"/>
  <c r="AC119" i="2" l="1"/>
  <c r="AB118" i="2"/>
  <c r="AA118" i="2" s="1"/>
  <c r="AC120" i="2" l="1"/>
  <c r="AB119" i="2"/>
  <c r="AA119" i="2" s="1"/>
  <c r="AC121" i="2" l="1"/>
  <c r="AB120" i="2"/>
  <c r="AA120" i="2" s="1"/>
  <c r="AC122" i="2" l="1"/>
  <c r="AB121" i="2"/>
  <c r="AA121" i="2" s="1"/>
  <c r="AC123" i="2" l="1"/>
  <c r="AB122" i="2"/>
  <c r="AA122" i="2" s="1"/>
  <c r="AC124" i="2" l="1"/>
  <c r="AB123" i="2"/>
  <c r="AA123" i="2" s="1"/>
  <c r="AC125" i="2" l="1"/>
  <c r="AB124" i="2"/>
  <c r="AA124" i="2" s="1"/>
  <c r="B47" i="4"/>
  <c r="AC126" i="2" l="1"/>
  <c r="AB125" i="2"/>
  <c r="AA125" i="2" s="1"/>
  <c r="AC127" i="2" l="1"/>
  <c r="AB126" i="2"/>
  <c r="AA126" i="2" s="1"/>
  <c r="AC128" i="2" l="1"/>
  <c r="AB127" i="2"/>
  <c r="AA127" i="2" s="1"/>
  <c r="AC129" i="2" l="1"/>
  <c r="AB128" i="2"/>
  <c r="AA128" i="2" s="1"/>
  <c r="AC130" i="2" l="1"/>
  <c r="AB129" i="2"/>
  <c r="AA129" i="2" s="1"/>
  <c r="AC131" i="2" l="1"/>
  <c r="AB130" i="2"/>
  <c r="AA130" i="2" s="1"/>
  <c r="AC132" i="2" l="1"/>
  <c r="AB131" i="2"/>
  <c r="AA131" i="2" s="1"/>
  <c r="AC133" i="2" l="1"/>
  <c r="AB132" i="2"/>
  <c r="AA132" i="2" s="1"/>
  <c r="AC134" i="2" l="1"/>
  <c r="AB133" i="2"/>
  <c r="AA133" i="2" s="1"/>
  <c r="AC135" i="2" l="1"/>
  <c r="AB134" i="2"/>
  <c r="AA134" i="2" s="1"/>
  <c r="AC136" i="2" l="1"/>
  <c r="AB135" i="2"/>
  <c r="AA135" i="2" s="1"/>
  <c r="AC137" i="2" l="1"/>
  <c r="AB136" i="2"/>
  <c r="AA136" i="2" s="1"/>
  <c r="AC138" i="2" l="1"/>
  <c r="AB137" i="2"/>
  <c r="AA137" i="2" s="1"/>
  <c r="B48" i="4"/>
  <c r="AC139" i="2" l="1"/>
  <c r="AB138" i="2"/>
  <c r="AA138" i="2" s="1"/>
  <c r="AC140" i="2" l="1"/>
  <c r="AB139" i="2"/>
  <c r="AA139" i="2" s="1"/>
  <c r="AC141" i="2" l="1"/>
  <c r="AB140" i="2"/>
  <c r="AA140" i="2" s="1"/>
  <c r="AC142" i="2" l="1"/>
  <c r="AB141" i="2"/>
  <c r="AA141" i="2" s="1"/>
  <c r="AC143" i="2" l="1"/>
  <c r="AB142" i="2"/>
  <c r="AA142" i="2" s="1"/>
  <c r="AC144" i="2" l="1"/>
  <c r="AB143" i="2"/>
  <c r="AA143" i="2" s="1"/>
  <c r="AC145" i="2" l="1"/>
  <c r="AB144" i="2"/>
  <c r="AA144" i="2" s="1"/>
  <c r="AC146" i="2" l="1"/>
  <c r="AB145" i="2"/>
  <c r="AA145" i="2" s="1"/>
  <c r="B49" i="4"/>
  <c r="AC147" i="2" l="1"/>
  <c r="AB146" i="2"/>
  <c r="AA146" i="2" s="1"/>
  <c r="AC148" i="2" l="1"/>
  <c r="AB147" i="2"/>
  <c r="AA147" i="2" s="1"/>
  <c r="AC149" i="2" l="1"/>
  <c r="AB148" i="2"/>
  <c r="AA148" i="2" s="1"/>
  <c r="AC150" i="2" l="1"/>
  <c r="AB149" i="2"/>
  <c r="AA149" i="2" s="1"/>
  <c r="AC151" i="2" l="1"/>
  <c r="AB150" i="2"/>
  <c r="AA150" i="2" s="1"/>
  <c r="AC152" i="2" l="1"/>
  <c r="AB151" i="2"/>
  <c r="AA151" i="2" s="1"/>
  <c r="B50" i="4"/>
  <c r="AC153" i="2" l="1"/>
  <c r="AB152" i="2"/>
  <c r="AA152" i="2" s="1"/>
  <c r="AC154" i="2" l="1"/>
  <c r="AB153" i="2"/>
  <c r="AA153" i="2" s="1"/>
  <c r="AC155" i="2" l="1"/>
  <c r="AB154" i="2"/>
  <c r="AA154" i="2" s="1"/>
  <c r="AC156" i="2" l="1"/>
  <c r="AB155" i="2"/>
  <c r="AA155" i="2" s="1"/>
  <c r="AC157" i="2" l="1"/>
  <c r="AB156" i="2"/>
  <c r="AA156" i="2" s="1"/>
  <c r="AC158" i="2" l="1"/>
  <c r="AB157" i="2"/>
  <c r="AA157" i="2" s="1"/>
  <c r="AC159" i="2" l="1"/>
  <c r="AB158" i="2"/>
  <c r="AA158" i="2" s="1"/>
  <c r="AC160" i="2" l="1"/>
  <c r="AB159" i="2"/>
  <c r="AA159" i="2" s="1"/>
  <c r="AC161" i="2" l="1"/>
  <c r="AB160" i="2"/>
  <c r="AA160" i="2" s="1"/>
  <c r="B51" i="4"/>
  <c r="AC162" i="2" l="1"/>
  <c r="AB161" i="2"/>
  <c r="AA161" i="2" s="1"/>
  <c r="AC163" i="2" l="1"/>
  <c r="AB162" i="2"/>
  <c r="AA162" i="2" s="1"/>
  <c r="AC164" i="2" l="1"/>
  <c r="AB163" i="2"/>
  <c r="AA163" i="2" s="1"/>
  <c r="AC165" i="2" l="1"/>
  <c r="AB164" i="2"/>
  <c r="AA164" i="2" s="1"/>
  <c r="AC166" i="2" l="1"/>
  <c r="AB165" i="2"/>
  <c r="AA165" i="2" s="1"/>
  <c r="AC167" i="2" l="1"/>
  <c r="AB166" i="2"/>
  <c r="AA166" i="2" s="1"/>
  <c r="AC168" i="2" l="1"/>
  <c r="AB167" i="2"/>
  <c r="AA167" i="2" s="1"/>
  <c r="AC169" i="2" l="1"/>
  <c r="AB168" i="2"/>
  <c r="AA168" i="2" s="1"/>
  <c r="B52" i="4"/>
  <c r="AC170" i="2" l="1"/>
  <c r="AB169" i="2"/>
  <c r="AA169" i="2" s="1"/>
  <c r="AC171" i="2" l="1"/>
  <c r="AB170" i="2"/>
  <c r="AA170" i="2" s="1"/>
  <c r="AC172" i="2" l="1"/>
  <c r="AB171" i="2"/>
  <c r="AA171" i="2" s="1"/>
  <c r="AC173" i="2" l="1"/>
  <c r="AB172" i="2"/>
  <c r="AA172" i="2" s="1"/>
  <c r="AC174" i="2" l="1"/>
  <c r="AB173" i="2"/>
  <c r="AA173" i="2" s="1"/>
  <c r="AC175" i="2" l="1"/>
  <c r="AB174" i="2"/>
  <c r="AA174" i="2" s="1"/>
  <c r="AC176" i="2" l="1"/>
  <c r="AB175" i="2"/>
  <c r="AA175" i="2" s="1"/>
  <c r="AC177" i="2" l="1"/>
  <c r="AB176" i="2"/>
  <c r="AA176" i="2" s="1"/>
  <c r="AC178" i="2" l="1"/>
  <c r="AB177" i="2"/>
  <c r="AA177" i="2" s="1"/>
  <c r="B53" i="4"/>
  <c r="AC179" i="2" l="1"/>
  <c r="AB178" i="2"/>
  <c r="AA178" i="2" s="1"/>
  <c r="AC180" i="2" l="1"/>
  <c r="AB179" i="2"/>
  <c r="AA179" i="2" s="1"/>
  <c r="AC181" i="2" l="1"/>
  <c r="AB180" i="2"/>
  <c r="AA180" i="2" s="1"/>
  <c r="AC182" i="2" l="1"/>
  <c r="AB181" i="2"/>
  <c r="AA181" i="2" s="1"/>
  <c r="AC183" i="2" l="1"/>
  <c r="AB182" i="2"/>
  <c r="AA182" i="2" s="1"/>
  <c r="AC184" i="2" l="1"/>
  <c r="AB183" i="2"/>
  <c r="AA183" i="2" s="1"/>
  <c r="AC185" i="2" l="1"/>
  <c r="AB184" i="2"/>
  <c r="AA184" i="2" s="1"/>
  <c r="AC186" i="2" l="1"/>
  <c r="AB185" i="2"/>
  <c r="AA185" i="2" s="1"/>
  <c r="AC187" i="2" l="1"/>
  <c r="AB186" i="2"/>
  <c r="AA186" i="2" s="1"/>
  <c r="AC188" i="2" l="1"/>
  <c r="AB187" i="2"/>
  <c r="AA187" i="2" s="1"/>
  <c r="B54" i="4"/>
  <c r="AC189" i="2" l="1"/>
  <c r="AB188" i="2"/>
  <c r="AA188" i="2" s="1"/>
  <c r="AC190" i="2" l="1"/>
  <c r="AB189" i="2"/>
  <c r="AA189" i="2" s="1"/>
  <c r="AC191" i="2" l="1"/>
  <c r="AB190" i="2"/>
  <c r="AA190" i="2" s="1"/>
  <c r="AC192" i="2" l="1"/>
  <c r="AB191" i="2"/>
  <c r="AA191" i="2" s="1"/>
  <c r="AC193" i="2" l="1"/>
  <c r="AB192" i="2"/>
  <c r="AA192" i="2" s="1"/>
  <c r="AC194" i="2" l="1"/>
  <c r="AB193" i="2"/>
  <c r="AA193" i="2" s="1"/>
  <c r="AC195" i="2" l="1"/>
  <c r="AB194" i="2"/>
  <c r="AA194" i="2" s="1"/>
  <c r="AC196" i="2" l="1"/>
  <c r="AB195" i="2"/>
  <c r="AA195" i="2" s="1"/>
  <c r="B55" i="4"/>
  <c r="AC197" i="2" l="1"/>
  <c r="AB196" i="2"/>
  <c r="AA196" i="2" s="1"/>
  <c r="AC198" i="2" l="1"/>
  <c r="AB197" i="2"/>
  <c r="AA197" i="2" s="1"/>
  <c r="AC199" i="2" l="1"/>
  <c r="AB198" i="2"/>
  <c r="AA198" i="2" s="1"/>
  <c r="AC200" i="2" l="1"/>
  <c r="AB199" i="2"/>
  <c r="AA199" i="2" s="1"/>
  <c r="AC201" i="2" l="1"/>
  <c r="AB200" i="2"/>
  <c r="AA200" i="2" s="1"/>
  <c r="AC202" i="2" l="1"/>
  <c r="AB201" i="2"/>
  <c r="AA201" i="2" s="1"/>
  <c r="AC203" i="2" l="1"/>
  <c r="AB202" i="2"/>
  <c r="AA202" i="2" s="1"/>
  <c r="AC204" i="2" l="1"/>
  <c r="AB203" i="2"/>
  <c r="AA203" i="2" s="1"/>
  <c r="AC205" i="2" l="1"/>
  <c r="AB204" i="2"/>
  <c r="AA204" i="2" s="1"/>
  <c r="B56" i="4"/>
  <c r="AC206" i="2" l="1"/>
  <c r="AB205" i="2"/>
  <c r="AA205" i="2" s="1"/>
  <c r="AC207" i="2" l="1"/>
  <c r="AB206" i="2"/>
  <c r="AA206" i="2" s="1"/>
  <c r="AC208" i="2" l="1"/>
  <c r="AB207" i="2"/>
  <c r="AA207" i="2" s="1"/>
  <c r="AC209" i="2" l="1"/>
  <c r="AB208" i="2"/>
  <c r="AA208" i="2" s="1"/>
  <c r="AC210" i="2" l="1"/>
  <c r="AB209" i="2"/>
  <c r="AA209" i="2" s="1"/>
  <c r="AC211" i="2" l="1"/>
  <c r="AB210" i="2"/>
  <c r="AA210" i="2" s="1"/>
  <c r="AC212" i="2" l="1"/>
  <c r="AB211" i="2"/>
  <c r="AA211" i="2" s="1"/>
  <c r="AC213" i="2" l="1"/>
  <c r="AB212" i="2"/>
  <c r="AA212" i="2" s="1"/>
  <c r="AC214" i="2" l="1"/>
  <c r="AB213" i="2"/>
  <c r="AA213" i="2" s="1"/>
  <c r="AC215" i="2" l="1"/>
  <c r="AB214" i="2"/>
  <c r="AA214" i="2" s="1"/>
  <c r="B57" i="4"/>
  <c r="AC216" i="2" l="1"/>
  <c r="AB215" i="2"/>
  <c r="AA215" i="2" s="1"/>
  <c r="AC217" i="2" l="1"/>
  <c r="AB216" i="2"/>
  <c r="AA216" i="2" s="1"/>
  <c r="AC218" i="2" l="1"/>
  <c r="AB217" i="2"/>
  <c r="AA217" i="2" s="1"/>
  <c r="AC219" i="2" l="1"/>
  <c r="AB218" i="2"/>
  <c r="AA218" i="2" s="1"/>
  <c r="AC220" i="2" l="1"/>
  <c r="AB219" i="2"/>
  <c r="AA219" i="2" s="1"/>
  <c r="AC221" i="2" l="1"/>
  <c r="AB220" i="2"/>
  <c r="AA220" i="2" s="1"/>
  <c r="B58" i="4"/>
  <c r="AC222" i="2" l="1"/>
  <c r="AB221" i="2"/>
  <c r="AA221" i="2" s="1"/>
  <c r="AC223" i="2" l="1"/>
  <c r="AB222" i="2"/>
  <c r="AA222" i="2" s="1"/>
  <c r="AC224" i="2" l="1"/>
  <c r="AB223" i="2"/>
  <c r="AA223" i="2" s="1"/>
  <c r="AC225" i="2" l="1"/>
  <c r="AB224" i="2"/>
  <c r="AA224" i="2" s="1"/>
  <c r="AC226" i="2" l="1"/>
  <c r="AB225" i="2"/>
  <c r="AA225" i="2" s="1"/>
  <c r="AC227" i="2" l="1"/>
  <c r="AB226" i="2"/>
  <c r="AA226" i="2" s="1"/>
  <c r="AC228" i="2" l="1"/>
  <c r="AB227" i="2"/>
  <c r="AA227" i="2" s="1"/>
  <c r="AC229" i="2" l="1"/>
  <c r="AB228" i="2"/>
  <c r="AA228" i="2" s="1"/>
  <c r="AC230" i="2" l="1"/>
  <c r="AB229" i="2"/>
  <c r="AA229" i="2" s="1"/>
  <c r="B59" i="4"/>
  <c r="AC231" i="2" l="1"/>
  <c r="AB230" i="2"/>
  <c r="AA230" i="2" s="1"/>
  <c r="AC232" i="2" l="1"/>
  <c r="AB231" i="2"/>
  <c r="AA231" i="2" s="1"/>
  <c r="AC233" i="2" l="1"/>
  <c r="AB232" i="2"/>
  <c r="AA232" i="2" s="1"/>
  <c r="AC234" i="2" l="1"/>
  <c r="AB233" i="2"/>
  <c r="AA233" i="2" s="1"/>
  <c r="AC235" i="2" l="1"/>
  <c r="AB234" i="2"/>
  <c r="AA234" i="2" s="1"/>
  <c r="AC236" i="2" l="1"/>
  <c r="AB235" i="2"/>
  <c r="AA235" i="2" s="1"/>
  <c r="AC237" i="2" l="1"/>
  <c r="AB236" i="2"/>
  <c r="AA236" i="2" s="1"/>
  <c r="AC238" i="2" l="1"/>
  <c r="AB237" i="2"/>
  <c r="AA237" i="2" s="1"/>
  <c r="AC239" i="2" l="1"/>
  <c r="AB238" i="2"/>
  <c r="AA238" i="2" s="1"/>
  <c r="AC240" i="2" l="1"/>
  <c r="AB239" i="2"/>
  <c r="AA239" i="2" s="1"/>
  <c r="AC241" i="2" l="1"/>
  <c r="AB240" i="2"/>
  <c r="AA240" i="2" s="1"/>
  <c r="AC242" i="2" l="1"/>
  <c r="AB241" i="2"/>
  <c r="AA241" i="2" s="1"/>
  <c r="AC243" i="2" l="1"/>
  <c r="AB242" i="2"/>
  <c r="AA242" i="2" s="1"/>
  <c r="AC244" i="2" l="1"/>
  <c r="AB243" i="2"/>
  <c r="AA243" i="2" s="1"/>
  <c r="AC245" i="2" l="1"/>
  <c r="AB244" i="2"/>
  <c r="AA244" i="2" s="1"/>
  <c r="B60" i="4"/>
  <c r="AC246" i="2" l="1"/>
  <c r="AB245" i="2"/>
  <c r="AA245" i="2" s="1"/>
  <c r="AC247" i="2" l="1"/>
  <c r="AB246" i="2"/>
  <c r="AA246" i="2" s="1"/>
  <c r="AC248" i="2" l="1"/>
  <c r="AB247" i="2"/>
  <c r="AA247" i="2" s="1"/>
  <c r="AC249" i="2" l="1"/>
  <c r="AB248" i="2"/>
  <c r="AA248" i="2" s="1"/>
  <c r="AC250" i="2" l="1"/>
  <c r="AB249" i="2"/>
  <c r="AA249" i="2" s="1"/>
  <c r="AC251" i="2" l="1"/>
  <c r="AB250" i="2"/>
  <c r="AA250" i="2" s="1"/>
  <c r="AC252" i="2" l="1"/>
  <c r="AB251" i="2"/>
  <c r="AA251" i="2" s="1"/>
  <c r="AC253" i="2" l="1"/>
  <c r="AB252" i="2"/>
  <c r="AA252" i="2" s="1"/>
  <c r="AC254" i="2" l="1"/>
  <c r="AB253" i="2"/>
  <c r="AA253" i="2" s="1"/>
  <c r="AC255" i="2" l="1"/>
  <c r="AB254" i="2"/>
  <c r="AA254" i="2" s="1"/>
  <c r="B61" i="4"/>
  <c r="AC256" i="2" l="1"/>
  <c r="AB255" i="2"/>
  <c r="AA255" i="2" s="1"/>
  <c r="AC257" i="2" l="1"/>
  <c r="AB256" i="2"/>
  <c r="AA256" i="2" s="1"/>
  <c r="AC258" i="2" l="1"/>
  <c r="AB257" i="2"/>
  <c r="AA257" i="2" s="1"/>
  <c r="AC259" i="2" l="1"/>
  <c r="AB258" i="2"/>
  <c r="AA258" i="2" s="1"/>
  <c r="AC260" i="2" l="1"/>
  <c r="AB259" i="2"/>
  <c r="AA259" i="2" s="1"/>
  <c r="AC261" i="2" l="1"/>
  <c r="AB260" i="2"/>
  <c r="AA260" i="2" s="1"/>
  <c r="B62" i="4"/>
  <c r="AC262" i="2" l="1"/>
  <c r="AB261" i="2"/>
  <c r="AA261" i="2" s="1"/>
  <c r="AC263" i="2" l="1"/>
  <c r="AB262" i="2"/>
  <c r="AA262" i="2" s="1"/>
  <c r="AC264" i="2" l="1"/>
  <c r="AB263" i="2"/>
  <c r="AA263" i="2" s="1"/>
  <c r="AC265" i="2" l="1"/>
  <c r="AB264" i="2"/>
  <c r="AA264" i="2" s="1"/>
  <c r="AC266" i="2" l="1"/>
  <c r="AB265" i="2"/>
  <c r="AA265" i="2" s="1"/>
  <c r="AC267" i="2" l="1"/>
  <c r="AB266" i="2"/>
  <c r="AA266" i="2" s="1"/>
  <c r="B63" i="4"/>
  <c r="AC268" i="2" l="1"/>
  <c r="AB267" i="2"/>
  <c r="AA267" i="2" s="1"/>
  <c r="AC269" i="2" l="1"/>
  <c r="AB268" i="2"/>
  <c r="AA268" i="2" s="1"/>
  <c r="AC270" i="2" l="1"/>
  <c r="AB269" i="2"/>
  <c r="AA269" i="2" s="1"/>
  <c r="AC271" i="2" l="1"/>
  <c r="AB270" i="2"/>
  <c r="AA270" i="2" s="1"/>
  <c r="AC272" i="2" l="1"/>
  <c r="AB271" i="2"/>
  <c r="AA271" i="2" s="1"/>
  <c r="B64" i="4"/>
  <c r="AC273" i="2" l="1"/>
  <c r="AB272" i="2"/>
  <c r="AA272" i="2" s="1"/>
  <c r="AC274" i="2" l="1"/>
  <c r="AB273" i="2"/>
  <c r="AA273" i="2" s="1"/>
  <c r="AC275" i="2" l="1"/>
  <c r="AB274" i="2"/>
  <c r="AA274" i="2" s="1"/>
  <c r="AC276" i="2" l="1"/>
  <c r="AB275" i="2"/>
  <c r="AA275" i="2" s="1"/>
  <c r="AC277" i="2" l="1"/>
  <c r="AB276" i="2"/>
  <c r="AA276" i="2" s="1"/>
  <c r="B65" i="4"/>
  <c r="AC278" i="2" l="1"/>
  <c r="AB277" i="2"/>
  <c r="AA277" i="2" s="1"/>
  <c r="AC279" i="2" l="1"/>
  <c r="AB278" i="2"/>
  <c r="AA278" i="2" s="1"/>
  <c r="AC280" i="2" l="1"/>
  <c r="AB279" i="2"/>
  <c r="AA279" i="2" s="1"/>
  <c r="AC281" i="2" l="1"/>
  <c r="AB280" i="2"/>
  <c r="AA280" i="2" s="1"/>
  <c r="AC282" i="2" l="1"/>
  <c r="AB281" i="2"/>
  <c r="AA281" i="2" s="1"/>
  <c r="AC283" i="2" l="1"/>
  <c r="AB282" i="2"/>
  <c r="AA282" i="2" s="1"/>
  <c r="AC284" i="2" l="1"/>
  <c r="AB283" i="2"/>
  <c r="AA283" i="2" s="1"/>
  <c r="B66" i="4"/>
  <c r="AC285" i="2" l="1"/>
  <c r="AB284" i="2"/>
  <c r="AA284" i="2" s="1"/>
  <c r="AC286" i="2" l="1"/>
  <c r="AB285" i="2"/>
  <c r="AA285" i="2" s="1"/>
  <c r="AC287" i="2" l="1"/>
  <c r="AB286" i="2"/>
  <c r="AA286" i="2" s="1"/>
  <c r="AC288" i="2" l="1"/>
  <c r="AB287" i="2"/>
  <c r="AA287" i="2" s="1"/>
  <c r="AC289" i="2" l="1"/>
  <c r="AB288" i="2"/>
  <c r="AA288" i="2" s="1"/>
  <c r="B67" i="4"/>
  <c r="AC290" i="2" l="1"/>
  <c r="AB289" i="2"/>
  <c r="AA289" i="2" s="1"/>
  <c r="AC291" i="2" l="1"/>
  <c r="AB290" i="2"/>
  <c r="AA290" i="2" s="1"/>
  <c r="AC292" i="2" l="1"/>
  <c r="AB291" i="2"/>
  <c r="AA291" i="2" s="1"/>
  <c r="AC293" i="2" l="1"/>
  <c r="AB292" i="2"/>
  <c r="AA292" i="2" s="1"/>
  <c r="AC294" i="2" l="1"/>
  <c r="AB293" i="2"/>
  <c r="AA293" i="2" s="1"/>
  <c r="B68" i="4"/>
  <c r="AC295" i="2" l="1"/>
  <c r="AB294" i="2"/>
  <c r="AA294" i="2" s="1"/>
  <c r="AC296" i="2" l="1"/>
  <c r="AB295" i="2"/>
  <c r="AA295" i="2" s="1"/>
  <c r="AC297" i="2" l="1"/>
  <c r="AB296" i="2"/>
  <c r="AA296" i="2" s="1"/>
  <c r="AC298" i="2" l="1"/>
  <c r="AB297" i="2"/>
  <c r="AA297" i="2" s="1"/>
  <c r="AC299" i="2" l="1"/>
  <c r="AB298" i="2"/>
  <c r="AA298" i="2" s="1"/>
  <c r="AC300" i="2" l="1"/>
  <c r="AB299" i="2"/>
  <c r="AA299" i="2" s="1"/>
  <c r="AC301" i="2" l="1"/>
  <c r="AB300" i="2"/>
  <c r="AA300" i="2" s="1"/>
  <c r="B69" i="4"/>
  <c r="AC302" i="2" l="1"/>
  <c r="AB301" i="2"/>
  <c r="AA301" i="2" s="1"/>
  <c r="AC303" i="2" l="1"/>
  <c r="AB302" i="2"/>
  <c r="AA302" i="2" s="1"/>
  <c r="AC304" i="2" l="1"/>
  <c r="AB303" i="2"/>
  <c r="AA303" i="2" s="1"/>
  <c r="AC305" i="2" l="1"/>
  <c r="AB304" i="2"/>
  <c r="AA304" i="2" s="1"/>
  <c r="AC306" i="2" l="1"/>
  <c r="AB305" i="2"/>
  <c r="AA305" i="2" s="1"/>
  <c r="B70" i="4"/>
  <c r="AC307" i="2" l="1"/>
  <c r="AB306" i="2"/>
  <c r="AA306" i="2" s="1"/>
  <c r="AC308" i="2" l="1"/>
  <c r="AB307" i="2"/>
  <c r="AA307" i="2" s="1"/>
  <c r="AC309" i="2" l="1"/>
  <c r="AB308" i="2"/>
  <c r="AA308" i="2" s="1"/>
  <c r="AC310" i="2" l="1"/>
  <c r="AB309" i="2"/>
  <c r="AA309" i="2" s="1"/>
  <c r="AC311" i="2" l="1"/>
  <c r="AB310" i="2"/>
  <c r="AA310" i="2" s="1"/>
  <c r="AC312" i="2" l="1"/>
  <c r="AB311" i="2"/>
  <c r="AA311" i="2" s="1"/>
  <c r="B71" i="4"/>
  <c r="AC313" i="2" l="1"/>
  <c r="AB312" i="2"/>
  <c r="AA312" i="2" s="1"/>
  <c r="AC314" i="2" l="1"/>
  <c r="AB313" i="2"/>
  <c r="AA313" i="2" s="1"/>
  <c r="AC315" i="2" l="1"/>
  <c r="AB314" i="2"/>
  <c r="AA314" i="2" s="1"/>
  <c r="AC316" i="2" l="1"/>
  <c r="AB315" i="2"/>
  <c r="AA315" i="2" s="1"/>
  <c r="AC317" i="2" l="1"/>
  <c r="AB316" i="2"/>
  <c r="AA316" i="2" s="1"/>
  <c r="AC318" i="2" l="1"/>
  <c r="AB317" i="2"/>
  <c r="AA317" i="2" s="1"/>
  <c r="B72" i="4"/>
  <c r="AC319" i="2" l="1"/>
  <c r="AB318" i="2"/>
  <c r="AA318" i="2" s="1"/>
  <c r="AC320" i="2" l="1"/>
  <c r="AB319" i="2"/>
  <c r="AA319" i="2" s="1"/>
  <c r="AC321" i="2" l="1"/>
  <c r="AB320" i="2"/>
  <c r="AA320" i="2" s="1"/>
  <c r="AC322" i="2" l="1"/>
  <c r="AB321" i="2"/>
  <c r="AA321" i="2" s="1"/>
  <c r="AC323" i="2" l="1"/>
  <c r="AB322" i="2"/>
  <c r="AA322" i="2" s="1"/>
  <c r="AC324" i="2" l="1"/>
  <c r="AB323" i="2"/>
  <c r="AA323" i="2" s="1"/>
  <c r="B73" i="4"/>
  <c r="AC325" i="2" l="1"/>
  <c r="AB324" i="2"/>
  <c r="AA324" i="2" s="1"/>
  <c r="AC326" i="2" l="1"/>
  <c r="AB325" i="2"/>
  <c r="AA325" i="2" s="1"/>
  <c r="AC327" i="2" l="1"/>
  <c r="AB326" i="2"/>
  <c r="AA326" i="2" s="1"/>
  <c r="AC328" i="2" l="1"/>
  <c r="AB327" i="2"/>
  <c r="AA327" i="2" s="1"/>
  <c r="AC329" i="2" l="1"/>
  <c r="AB328" i="2"/>
  <c r="AA328" i="2" s="1"/>
  <c r="AC330" i="2" l="1"/>
  <c r="AB329" i="2"/>
  <c r="AA329" i="2" s="1"/>
  <c r="AC331" i="2" l="1"/>
  <c r="AB330" i="2"/>
  <c r="AA330" i="2" s="1"/>
  <c r="B74" i="4"/>
  <c r="AC332" i="2" l="1"/>
  <c r="AC333" i="2" s="1"/>
  <c r="AB331" i="2"/>
  <c r="AA331" i="2" s="1"/>
  <c r="AB333" i="2" l="1"/>
  <c r="AA333" i="2" s="1"/>
  <c r="AC334" i="2"/>
  <c r="AB332" i="2"/>
  <c r="AA332" i="2" s="1"/>
  <c r="AC335" i="2" l="1"/>
  <c r="AB334" i="2"/>
  <c r="AA334" i="2" s="1"/>
  <c r="AC336" i="2" l="1"/>
  <c r="AB335" i="2"/>
  <c r="AA335" i="2" s="1"/>
  <c r="AE359" i="2"/>
  <c r="AE358" i="2"/>
  <c r="AE357" i="2"/>
  <c r="AB336" i="2" l="1"/>
  <c r="AA336" i="2" s="1"/>
  <c r="AC337" i="2"/>
  <c r="AE361" i="2"/>
  <c r="B75" i="4"/>
  <c r="AC338" i="2" l="1"/>
  <c r="AB337" i="2"/>
  <c r="AA337" i="2" s="1"/>
  <c r="AC339" i="2" l="1"/>
  <c r="AB338" i="2"/>
  <c r="AA338" i="2" s="1"/>
  <c r="AB339" i="2" l="1"/>
  <c r="AA339" i="2" s="1"/>
  <c r="AC340" i="2"/>
  <c r="AB340" i="2" l="1"/>
  <c r="AA340" i="2" s="1"/>
  <c r="AC341" i="2"/>
  <c r="AC342" i="2" l="1"/>
  <c r="AB341" i="2"/>
  <c r="AA341" i="2" s="1"/>
  <c r="AB342" i="2" l="1"/>
  <c r="AA342" i="2" s="1"/>
  <c r="AC343" i="2"/>
  <c r="D344" i="2" l="1"/>
  <c r="AC344" i="2"/>
  <c r="AB343" i="2"/>
  <c r="AA343" i="2" s="1"/>
  <c r="AB344" i="2" l="1"/>
  <c r="AA344" i="2" s="1"/>
  <c r="AC345" i="2"/>
  <c r="AL344" i="2"/>
  <c r="AM344" i="2" s="1"/>
  <c r="AN3" i="2" s="1"/>
  <c r="AI344" i="2"/>
  <c r="AJ3" i="2" s="1"/>
  <c r="AB345" i="2" l="1"/>
  <c r="AA345" i="2" s="1"/>
  <c r="AC346" i="2"/>
  <c r="AC347" i="2" l="1"/>
  <c r="AB346" i="2"/>
  <c r="AA346" i="2" s="1"/>
  <c r="AB347" i="2" l="1"/>
  <c r="AA347" i="2" s="1"/>
  <c r="AC348" i="2"/>
  <c r="AB348" i="2" l="1"/>
  <c r="AA348" i="2" s="1"/>
  <c r="AC349" i="2"/>
  <c r="AC350" i="2" l="1"/>
  <c r="AB349" i="2"/>
  <c r="AA349" i="2" s="1"/>
  <c r="AB350" i="2" l="1"/>
  <c r="AA350" i="2" s="1"/>
  <c r="AC351" i="2"/>
  <c r="B76" i="4"/>
  <c r="AB351" i="2" l="1"/>
  <c r="AA351" i="2" s="1"/>
  <c r="AC352" i="2"/>
  <c r="AE364" i="2"/>
  <c r="AB352" i="2" l="1"/>
  <c r="AA352" i="2" s="1"/>
  <c r="AC353" i="2"/>
  <c r="AB353" i="2" l="1"/>
  <c r="AA353" i="2" s="1"/>
  <c r="AC354" i="2"/>
  <c r="AC355" i="2" l="1"/>
  <c r="AB354" i="2"/>
  <c r="AA354" i="2" s="1"/>
  <c r="AC356" i="2" l="1"/>
  <c r="AB355" i="2"/>
  <c r="AA355" i="2" s="1"/>
  <c r="AB356" i="2" l="1"/>
  <c r="AA356" i="2" s="1"/>
  <c r="AC357" i="2"/>
  <c r="AE365" i="2"/>
  <c r="AC358" i="2" l="1"/>
  <c r="AB357" i="2"/>
  <c r="AA357" i="2" s="1"/>
  <c r="B77" i="4"/>
  <c r="AC359" i="2" l="1"/>
  <c r="AB358" i="2"/>
  <c r="AA358" i="2" s="1"/>
  <c r="AB359" i="2" l="1"/>
  <c r="AA359" i="2" s="1"/>
  <c r="AC360" i="2"/>
  <c r="AB360" i="2" l="1"/>
  <c r="AA360" i="2" s="1"/>
  <c r="AC361" i="2"/>
  <c r="AC362" i="2" l="1"/>
  <c r="AB361" i="2"/>
  <c r="AA361" i="2" s="1"/>
  <c r="AC363" i="2" l="1"/>
  <c r="AB362" i="2"/>
  <c r="AA362" i="2" s="1"/>
  <c r="AC364" i="2" l="1"/>
  <c r="AB363" i="2"/>
  <c r="AA363" i="2" s="1"/>
  <c r="B78" i="4"/>
  <c r="AB364" i="2" l="1"/>
  <c r="AA364" i="2" s="1"/>
  <c r="AC365" i="2"/>
  <c r="AC366" i="2" l="1"/>
  <c r="AB365" i="2"/>
  <c r="AA365" i="2" s="1"/>
  <c r="AC367" i="2" l="1"/>
  <c r="AB366" i="2"/>
  <c r="AA366" i="2" s="1"/>
  <c r="AC368" i="2" l="1"/>
  <c r="AB367" i="2"/>
  <c r="AA367" i="2" s="1"/>
  <c r="AE378" i="2"/>
  <c r="AE377" i="2"/>
  <c r="AC369" i="2" l="1"/>
  <c r="AB368" i="2"/>
  <c r="AA368" i="2" s="1"/>
  <c r="AE379" i="2"/>
  <c r="AC370" i="2" l="1"/>
  <c r="AB369" i="2"/>
  <c r="AA369" i="2" s="1"/>
  <c r="AB370" i="2" l="1"/>
  <c r="AA370" i="2" s="1"/>
  <c r="AC371" i="2"/>
  <c r="B79" i="4"/>
  <c r="AC372" i="2" l="1"/>
  <c r="AB371" i="2"/>
  <c r="AA371" i="2" s="1"/>
  <c r="AB372" i="2" l="1"/>
  <c r="AA372" i="2" s="1"/>
  <c r="AC373" i="2"/>
  <c r="AB373" i="2" l="1"/>
  <c r="AA373" i="2" s="1"/>
  <c r="AC374" i="2"/>
  <c r="AC375" i="2" l="1"/>
  <c r="AB374" i="2"/>
  <c r="AA374" i="2" s="1"/>
  <c r="AB375" i="2" l="1"/>
  <c r="AA375" i="2" s="1"/>
  <c r="AC376" i="2"/>
  <c r="AB376" i="2" l="1"/>
  <c r="AA376" i="2" s="1"/>
  <c r="AC377" i="2"/>
  <c r="AC378" i="2" l="1"/>
  <c r="AB377" i="2"/>
  <c r="AA377" i="2" s="1"/>
  <c r="AB378" i="2" l="1"/>
  <c r="AA378" i="2" s="1"/>
  <c r="AC379" i="2"/>
  <c r="AB379" i="2" l="1"/>
  <c r="AA379" i="2" s="1"/>
  <c r="AC380" i="2"/>
  <c r="B80" i="4"/>
  <c r="AC381" i="2" l="1"/>
  <c r="AB380" i="2"/>
  <c r="AA380" i="2" s="1"/>
  <c r="AC382" i="2" l="1"/>
  <c r="AB381" i="2"/>
  <c r="AA381" i="2" s="1"/>
  <c r="AB382" i="2" l="1"/>
  <c r="AA382" i="2" s="1"/>
  <c r="AC383" i="2"/>
  <c r="AC384" i="2" s="1"/>
  <c r="AB384" i="2" l="1"/>
  <c r="AA384" i="2" s="1"/>
  <c r="AC385" i="2"/>
  <c r="AB383" i="2"/>
  <c r="AA383" i="2" s="1"/>
  <c r="B81" i="4"/>
  <c r="AB385" i="2" l="1"/>
  <c r="AA385" i="2" s="1"/>
  <c r="AC386" i="2"/>
  <c r="B83" i="4"/>
  <c r="AC387" i="2" l="1"/>
  <c r="AB386" i="2"/>
  <c r="AA386" i="2" s="1"/>
  <c r="AC388" i="2" l="1"/>
  <c r="AB387" i="2"/>
  <c r="AA387" i="2" s="1"/>
  <c r="AB388" i="2" l="1"/>
  <c r="AA388" i="2" s="1"/>
  <c r="AC389" i="2"/>
  <c r="AC390" i="2" l="1"/>
  <c r="AB389" i="2"/>
  <c r="AA389" i="2" s="1"/>
  <c r="AB390" i="2" l="1"/>
  <c r="AA390" i="2" s="1"/>
  <c r="AC391" i="2"/>
  <c r="AB391" i="2" l="1"/>
  <c r="AA391" i="2" s="1"/>
  <c r="AC392" i="2"/>
  <c r="AC393" i="2" l="1"/>
  <c r="AB392" i="2"/>
  <c r="AA392" i="2" s="1"/>
  <c r="AB393" i="2" l="1"/>
  <c r="AA393" i="2" s="1"/>
  <c r="AC394" i="2"/>
  <c r="AB394" i="2" l="1"/>
  <c r="AA394" i="2" s="1"/>
  <c r="AC395" i="2"/>
  <c r="AC396" i="2" l="1"/>
  <c r="AB395" i="2"/>
  <c r="AA395" i="2" s="1"/>
  <c r="AC397" i="2" l="1"/>
  <c r="AB396" i="2"/>
  <c r="AA396" i="2" s="1"/>
  <c r="AB397" i="2" l="1"/>
  <c r="AA397" i="2" s="1"/>
  <c r="AC398" i="2"/>
  <c r="AC399" i="2" l="1"/>
  <c r="AB398" i="2"/>
  <c r="AA398" i="2" s="1"/>
  <c r="AB399" i="2" l="1"/>
  <c r="AA399" i="2" s="1"/>
  <c r="AC400" i="2"/>
  <c r="AB400" i="2" l="1"/>
  <c r="AA400" i="2" s="1"/>
  <c r="AC401" i="2"/>
  <c r="AC402" i="2" l="1"/>
  <c r="AB401" i="2"/>
  <c r="AA401" i="2" s="1"/>
  <c r="AC403" i="2" l="1"/>
  <c r="AB402" i="2"/>
  <c r="AA402" i="2" s="1"/>
  <c r="AC404" i="2" l="1"/>
  <c r="AB403" i="2"/>
  <c r="AA403" i="2" s="1"/>
  <c r="AB404" i="2" l="1"/>
  <c r="AA404" i="2" s="1"/>
  <c r="AC405" i="2"/>
  <c r="AB405" i="2" l="1"/>
  <c r="AA405" i="2" s="1"/>
  <c r="AC406" i="2"/>
  <c r="AC407" i="2" l="1"/>
  <c r="AB406" i="2"/>
  <c r="AA406" i="2" s="1"/>
  <c r="AB407" i="2" l="1"/>
  <c r="AA407" i="2" s="1"/>
  <c r="AC408" i="2"/>
  <c r="AB408" i="2" l="1"/>
  <c r="AA408" i="2" s="1"/>
  <c r="AC409" i="2"/>
  <c r="AE409" i="2" l="1"/>
  <c r="AC410" i="2"/>
  <c r="AB409" i="2"/>
  <c r="AA409" i="2" s="1"/>
  <c r="AE410" i="2" l="1"/>
  <c r="AB410" i="2"/>
  <c r="AA410" i="2" s="1"/>
  <c r="T6" i="2"/>
  <c r="T3" i="2" a="1"/>
  <c r="T3" i="2" s="1"/>
  <c r="N3" i="1" a="1"/>
  <c r="Q3" i="1" a="1"/>
  <c r="N3" i="1" l="1"/>
  <c r="Q3" i="1"/>
  <c r="Y3" i="1" s="1"/>
  <c r="AP3" i="2"/>
  <c r="AQ4" i="2" s="1"/>
  <c r="R3" i="2"/>
  <c r="I3" i="1" a="1"/>
  <c r="M3" i="1" a="1"/>
  <c r="M3" i="1" l="1"/>
  <c r="I3" i="1"/>
  <c r="J3" i="1" s="1"/>
  <c r="V6" i="2"/>
  <c r="AS4" i="2"/>
  <c r="AQ5" i="2"/>
  <c r="AR4" i="2"/>
  <c r="P3" i="1" a="1"/>
  <c r="P3" i="1" l="1"/>
  <c r="AT4" i="2"/>
  <c r="AU4" i="2" s="1"/>
  <c r="AV4" i="2" s="1"/>
  <c r="AS5" i="2"/>
  <c r="AQ6" i="2"/>
  <c r="AR5" i="2"/>
  <c r="AT5" i="2" l="1"/>
  <c r="AU5" i="2" s="1"/>
  <c r="AV5" i="2" s="1"/>
  <c r="AR6" i="2"/>
  <c r="AQ7" i="2"/>
  <c r="AS6" i="2"/>
  <c r="AT6" i="2" l="1"/>
  <c r="AU6" i="2" s="1"/>
  <c r="AV6" i="2" s="1"/>
  <c r="AS7" i="2"/>
  <c r="AQ8" i="2"/>
  <c r="AR7" i="2"/>
  <c r="AT7" i="2" l="1"/>
  <c r="AU7" i="2" s="1"/>
  <c r="AV7" i="2" s="1"/>
  <c r="AR8" i="2"/>
  <c r="AQ9" i="2"/>
  <c r="AS8" i="2"/>
  <c r="AT8" i="2" l="1"/>
  <c r="AU8" i="2" s="1"/>
  <c r="AV8" i="2" s="1"/>
  <c r="AS9" i="2"/>
  <c r="AR9" i="2"/>
  <c r="AQ10" i="2"/>
  <c r="AT9" i="2" l="1"/>
  <c r="AU9" i="2" s="1"/>
  <c r="AV9" i="2" s="1"/>
  <c r="AQ11" i="2"/>
  <c r="AS10" i="2"/>
  <c r="AR10" i="2"/>
  <c r="AT10" i="2" l="1"/>
  <c r="AU10" i="2" s="1"/>
  <c r="AV10" i="2" s="1"/>
  <c r="AQ12" i="2"/>
  <c r="AS11" i="2"/>
  <c r="AR11" i="2"/>
  <c r="AT11" i="2" l="1"/>
  <c r="AU11" i="2" s="1"/>
  <c r="AV11" i="2" s="1"/>
  <c r="AQ13" i="2"/>
  <c r="AR12" i="2"/>
  <c r="AS12" i="2"/>
  <c r="AT12" i="2" l="1"/>
  <c r="AU12" i="2" s="1"/>
  <c r="AV12" i="2" s="1"/>
  <c r="AS13" i="2"/>
  <c r="AR13" i="2"/>
  <c r="AQ14" i="2"/>
  <c r="AT13" i="2" l="1"/>
  <c r="AU13" i="2" s="1"/>
  <c r="AV13" i="2" s="1"/>
  <c r="AS14" i="2"/>
  <c r="AR14" i="2"/>
  <c r="AQ15" i="2"/>
  <c r="AT14" i="2" l="1"/>
  <c r="AU14" i="2" s="1"/>
  <c r="AV14" i="2" s="1"/>
  <c r="AS15" i="2"/>
  <c r="AR15" i="2"/>
  <c r="AQ16" i="2"/>
  <c r="AT15" i="2" l="1"/>
  <c r="AU15" i="2" s="1"/>
  <c r="AV15" i="2" s="1"/>
  <c r="AS16" i="2"/>
  <c r="AQ17" i="2"/>
  <c r="AR16" i="2"/>
  <c r="AT16" i="2" l="1"/>
  <c r="AU16" i="2" s="1"/>
  <c r="AV16" i="2" s="1"/>
  <c r="AR17" i="2"/>
  <c r="AS17" i="2"/>
  <c r="AQ18" i="2"/>
  <c r="AT17" i="2" l="1"/>
  <c r="AU17" i="2" s="1"/>
  <c r="AV17" i="2" s="1"/>
  <c r="AR18" i="2"/>
  <c r="AS18" i="2"/>
  <c r="AQ19" i="2"/>
  <c r="AT18" i="2" l="1"/>
  <c r="AU18" i="2" s="1"/>
  <c r="AV18" i="2" s="1"/>
  <c r="AS19" i="2"/>
  <c r="AQ20" i="2"/>
  <c r="AR19" i="2"/>
  <c r="AT19" i="2" l="1"/>
  <c r="AU19" i="2" s="1"/>
  <c r="AV19" i="2" s="1"/>
  <c r="AQ21" i="2"/>
  <c r="AR20" i="2"/>
  <c r="AS20" i="2"/>
  <c r="AT20" i="2" l="1"/>
  <c r="AU20" i="2" s="1"/>
  <c r="AV20" i="2" s="1"/>
  <c r="AQ22" i="2"/>
  <c r="AR21" i="2"/>
  <c r="AS21" i="2"/>
  <c r="AT21" i="2" l="1"/>
  <c r="AU21" i="2" s="1"/>
  <c r="AV21" i="2" s="1"/>
  <c r="AR22" i="2"/>
  <c r="AS22" i="2"/>
  <c r="AQ23" i="2"/>
  <c r="AT22" i="2" l="1"/>
  <c r="AU22" i="2" s="1"/>
  <c r="AV22" i="2" s="1"/>
  <c r="AQ24" i="2"/>
  <c r="AR23" i="2"/>
  <c r="AS23" i="2"/>
  <c r="AT23" i="2" s="1"/>
  <c r="AU23" i="2" s="1"/>
  <c r="AV23" i="2" s="1"/>
  <c r="AS24" i="2" l="1"/>
  <c r="AQ25" i="2"/>
  <c r="AR24" i="2"/>
  <c r="AT24" i="2" l="1"/>
  <c r="AU24" i="2" s="1"/>
  <c r="AV24" i="2" s="1"/>
  <c r="AS25" i="2"/>
  <c r="AQ26" i="2"/>
  <c r="AR25" i="2"/>
  <c r="AT25" i="2" l="1"/>
  <c r="AU25" i="2" s="1"/>
  <c r="AV25" i="2" s="1"/>
  <c r="AQ27" i="2"/>
  <c r="AR26" i="2"/>
  <c r="AS26" i="2"/>
  <c r="AT26" i="2" l="1"/>
  <c r="AU26" i="2" s="1"/>
  <c r="AV26" i="2" s="1"/>
  <c r="AR27" i="2"/>
  <c r="AS27" i="2"/>
  <c r="AT27" i="2" s="1"/>
  <c r="AU27" i="2" s="1"/>
  <c r="AV27" i="2" s="1"/>
  <c r="AQ28" i="2"/>
  <c r="AS28" i="2" l="1"/>
  <c r="AQ29" i="2"/>
  <c r="AR28" i="2"/>
  <c r="AT28" i="2" l="1"/>
  <c r="AU28" i="2" s="1"/>
  <c r="AV28" i="2" s="1"/>
  <c r="AQ30" i="2"/>
  <c r="AR29" i="2"/>
  <c r="AS29" i="2"/>
  <c r="AT29" i="2" l="1"/>
  <c r="AS30" i="2"/>
  <c r="AR30" i="2"/>
  <c r="AQ31" i="2"/>
  <c r="AT30" i="2" l="1"/>
  <c r="AU30" i="2" s="1"/>
  <c r="AV30" i="2" s="1"/>
  <c r="AR31" i="2"/>
  <c r="AS31" i="2"/>
  <c r="AQ32" i="2"/>
  <c r="AT31" i="2" l="1"/>
  <c r="AU31" i="2" s="1"/>
  <c r="AV31" i="2" s="1"/>
  <c r="AQ33" i="2"/>
  <c r="AS32" i="2"/>
  <c r="AR32" i="2"/>
  <c r="AT32" i="2" l="1"/>
  <c r="AU32" i="2" s="1"/>
  <c r="AV32" i="2" s="1"/>
  <c r="AQ34" i="2"/>
  <c r="AS33" i="2"/>
  <c r="AR33" i="2"/>
  <c r="AT33" i="2" l="1"/>
  <c r="AU33" i="2" s="1"/>
  <c r="AV33" i="2" s="1"/>
  <c r="AS34" i="2"/>
  <c r="AQ35" i="2"/>
  <c r="AR34" i="2"/>
  <c r="AT34" i="2" l="1"/>
  <c r="AU34" i="2" s="1"/>
  <c r="AV34" i="2" s="1"/>
  <c r="AR35" i="2"/>
  <c r="AS35" i="2"/>
  <c r="AT35" i="2" s="1"/>
  <c r="AU35" i="2" s="1"/>
  <c r="AV35" i="2" s="1"/>
  <c r="AQ36" i="2"/>
  <c r="AQ37" i="2" l="1"/>
  <c r="AS36" i="2"/>
  <c r="AR36" i="2"/>
  <c r="AT36" i="2" l="1"/>
  <c r="AU36" i="2" s="1"/>
  <c r="AV36" i="2" s="1"/>
  <c r="AQ38" i="2"/>
  <c r="AR37" i="2"/>
  <c r="AS37" i="2"/>
  <c r="AT37" i="2" l="1"/>
  <c r="AU37" i="2" s="1"/>
  <c r="AV37" i="2" s="1"/>
  <c r="AR38" i="2"/>
  <c r="AQ39" i="2"/>
  <c r="AS38" i="2"/>
  <c r="AT38" i="2" l="1"/>
  <c r="AU38" i="2" s="1"/>
  <c r="AV38" i="2" s="1"/>
  <c r="AS39" i="2"/>
  <c r="AQ40" i="2"/>
  <c r="AR39" i="2"/>
  <c r="AT39" i="2" l="1"/>
  <c r="AU39" i="2" s="1"/>
  <c r="AV39" i="2" s="1"/>
  <c r="AR40" i="2"/>
  <c r="AS40" i="2"/>
  <c r="AQ41" i="2"/>
  <c r="AT40" i="2" l="1"/>
  <c r="AU40" i="2" s="1"/>
  <c r="AV40" i="2" s="1"/>
  <c r="AQ42" i="2"/>
  <c r="AR41" i="2"/>
  <c r="AS41" i="2"/>
  <c r="AT41" i="2" l="1"/>
  <c r="AU41" i="2" s="1"/>
  <c r="AV41" i="2" s="1"/>
  <c r="AQ43" i="2"/>
  <c r="AR42" i="2"/>
  <c r="AS42" i="2"/>
  <c r="AT42" i="2" s="1"/>
  <c r="AU42" i="2" s="1"/>
  <c r="AV42" i="2" s="1"/>
  <c r="AS43" i="2" l="1"/>
  <c r="AQ44" i="2"/>
  <c r="AR43" i="2"/>
  <c r="AT43" i="2" l="1"/>
  <c r="AU43" i="2" s="1"/>
  <c r="AV43" i="2" s="1"/>
  <c r="AQ45" i="2"/>
  <c r="AS44" i="2"/>
  <c r="AR44" i="2"/>
  <c r="AT44" i="2" l="1"/>
  <c r="AU44" i="2" s="1"/>
  <c r="AV44" i="2" s="1"/>
  <c r="AS45" i="2"/>
  <c r="AQ46" i="2"/>
  <c r="AR45" i="2"/>
  <c r="AT45" i="2" l="1"/>
  <c r="AU45" i="2" s="1"/>
  <c r="AV45" i="2" s="1"/>
  <c r="AR46" i="2"/>
  <c r="AQ47" i="2"/>
  <c r="AS46" i="2"/>
  <c r="AT46" i="2" s="1"/>
  <c r="AU46" i="2" s="1"/>
  <c r="AV46" i="2" s="1"/>
  <c r="AR47" i="2" l="1"/>
  <c r="AQ48" i="2"/>
  <c r="AS47" i="2"/>
  <c r="AT47" i="2" s="1"/>
  <c r="AU47" i="2" s="1"/>
  <c r="AV47" i="2" s="1"/>
  <c r="AR48" i="2" l="1"/>
  <c r="AS48" i="2"/>
  <c r="AQ49" i="2"/>
  <c r="AT48" i="2" l="1"/>
  <c r="AU48" i="2" s="1"/>
  <c r="AV48" i="2" s="1"/>
  <c r="AQ50" i="2"/>
  <c r="AS49" i="2"/>
  <c r="AR49" i="2"/>
  <c r="AT49" i="2" l="1"/>
  <c r="AU49" i="2" s="1"/>
  <c r="AV49" i="2" s="1"/>
  <c r="AS50" i="2"/>
  <c r="AQ51" i="2"/>
  <c r="AR50" i="2"/>
  <c r="AT50" i="2" l="1"/>
  <c r="AU50" i="2" s="1"/>
  <c r="AV50" i="2" s="1"/>
  <c r="AS51" i="2"/>
  <c r="AR51" i="2"/>
  <c r="AQ52" i="2"/>
  <c r="AT51" i="2" l="1"/>
  <c r="AU51" i="2" s="1"/>
  <c r="AV51" i="2" s="1"/>
  <c r="AR52" i="2"/>
  <c r="AS52" i="2"/>
  <c r="AT52" i="2" s="1"/>
  <c r="AU52" i="2" s="1"/>
  <c r="AV52" i="2" s="1"/>
  <c r="AQ53" i="2"/>
  <c r="AR53" i="2" l="1"/>
  <c r="AQ54" i="2"/>
  <c r="AS53" i="2"/>
  <c r="AT53" i="2" s="1"/>
  <c r="AU53" i="2" s="1"/>
  <c r="AV53" i="2" s="1"/>
  <c r="AR54" i="2" l="1"/>
  <c r="AQ55" i="2"/>
  <c r="AS54" i="2"/>
  <c r="AT54" i="2" s="1"/>
  <c r="AU54" i="2" s="1"/>
  <c r="AV54" i="2" s="1"/>
  <c r="AQ56" i="2" l="1"/>
  <c r="AR55" i="2"/>
  <c r="AS55" i="2"/>
  <c r="AT55" i="2" s="1"/>
  <c r="AU55" i="2" s="1"/>
  <c r="AV55" i="2" s="1"/>
  <c r="AR56" i="2" l="1"/>
  <c r="AQ57" i="2"/>
  <c r="AS56" i="2"/>
  <c r="AT56" i="2" s="1"/>
  <c r="AU56" i="2" s="1"/>
  <c r="AV56" i="2" s="1"/>
  <c r="AQ58" i="2" l="1"/>
  <c r="AR57" i="2"/>
  <c r="AS57" i="2"/>
  <c r="AT57" i="2" l="1"/>
  <c r="AU57" i="2" s="1"/>
  <c r="AV57" i="2" s="1"/>
  <c r="AR58" i="2"/>
  <c r="AS58" i="2"/>
  <c r="AQ59" i="2"/>
  <c r="AT58" i="2" l="1"/>
  <c r="AU58" i="2" s="1"/>
  <c r="AV58" i="2" s="1"/>
  <c r="AS59" i="2"/>
  <c r="AQ60" i="2"/>
  <c r="AR59" i="2"/>
  <c r="AT59" i="2" l="1"/>
  <c r="AU59" i="2" s="1"/>
  <c r="AV59" i="2" s="1"/>
  <c r="AR60" i="2"/>
  <c r="AQ61" i="2"/>
  <c r="AS60" i="2"/>
  <c r="AT60" i="2" s="1"/>
  <c r="AU60" i="2" s="1"/>
  <c r="AV60" i="2" s="1"/>
  <c r="AQ62" i="2" l="1"/>
  <c r="AR61" i="2"/>
  <c r="AS61" i="2"/>
  <c r="AT61" i="2" l="1"/>
  <c r="AU61" i="2" s="1"/>
  <c r="AV61" i="2" s="1"/>
  <c r="AQ63" i="2"/>
  <c r="AR62" i="2"/>
  <c r="AS62" i="2"/>
  <c r="AT62" i="2" l="1"/>
  <c r="AU62" i="2" s="1"/>
  <c r="AV62" i="2" s="1"/>
  <c r="AS63" i="2"/>
  <c r="AR63" i="2"/>
  <c r="AQ64" i="2"/>
  <c r="AT63" i="2" l="1"/>
  <c r="AU63" i="2" s="1"/>
  <c r="AV63" i="2" s="1"/>
  <c r="AR64" i="2"/>
  <c r="AS64" i="2"/>
  <c r="AQ65" i="2"/>
  <c r="AT64" i="2" l="1"/>
  <c r="AU64" i="2" s="1"/>
  <c r="AV64" i="2" s="1"/>
  <c r="AR65" i="2"/>
  <c r="AS65" i="2"/>
  <c r="AT65" i="2" s="1"/>
  <c r="AU65" i="2" s="1"/>
  <c r="AV65" i="2" s="1"/>
  <c r="AQ66" i="2"/>
  <c r="AQ67" i="2" l="1"/>
  <c r="AR66" i="2"/>
  <c r="AS66" i="2"/>
  <c r="AT66" i="2" s="1"/>
  <c r="AU66" i="2" s="1"/>
  <c r="AV66" i="2" s="1"/>
  <c r="AQ68" i="2" l="1"/>
  <c r="AS67" i="2"/>
  <c r="AR67" i="2"/>
  <c r="AT67" i="2" l="1"/>
  <c r="AU67" i="2" s="1"/>
  <c r="AV67" i="2" s="1"/>
  <c r="AQ69" i="2"/>
  <c r="AR68" i="2"/>
  <c r="AS68" i="2"/>
  <c r="AT68" i="2" l="1"/>
  <c r="AU68" i="2" s="1"/>
  <c r="AV68" i="2" s="1"/>
  <c r="AQ70" i="2"/>
  <c r="AS69" i="2"/>
  <c r="AR69" i="2"/>
  <c r="AT69" i="2" l="1"/>
  <c r="AU69" i="2" s="1"/>
  <c r="AV69" i="2" s="1"/>
  <c r="AS70" i="2"/>
  <c r="AQ71" i="2"/>
  <c r="AR70" i="2"/>
  <c r="AT70" i="2" l="1"/>
  <c r="AU70" i="2" s="1"/>
  <c r="AV70" i="2" s="1"/>
  <c r="AR71" i="2"/>
  <c r="AQ72" i="2"/>
  <c r="AS71" i="2"/>
  <c r="AT71" i="2" l="1"/>
  <c r="AU71" i="2" s="1"/>
  <c r="AV71" i="2" s="1"/>
  <c r="AR72" i="2"/>
  <c r="AS72" i="2"/>
  <c r="AT72" i="2" s="1"/>
  <c r="AU72" i="2" s="1"/>
  <c r="AV72" i="2" s="1"/>
  <c r="AQ73" i="2"/>
  <c r="AR73" i="2" l="1"/>
  <c r="AQ74" i="2"/>
  <c r="AS73" i="2"/>
  <c r="AT73" i="2" s="1"/>
  <c r="AU73" i="2" s="1"/>
  <c r="AV73" i="2" s="1"/>
  <c r="AR74" i="2" l="1"/>
  <c r="AQ75" i="2"/>
  <c r="AS74" i="2"/>
  <c r="AT74" i="2" s="1"/>
  <c r="AU74" i="2" s="1"/>
  <c r="AV74" i="2" s="1"/>
  <c r="AR75" i="2" l="1"/>
  <c r="AS75" i="2"/>
  <c r="AQ76" i="2"/>
  <c r="AT75" i="2" l="1"/>
  <c r="AU75" i="2" s="1"/>
  <c r="AV75" i="2" s="1"/>
  <c r="AS76" i="2"/>
  <c r="AQ77" i="2"/>
  <c r="AR76" i="2"/>
  <c r="AT76" i="2" l="1"/>
  <c r="AU76" i="2" s="1"/>
  <c r="AV76" i="2" s="1"/>
  <c r="AQ78" i="2"/>
  <c r="AR77" i="2"/>
  <c r="AS77" i="2"/>
  <c r="AT77" i="2" l="1"/>
  <c r="AU77" i="2" s="1"/>
  <c r="AV77" i="2" s="1"/>
  <c r="AQ79" i="2"/>
  <c r="AS78" i="2"/>
  <c r="AR78" i="2"/>
  <c r="AT78" i="2" l="1"/>
  <c r="AU78" i="2" s="1"/>
  <c r="AV78" i="2" s="1"/>
  <c r="AS79" i="2"/>
  <c r="AR79" i="2"/>
  <c r="AQ80" i="2"/>
  <c r="AT79" i="2" l="1"/>
  <c r="AU79" i="2" s="1"/>
  <c r="AV79" i="2" s="1"/>
  <c r="AS80" i="2"/>
  <c r="AR80" i="2"/>
  <c r="AQ81" i="2"/>
  <c r="AT80" i="2" l="1"/>
  <c r="AU80" i="2" s="1"/>
  <c r="AV80" i="2" s="1"/>
  <c r="AS81" i="2"/>
  <c r="AQ82" i="2"/>
  <c r="AR81" i="2"/>
  <c r="AT81" i="2" l="1"/>
  <c r="AU81" i="2" s="1"/>
  <c r="AV81" i="2" s="1"/>
  <c r="AS82" i="2"/>
  <c r="AR82" i="2"/>
  <c r="AQ83" i="2"/>
  <c r="AT82" i="2" l="1"/>
  <c r="AU82" i="2" s="1"/>
  <c r="AV82" i="2" s="1"/>
  <c r="AR83" i="2"/>
  <c r="AQ84" i="2"/>
  <c r="AS83" i="2"/>
  <c r="AT83" i="2" l="1"/>
  <c r="AU83" i="2" s="1"/>
  <c r="AV83" i="2" s="1"/>
  <c r="AS84" i="2"/>
  <c r="AQ85" i="2"/>
  <c r="AR84" i="2"/>
  <c r="AT84" i="2" l="1"/>
  <c r="AU84" i="2" s="1"/>
  <c r="AV84" i="2" s="1"/>
  <c r="AQ86" i="2"/>
  <c r="AR85" i="2"/>
  <c r="AS85" i="2"/>
  <c r="AT85" i="2" l="1"/>
  <c r="AU85" i="2" s="1"/>
  <c r="AV85" i="2" s="1"/>
  <c r="AQ87" i="2"/>
  <c r="AR86" i="2"/>
  <c r="AS86" i="2"/>
  <c r="AT86" i="2" l="1"/>
  <c r="AU86" i="2" s="1"/>
  <c r="AV86" i="2" s="1"/>
  <c r="AS87" i="2"/>
  <c r="AQ88" i="2"/>
  <c r="AR87" i="2"/>
  <c r="AT87" i="2" l="1"/>
  <c r="AU87" i="2" s="1"/>
  <c r="AV87" i="2" s="1"/>
  <c r="AQ89" i="2"/>
  <c r="AR88" i="2"/>
  <c r="AS88" i="2"/>
  <c r="AT88" i="2" l="1"/>
  <c r="AU88" i="2" s="1"/>
  <c r="AV88" i="2" s="1"/>
  <c r="AR89" i="2"/>
  <c r="AQ90" i="2"/>
  <c r="AS89" i="2"/>
  <c r="AT89" i="2" s="1"/>
  <c r="AU89" i="2" s="1"/>
  <c r="AV89" i="2" s="1"/>
  <c r="AR90" i="2" l="1"/>
  <c r="AQ91" i="2"/>
  <c r="AS90" i="2"/>
  <c r="AT90" i="2" s="1"/>
  <c r="AU90" i="2" s="1"/>
  <c r="AV90" i="2" s="1"/>
  <c r="AQ92" i="2" l="1"/>
  <c r="AS91" i="2"/>
  <c r="AR91" i="2"/>
  <c r="AT91" i="2" l="1"/>
  <c r="AU91" i="2" s="1"/>
  <c r="AV91" i="2" s="1"/>
  <c r="AS92" i="2"/>
  <c r="AR92" i="2"/>
  <c r="AQ93" i="2"/>
  <c r="AT92" i="2" l="1"/>
  <c r="AU92" i="2" s="1"/>
  <c r="AV92" i="2" s="1"/>
  <c r="AS93" i="2"/>
  <c r="AR93" i="2"/>
  <c r="AQ94" i="2"/>
  <c r="AT93" i="2" l="1"/>
  <c r="AU93" i="2" s="1"/>
  <c r="AV93" i="2" s="1"/>
  <c r="AR94" i="2"/>
  <c r="AS94" i="2"/>
  <c r="AT94" i="2" s="1"/>
  <c r="AU94" i="2" s="1"/>
  <c r="AV94" i="2" s="1"/>
  <c r="AQ95" i="2"/>
  <c r="AQ96" i="2" l="1"/>
  <c r="AS95" i="2"/>
  <c r="AR95" i="2"/>
  <c r="AT95" i="2" l="1"/>
  <c r="AU95" i="2" s="1"/>
  <c r="AV95" i="2" s="1"/>
  <c r="AS96" i="2"/>
  <c r="AR96" i="2"/>
  <c r="AQ97" i="2"/>
  <c r="AT96" i="2" l="1"/>
  <c r="AU96" i="2" s="1"/>
  <c r="AV96" i="2" s="1"/>
  <c r="AQ98" i="2"/>
  <c r="AS97" i="2"/>
  <c r="AR97" i="2"/>
  <c r="AT97" i="2" l="1"/>
  <c r="AU97" i="2" s="1"/>
  <c r="AV97" i="2" s="1"/>
  <c r="AS98" i="2"/>
  <c r="AQ99" i="2"/>
  <c r="AR98" i="2"/>
  <c r="AT98" i="2" l="1"/>
  <c r="AU98" i="2" s="1"/>
  <c r="AV98" i="2" s="1"/>
  <c r="AS99" i="2"/>
  <c r="AQ100" i="2"/>
  <c r="AR99" i="2"/>
  <c r="AT99" i="2" l="1"/>
  <c r="AU99" i="2" s="1"/>
  <c r="AV99" i="2" s="1"/>
  <c r="AS100" i="2"/>
  <c r="AR100" i="2"/>
  <c r="AQ101" i="2"/>
  <c r="AT100" i="2" l="1"/>
  <c r="AU100" i="2" s="1"/>
  <c r="AV100" i="2" s="1"/>
  <c r="AR101" i="2"/>
  <c r="AQ102" i="2"/>
  <c r="AS101" i="2"/>
  <c r="AT101" i="2" s="1"/>
  <c r="AU101" i="2" s="1"/>
  <c r="AV101" i="2" s="1"/>
  <c r="AR102" i="2" l="1"/>
  <c r="AQ103" i="2"/>
  <c r="AS102" i="2"/>
  <c r="AT102" i="2" s="1"/>
  <c r="AU102" i="2" s="1"/>
  <c r="AV102" i="2" s="1"/>
  <c r="AQ104" i="2" l="1"/>
  <c r="AR103" i="2"/>
  <c r="AS103" i="2"/>
  <c r="AT103" i="2" l="1"/>
  <c r="AU103" i="2" s="1"/>
  <c r="AV103" i="2" s="1"/>
  <c r="AQ105" i="2"/>
  <c r="AS104" i="2"/>
  <c r="AR104" i="2"/>
  <c r="AT104" i="2" l="1"/>
  <c r="AU104" i="2" s="1"/>
  <c r="AV104" i="2" s="1"/>
  <c r="AS105" i="2"/>
  <c r="AQ106" i="2"/>
  <c r="AR105" i="2"/>
  <c r="AT105" i="2" l="1"/>
  <c r="AU105" i="2" s="1"/>
  <c r="AV105" i="2" s="1"/>
  <c r="AR106" i="2"/>
  <c r="AS106" i="2"/>
  <c r="AT106" i="2" s="1"/>
  <c r="AU106" i="2" s="1"/>
  <c r="AV106" i="2" s="1"/>
  <c r="AQ107" i="2"/>
  <c r="AQ108" i="2" l="1"/>
  <c r="AS107" i="2"/>
  <c r="AR107" i="2"/>
  <c r="AT107" i="2" l="1"/>
  <c r="AU107" i="2" s="1"/>
  <c r="AV107" i="2" s="1"/>
  <c r="AS108" i="2"/>
  <c r="AR108" i="2"/>
  <c r="AQ109" i="2"/>
  <c r="AT108" i="2" l="1"/>
  <c r="AU108" i="2" s="1"/>
  <c r="AV108" i="2" s="1"/>
  <c r="AQ110" i="2"/>
  <c r="AR109" i="2"/>
  <c r="AS109" i="2"/>
  <c r="AT109" i="2" s="1"/>
  <c r="AU109" i="2" s="1"/>
  <c r="AV109" i="2" s="1"/>
  <c r="AQ111" i="2" l="1"/>
  <c r="AS110" i="2"/>
  <c r="AR110" i="2"/>
  <c r="AT110" i="2" l="1"/>
  <c r="AU110" i="2" s="1"/>
  <c r="AV110" i="2" s="1"/>
  <c r="AQ112" i="2"/>
  <c r="AR111" i="2"/>
  <c r="AS111" i="2"/>
  <c r="AT111" i="2" l="1"/>
  <c r="AU111" i="2" s="1"/>
  <c r="AV111" i="2" s="1"/>
  <c r="AS112" i="2"/>
  <c r="AR112" i="2"/>
  <c r="AQ113" i="2"/>
  <c r="AT112" i="2" l="1"/>
  <c r="AU112" i="2" s="1"/>
  <c r="AV112" i="2" s="1"/>
  <c r="AQ114" i="2"/>
  <c r="AR113" i="2"/>
  <c r="AS113" i="2"/>
  <c r="AT113" i="2" l="1"/>
  <c r="AU113" i="2" s="1"/>
  <c r="AV113" i="2" s="1"/>
  <c r="AQ115" i="2"/>
  <c r="AR114" i="2"/>
  <c r="AS114" i="2"/>
  <c r="AT114" i="2" s="1"/>
  <c r="AU114" i="2" s="1"/>
  <c r="AV114" i="2" s="1"/>
  <c r="AR115" i="2" l="1"/>
  <c r="AS115" i="2"/>
  <c r="AT115" i="2" s="1"/>
  <c r="AU115" i="2" s="1"/>
  <c r="AV115" i="2" s="1"/>
  <c r="AQ116" i="2"/>
  <c r="AQ117" i="2" l="1"/>
  <c r="AS116" i="2"/>
  <c r="AR116" i="2"/>
  <c r="AT116" i="2" l="1"/>
  <c r="AU116" i="2" s="1"/>
  <c r="AV116" i="2" s="1"/>
  <c r="AQ118" i="2"/>
  <c r="AR117" i="2"/>
  <c r="AS117" i="2"/>
  <c r="AT117" i="2" l="1"/>
  <c r="AU117" i="2" s="1"/>
  <c r="AV117" i="2" s="1"/>
  <c r="AQ119" i="2"/>
  <c r="AS118" i="2"/>
  <c r="AR118" i="2"/>
  <c r="AT118" i="2" l="1"/>
  <c r="AU118" i="2" s="1"/>
  <c r="AV118" i="2" s="1"/>
  <c r="AQ120" i="2"/>
  <c r="AR119" i="2"/>
  <c r="AS119" i="2"/>
  <c r="AT119" i="2" l="1"/>
  <c r="AU119" i="2" s="1"/>
  <c r="AV119" i="2" s="1"/>
  <c r="AQ121" i="2"/>
  <c r="AR120" i="2"/>
  <c r="AS120" i="2"/>
  <c r="AT120" i="2" s="1"/>
  <c r="AU120" i="2" s="1"/>
  <c r="AV120" i="2" s="1"/>
  <c r="AS121" i="2" l="1"/>
  <c r="AQ122" i="2"/>
  <c r="AR121" i="2"/>
  <c r="AT121" i="2" l="1"/>
  <c r="AU121" i="2" s="1"/>
  <c r="AV121" i="2" s="1"/>
  <c r="AS122" i="2"/>
  <c r="AR122" i="2"/>
  <c r="AQ123" i="2"/>
  <c r="AT122" i="2" l="1"/>
  <c r="AU122" i="2" s="1"/>
  <c r="AV122" i="2" s="1"/>
  <c r="AS123" i="2"/>
  <c r="AR123" i="2"/>
  <c r="AQ124" i="2"/>
  <c r="AT123" i="2" l="1"/>
  <c r="AU123" i="2" s="1"/>
  <c r="AV123" i="2" s="1"/>
  <c r="AR124" i="2"/>
  <c r="AS124" i="2"/>
  <c r="AQ125" i="2"/>
  <c r="AT124" i="2" l="1"/>
  <c r="AU124" i="2" s="1"/>
  <c r="AV124" i="2" s="1"/>
  <c r="AQ126" i="2"/>
  <c r="AR125" i="2"/>
  <c r="AS125" i="2"/>
  <c r="AT125" i="2" l="1"/>
  <c r="AU125" i="2" s="1"/>
  <c r="AV125" i="2" s="1"/>
  <c r="AQ127" i="2"/>
  <c r="AR126" i="2"/>
  <c r="AS126" i="2"/>
  <c r="AT126" i="2" l="1"/>
  <c r="AU126" i="2" s="1"/>
  <c r="AV126" i="2" s="1"/>
  <c r="AS127" i="2"/>
  <c r="AR127" i="2"/>
  <c r="AQ128" i="2"/>
  <c r="AT127" i="2" l="1"/>
  <c r="AU127" i="2" s="1"/>
  <c r="AV127" i="2" s="1"/>
  <c r="AR128" i="2"/>
  <c r="AQ129" i="2"/>
  <c r="AS128" i="2"/>
  <c r="AT128" i="2" s="1"/>
  <c r="AU128" i="2" s="1"/>
  <c r="AV128" i="2" s="1"/>
  <c r="AQ130" i="2" l="1"/>
  <c r="AS129" i="2"/>
  <c r="AR129" i="2"/>
  <c r="AT129" i="2" l="1"/>
  <c r="AU129" i="2" s="1"/>
  <c r="AV129" i="2" s="1"/>
  <c r="AR130" i="2"/>
  <c r="AQ131" i="2"/>
  <c r="AS130" i="2"/>
  <c r="AT130" i="2" l="1"/>
  <c r="AU130" i="2" s="1"/>
  <c r="AV130" i="2" s="1"/>
  <c r="AS131" i="2"/>
  <c r="AR131" i="2"/>
  <c r="AQ132" i="2"/>
  <c r="AT131" i="2" l="1"/>
  <c r="AU131" i="2" s="1"/>
  <c r="AV131" i="2" s="1"/>
  <c r="AS132" i="2"/>
  <c r="AQ133" i="2"/>
  <c r="AR132" i="2"/>
  <c r="AT132" i="2" l="1"/>
  <c r="AU132" i="2" s="1"/>
  <c r="AV132" i="2" s="1"/>
  <c r="AR133" i="2"/>
  <c r="AS133" i="2"/>
  <c r="AT133" i="2" s="1"/>
  <c r="AU133" i="2" s="1"/>
  <c r="AV133" i="2" s="1"/>
  <c r="AQ134" i="2"/>
  <c r="AS134" i="2" l="1"/>
  <c r="AQ135" i="2"/>
  <c r="AR134" i="2"/>
  <c r="AT134" i="2" l="1"/>
  <c r="AU134" i="2" s="1"/>
  <c r="AV134" i="2" s="1"/>
  <c r="AQ136" i="2"/>
  <c r="AR135" i="2"/>
  <c r="AS135" i="2"/>
  <c r="AT135" i="2" l="1"/>
  <c r="AU135" i="2" s="1"/>
  <c r="AV135" i="2" s="1"/>
  <c r="AR136" i="2"/>
  <c r="AQ137" i="2"/>
  <c r="AS136" i="2"/>
  <c r="AT136" i="2" s="1"/>
  <c r="AU136" i="2" s="1"/>
  <c r="AV136" i="2" s="1"/>
  <c r="AR137" i="2" l="1"/>
  <c r="AQ138" i="2"/>
  <c r="AS137" i="2"/>
  <c r="AT137" i="2" s="1"/>
  <c r="AU137" i="2" s="1"/>
  <c r="AV137" i="2" s="1"/>
  <c r="AR138" i="2" l="1"/>
  <c r="AQ139" i="2"/>
  <c r="AS138" i="2"/>
  <c r="AT138" i="2" s="1"/>
  <c r="AU138" i="2" s="1"/>
  <c r="AV138" i="2" s="1"/>
  <c r="AQ140" i="2" l="1"/>
  <c r="AS139" i="2"/>
  <c r="AR139" i="2"/>
  <c r="AT139" i="2" l="1"/>
  <c r="AU139" i="2" s="1"/>
  <c r="AV139" i="2" s="1"/>
  <c r="AR140" i="2"/>
  <c r="AS140" i="2"/>
  <c r="AT140" i="2" s="1"/>
  <c r="AU140" i="2" s="1"/>
  <c r="AV140" i="2" s="1"/>
  <c r="AQ141" i="2"/>
  <c r="AQ142" i="2" l="1"/>
  <c r="AR141" i="2"/>
  <c r="AS141" i="2"/>
  <c r="AT141" i="2" s="1"/>
  <c r="AU141" i="2" s="1"/>
  <c r="AV141" i="2" s="1"/>
  <c r="AR142" i="2" l="1"/>
  <c r="AS142" i="2"/>
  <c r="AT142" i="2" s="1"/>
  <c r="AU142" i="2" s="1"/>
  <c r="AV142" i="2" s="1"/>
  <c r="AQ143" i="2"/>
  <c r="AQ144" i="2" l="1"/>
  <c r="AS143" i="2"/>
  <c r="AR143" i="2"/>
  <c r="AT143" i="2" l="1"/>
  <c r="AU143" i="2" s="1"/>
  <c r="AV143" i="2" s="1"/>
  <c r="AQ145" i="2"/>
  <c r="AR144" i="2"/>
  <c r="AS144" i="2"/>
  <c r="AT144" i="2" l="1"/>
  <c r="AU144" i="2" s="1"/>
  <c r="AV144" i="2" s="1"/>
  <c r="AR145" i="2"/>
  <c r="AQ146" i="2"/>
  <c r="AS145" i="2"/>
  <c r="AT145" i="2" s="1"/>
  <c r="AU145" i="2" s="1"/>
  <c r="AV145" i="2" s="1"/>
  <c r="AS146" i="2" l="1"/>
  <c r="AR146" i="2"/>
  <c r="AQ147" i="2"/>
  <c r="AT146" i="2" l="1"/>
  <c r="AU146" i="2" s="1"/>
  <c r="AV146" i="2" s="1"/>
  <c r="AR147" i="2"/>
  <c r="AQ148" i="2"/>
  <c r="AS147" i="2"/>
  <c r="AT147" i="2" s="1"/>
  <c r="AU147" i="2" s="1"/>
  <c r="AV147" i="2" s="1"/>
  <c r="AQ149" i="2" l="1"/>
  <c r="AR148" i="2"/>
  <c r="AS148" i="2"/>
  <c r="AT148" i="2" l="1"/>
  <c r="AU148" i="2" s="1"/>
  <c r="AV148" i="2" s="1"/>
  <c r="AQ150" i="2"/>
  <c r="AR149" i="2"/>
  <c r="AS149" i="2"/>
  <c r="AT149" i="2" l="1"/>
  <c r="AU149" i="2" s="1"/>
  <c r="AV149" i="2" s="1"/>
  <c r="AQ151" i="2"/>
  <c r="AS150" i="2"/>
  <c r="AR150" i="2"/>
  <c r="AT150" i="2" l="1"/>
  <c r="AU150" i="2" s="1"/>
  <c r="AV150" i="2" s="1"/>
  <c r="AS151" i="2"/>
  <c r="AR151" i="2"/>
  <c r="AQ152" i="2"/>
  <c r="AT151" i="2" l="1"/>
  <c r="AU151" i="2" s="1"/>
  <c r="AV151" i="2" s="1"/>
  <c r="AR152" i="2"/>
  <c r="AQ153" i="2"/>
  <c r="AS152" i="2"/>
  <c r="AT152" i="2" s="1"/>
  <c r="AU152" i="2" s="1"/>
  <c r="AV152" i="2" s="1"/>
  <c r="AS153" i="2" l="1"/>
  <c r="AQ154" i="2"/>
  <c r="AR153" i="2"/>
  <c r="AT153" i="2" l="1"/>
  <c r="AU153" i="2" s="1"/>
  <c r="AV153" i="2" s="1"/>
  <c r="AR154" i="2"/>
  <c r="AS154" i="2"/>
  <c r="AT154" i="2" s="1"/>
  <c r="AU154" i="2" s="1"/>
  <c r="AV154" i="2" s="1"/>
  <c r="AQ155" i="2"/>
  <c r="AQ156" i="2" l="1"/>
  <c r="AS155" i="2"/>
  <c r="AR155" i="2"/>
  <c r="AT155" i="2" l="1"/>
  <c r="AU155" i="2" s="1"/>
  <c r="AV155" i="2" s="1"/>
  <c r="AQ157" i="2"/>
  <c r="AR156" i="2"/>
  <c r="AS156" i="2"/>
  <c r="AT156" i="2" l="1"/>
  <c r="AU156" i="2" s="1"/>
  <c r="AV156" i="2" s="1"/>
  <c r="AR157" i="2"/>
  <c r="AS157" i="2"/>
  <c r="AT157" i="2" s="1"/>
  <c r="AU157" i="2" s="1"/>
  <c r="AV157" i="2" s="1"/>
  <c r="AQ158" i="2"/>
  <c r="AR158" i="2" l="1"/>
  <c r="AQ159" i="2"/>
  <c r="AS158" i="2"/>
  <c r="AT158" i="2" s="1"/>
  <c r="AU158" i="2" s="1"/>
  <c r="AV158" i="2" s="1"/>
  <c r="AS159" i="2" l="1"/>
  <c r="AQ160" i="2"/>
  <c r="AR159" i="2"/>
  <c r="AT159" i="2" l="1"/>
  <c r="AU159" i="2" s="1"/>
  <c r="AV159" i="2" s="1"/>
  <c r="AR160" i="2"/>
  <c r="AS160" i="2"/>
  <c r="AT160" i="2" s="1"/>
  <c r="AU160" i="2" s="1"/>
  <c r="AV160" i="2" s="1"/>
  <c r="AQ161" i="2"/>
  <c r="AR161" i="2" l="1"/>
  <c r="AS161" i="2"/>
  <c r="AT161" i="2" s="1"/>
  <c r="AU161" i="2" s="1"/>
  <c r="AV161" i="2" s="1"/>
  <c r="AQ162" i="2"/>
  <c r="AS162" i="2" l="1"/>
  <c r="AQ163" i="2"/>
  <c r="AR162" i="2"/>
  <c r="AT162" i="2" s="1"/>
  <c r="AU162" i="2" s="1"/>
  <c r="AV162" i="2" s="1"/>
  <c r="AR163" i="2" l="1"/>
  <c r="AQ164" i="2"/>
  <c r="AS163" i="2"/>
  <c r="AT163" i="2" s="1"/>
  <c r="AU163" i="2" s="1"/>
  <c r="AV163" i="2" s="1"/>
  <c r="AS164" i="2" l="1"/>
  <c r="AR164" i="2"/>
  <c r="AQ165" i="2"/>
  <c r="AT164" i="2" l="1"/>
  <c r="AU164" i="2" s="1"/>
  <c r="AV164" i="2" s="1"/>
  <c r="AS165" i="2"/>
  <c r="AQ166" i="2"/>
  <c r="AR165" i="2"/>
  <c r="AT165" i="2" l="1"/>
  <c r="AU165" i="2" s="1"/>
  <c r="AV165" i="2" s="1"/>
  <c r="AR166" i="2"/>
  <c r="AS166" i="2"/>
  <c r="AT166" i="2" s="1"/>
  <c r="AU166" i="2" s="1"/>
  <c r="AV166" i="2" s="1"/>
  <c r="AQ167" i="2"/>
  <c r="AQ168" i="2" l="1"/>
  <c r="AS167" i="2"/>
  <c r="AR167" i="2"/>
  <c r="AT167" i="2" l="1"/>
  <c r="AU167" i="2" s="1"/>
  <c r="AV167" i="2" s="1"/>
  <c r="AQ169" i="2"/>
  <c r="AR168" i="2"/>
  <c r="AS168" i="2"/>
  <c r="AT168" i="2" l="1"/>
  <c r="AU168" i="2" s="1"/>
  <c r="AV168" i="2" s="1"/>
  <c r="AQ170" i="2"/>
  <c r="AR169" i="2"/>
  <c r="AS169" i="2"/>
  <c r="AT169" i="2" l="1"/>
  <c r="AU169" i="2" s="1"/>
  <c r="AV169" i="2" s="1"/>
  <c r="AQ171" i="2"/>
  <c r="AR170" i="2"/>
  <c r="AS170" i="2"/>
  <c r="AT170" i="2" s="1"/>
  <c r="AU170" i="2" s="1"/>
  <c r="AV170" i="2" s="1"/>
  <c r="AS171" i="2" l="1"/>
  <c r="AR171" i="2"/>
  <c r="AQ172" i="2"/>
  <c r="AT171" i="2" l="1"/>
  <c r="AU171" i="2" s="1"/>
  <c r="AV171" i="2" s="1"/>
  <c r="AQ173" i="2"/>
  <c r="AS172" i="2"/>
  <c r="AR172" i="2"/>
  <c r="AT172" i="2" l="1"/>
  <c r="AU172" i="2" s="1"/>
  <c r="AV172" i="2" s="1"/>
  <c r="AQ174" i="2"/>
  <c r="AR173" i="2"/>
  <c r="AS173" i="2"/>
  <c r="AT173" i="2" l="1"/>
  <c r="AU173" i="2" s="1"/>
  <c r="AV173" i="2" s="1"/>
  <c r="AQ175" i="2"/>
  <c r="AR174" i="2"/>
  <c r="AS174" i="2"/>
  <c r="AT174" i="2" l="1"/>
  <c r="AU174" i="2" s="1"/>
  <c r="AV174" i="2" s="1"/>
  <c r="AR175" i="2"/>
  <c r="AS175" i="2"/>
  <c r="AQ176" i="2"/>
  <c r="AT175" i="2" l="1"/>
  <c r="AU175" i="2" s="1"/>
  <c r="AV175" i="2" s="1"/>
  <c r="AS176" i="2"/>
  <c r="AQ177" i="2"/>
  <c r="AR176" i="2"/>
  <c r="AT176" i="2" l="1"/>
  <c r="AU176" i="2" s="1"/>
  <c r="AV176" i="2" s="1"/>
  <c r="AQ178" i="2"/>
  <c r="AR177" i="2"/>
  <c r="AS177" i="2"/>
  <c r="AT177" i="2" l="1"/>
  <c r="AU177" i="2" s="1"/>
  <c r="AV177" i="2" s="1"/>
  <c r="AS178" i="2"/>
  <c r="AQ179" i="2"/>
  <c r="AR178" i="2"/>
  <c r="AT178" i="2" l="1"/>
  <c r="AU178" i="2" s="1"/>
  <c r="AV178" i="2" s="1"/>
  <c r="AR179" i="2"/>
  <c r="AS179" i="2"/>
  <c r="AT179" i="2" s="1"/>
  <c r="AU179" i="2" s="1"/>
  <c r="AV179" i="2" s="1"/>
  <c r="AQ180" i="2"/>
  <c r="AR180" i="2" l="1"/>
  <c r="AQ181" i="2"/>
  <c r="AS180" i="2"/>
  <c r="AT180" i="2" s="1"/>
  <c r="AU180" i="2" s="1"/>
  <c r="AV180" i="2" s="1"/>
  <c r="AS181" i="2" l="1"/>
  <c r="AR181" i="2"/>
  <c r="AQ182" i="2"/>
  <c r="AT181" i="2" l="1"/>
  <c r="AU181" i="2" s="1"/>
  <c r="AV181" i="2" s="1"/>
  <c r="AS182" i="2"/>
  <c r="AR182" i="2"/>
  <c r="AQ183" i="2"/>
  <c r="AT182" i="2" l="1"/>
  <c r="AU182" i="2" s="1"/>
  <c r="AV182" i="2" s="1"/>
  <c r="AS183" i="2"/>
  <c r="AQ184" i="2"/>
  <c r="AR183" i="2"/>
  <c r="AT183" i="2" l="1"/>
  <c r="AU183" i="2" s="1"/>
  <c r="AV183" i="2" s="1"/>
  <c r="AQ185" i="2"/>
  <c r="AR184" i="2"/>
  <c r="AS184" i="2"/>
  <c r="AT184" i="2" s="1"/>
  <c r="AU184" i="2" s="1"/>
  <c r="AV184" i="2" s="1"/>
  <c r="AS185" i="2" l="1"/>
  <c r="AR185" i="2"/>
  <c r="AQ186" i="2"/>
  <c r="AT185" i="2" l="1"/>
  <c r="AU185" i="2" s="1"/>
  <c r="AV185" i="2" s="1"/>
  <c r="AS186" i="2"/>
  <c r="AQ187" i="2"/>
  <c r="AR186" i="2"/>
  <c r="AT186" i="2" l="1"/>
  <c r="AU186" i="2" s="1"/>
  <c r="AV186" i="2" s="1"/>
  <c r="AS187" i="2"/>
  <c r="AR187" i="2"/>
  <c r="AQ188" i="2"/>
  <c r="AT187" i="2" l="1"/>
  <c r="AU187" i="2" s="1"/>
  <c r="AV187" i="2" s="1"/>
  <c r="AR188" i="2"/>
  <c r="AQ189" i="2"/>
  <c r="AS188" i="2"/>
  <c r="AT188" i="2" s="1"/>
  <c r="AU188" i="2" s="1"/>
  <c r="AV188" i="2" s="1"/>
  <c r="AQ190" i="2" l="1"/>
  <c r="AR189" i="2"/>
  <c r="AS189" i="2"/>
  <c r="AT189" i="2" s="1"/>
  <c r="AU189" i="2" s="1"/>
  <c r="AV189" i="2" s="1"/>
  <c r="AQ191" i="2" l="1"/>
  <c r="AR190" i="2"/>
  <c r="AS190" i="2"/>
  <c r="AT190" i="2" s="1"/>
  <c r="AU190" i="2" s="1"/>
  <c r="AV190" i="2" s="1"/>
  <c r="AR191" i="2" l="1"/>
  <c r="AQ192" i="2"/>
  <c r="AS191" i="2"/>
  <c r="AT191" i="2" l="1"/>
  <c r="AU191" i="2" s="1"/>
  <c r="AV191" i="2" s="1"/>
  <c r="AS192" i="2"/>
  <c r="AQ193" i="2"/>
  <c r="AR192" i="2"/>
  <c r="AT192" i="2" l="1"/>
  <c r="AU192" i="2" s="1"/>
  <c r="AV192" i="2" s="1"/>
  <c r="AR193" i="2"/>
  <c r="AS193" i="2"/>
  <c r="AT193" i="2" s="1"/>
  <c r="AU193" i="2" s="1"/>
  <c r="AV193" i="2" s="1"/>
  <c r="AQ194" i="2"/>
  <c r="AS194" i="2" l="1"/>
  <c r="AR194" i="2"/>
  <c r="AQ195" i="2"/>
  <c r="AT194" i="2" l="1"/>
  <c r="AU194" i="2" s="1"/>
  <c r="AV194" i="2" s="1"/>
  <c r="AQ196" i="2"/>
  <c r="AR195" i="2"/>
  <c r="AS195" i="2"/>
  <c r="AT195" i="2" l="1"/>
  <c r="AU195" i="2" s="1"/>
  <c r="AV195" i="2" s="1"/>
  <c r="AR196" i="2"/>
  <c r="AS196" i="2"/>
  <c r="AT196" i="2" s="1"/>
  <c r="AU196" i="2" s="1"/>
  <c r="AV196" i="2" s="1"/>
  <c r="AQ197" i="2"/>
  <c r="AQ198" i="2" l="1"/>
  <c r="AS197" i="2"/>
  <c r="AR197" i="2"/>
  <c r="AT197" i="2" l="1"/>
  <c r="AU197" i="2" s="1"/>
  <c r="AV197" i="2" s="1"/>
  <c r="AS198" i="2"/>
  <c r="AR198" i="2"/>
  <c r="AQ199" i="2"/>
  <c r="AT198" i="2" l="1"/>
  <c r="AU198" i="2" s="1"/>
  <c r="AV198" i="2" s="1"/>
  <c r="AQ200" i="2"/>
  <c r="AS199" i="2"/>
  <c r="AR199" i="2"/>
  <c r="AT199" i="2" l="1"/>
  <c r="AU199" i="2" s="1"/>
  <c r="AV199" i="2" s="1"/>
  <c r="AQ201" i="2"/>
  <c r="AR200" i="2"/>
  <c r="AS200" i="2"/>
  <c r="AT200" i="2" l="1"/>
  <c r="AU200" i="2" s="1"/>
  <c r="AV200" i="2" s="1"/>
  <c r="AS201" i="2"/>
  <c r="AQ202" i="2"/>
  <c r="AR201" i="2"/>
  <c r="AT201" i="2" l="1"/>
  <c r="AU201" i="2" s="1"/>
  <c r="AV201" i="2" s="1"/>
  <c r="AR202" i="2"/>
  <c r="AQ203" i="2"/>
  <c r="AS202" i="2"/>
  <c r="AT202" i="2" s="1"/>
  <c r="AU202" i="2" s="1"/>
  <c r="AV202" i="2" s="1"/>
  <c r="AR203" i="2" l="1"/>
  <c r="AS203" i="2"/>
  <c r="AT203" i="2" s="1"/>
  <c r="AU203" i="2" s="1"/>
  <c r="AV203" i="2" s="1"/>
  <c r="AQ204" i="2"/>
  <c r="AQ205" i="2" l="1"/>
  <c r="AR204" i="2"/>
  <c r="AS204" i="2"/>
  <c r="AT204" i="2" l="1"/>
  <c r="AU204" i="2" s="1"/>
  <c r="AV204" i="2" s="1"/>
  <c r="AQ206" i="2"/>
  <c r="AS205" i="2"/>
  <c r="AR205" i="2"/>
  <c r="AT205" i="2" l="1"/>
  <c r="AU205" i="2" s="1"/>
  <c r="AV205" i="2" s="1"/>
  <c r="AQ207" i="2"/>
  <c r="AR206" i="2"/>
  <c r="AS206" i="2"/>
  <c r="AT206" i="2" l="1"/>
  <c r="AU206" i="2" s="1"/>
  <c r="AV206" i="2" s="1"/>
  <c r="AS207" i="2"/>
  <c r="AQ208" i="2"/>
  <c r="AR207" i="2"/>
  <c r="AT207" i="2" l="1"/>
  <c r="AU207" i="2" s="1"/>
  <c r="AV207" i="2" s="1"/>
  <c r="AQ209" i="2"/>
  <c r="AS208" i="2"/>
  <c r="AR208" i="2"/>
  <c r="AT208" i="2" l="1"/>
  <c r="AU208" i="2" s="1"/>
  <c r="AV208" i="2" s="1"/>
  <c r="AR209" i="2"/>
  <c r="AQ210" i="2"/>
  <c r="AS209" i="2"/>
  <c r="AT209" i="2" s="1"/>
  <c r="AU209" i="2" s="1"/>
  <c r="AV209" i="2" s="1"/>
  <c r="AR210" i="2" l="1"/>
  <c r="AQ211" i="2"/>
  <c r="AS210" i="2"/>
  <c r="AT210" i="2" s="1"/>
  <c r="AU210" i="2" s="1"/>
  <c r="AV210" i="2" s="1"/>
  <c r="AS211" i="2" l="1"/>
  <c r="AR211" i="2"/>
  <c r="AQ212" i="2"/>
  <c r="AT211" i="2" l="1"/>
  <c r="AU211" i="2" s="1"/>
  <c r="AV211" i="2" s="1"/>
  <c r="AR212" i="2"/>
  <c r="AS212" i="2"/>
  <c r="AT212" i="2" s="1"/>
  <c r="AU212" i="2" s="1"/>
  <c r="AV212" i="2" s="1"/>
  <c r="AQ213" i="2"/>
  <c r="AR213" i="2" l="1"/>
  <c r="AS213" i="2"/>
  <c r="AT213" i="2" s="1"/>
  <c r="AU213" i="2" s="1"/>
  <c r="AV213" i="2" s="1"/>
  <c r="AQ214" i="2"/>
  <c r="AQ215" i="2" l="1"/>
  <c r="AS214" i="2"/>
  <c r="AR214" i="2"/>
  <c r="AT214" i="2" l="1"/>
  <c r="AU214" i="2" s="1"/>
  <c r="AV214" i="2" s="1"/>
  <c r="AS215" i="2"/>
  <c r="AR215" i="2"/>
  <c r="AQ216" i="2"/>
  <c r="AT215" i="2" l="1"/>
  <c r="AU215" i="2" s="1"/>
  <c r="AV215" i="2" s="1"/>
  <c r="AR216" i="2"/>
  <c r="AQ217" i="2"/>
  <c r="AS216" i="2"/>
  <c r="AT216" i="2" l="1"/>
  <c r="AU216" i="2" s="1"/>
  <c r="AV216" i="2" s="1"/>
  <c r="AQ218" i="2"/>
  <c r="AS217" i="2"/>
  <c r="AR217" i="2"/>
  <c r="AT217" i="2" l="1"/>
  <c r="AU217" i="2" s="1"/>
  <c r="AV217" i="2" s="1"/>
  <c r="AQ219" i="2"/>
  <c r="AR218" i="2"/>
  <c r="AS218" i="2"/>
  <c r="AT218" i="2" s="1"/>
  <c r="AU218" i="2" s="1"/>
  <c r="AV218" i="2" s="1"/>
  <c r="AQ220" i="2" l="1"/>
  <c r="AS219" i="2"/>
  <c r="AR219" i="2"/>
  <c r="AT219" i="2" l="1"/>
  <c r="AU219" i="2" s="1"/>
  <c r="AV219" i="2" s="1"/>
  <c r="AS220" i="2"/>
  <c r="AR220" i="2"/>
  <c r="AQ221" i="2"/>
  <c r="AT220" i="2" l="1"/>
  <c r="AU220" i="2" s="1"/>
  <c r="AV220" i="2" s="1"/>
  <c r="AS221" i="2"/>
  <c r="AR221" i="2"/>
  <c r="AQ222" i="2"/>
  <c r="AT221" i="2" l="1"/>
  <c r="AU221" i="2" s="1"/>
  <c r="AV221" i="2" s="1"/>
  <c r="AQ223" i="2"/>
  <c r="AS222" i="2"/>
  <c r="AR222" i="2"/>
  <c r="AT222" i="2" l="1"/>
  <c r="AU222" i="2" s="1"/>
  <c r="AV222" i="2" s="1"/>
  <c r="AS223" i="2"/>
  <c r="AQ224" i="2"/>
  <c r="AR223" i="2"/>
  <c r="AT223" i="2" l="1"/>
  <c r="AU223" i="2" s="1"/>
  <c r="AV223" i="2" s="1"/>
  <c r="AS224" i="2"/>
  <c r="AR224" i="2"/>
  <c r="AQ225" i="2"/>
  <c r="AT224" i="2" l="1"/>
  <c r="AU224" i="2" s="1"/>
  <c r="AV224" i="2" s="1"/>
  <c r="AQ226" i="2"/>
  <c r="AS225" i="2"/>
  <c r="AR225" i="2"/>
  <c r="AT225" i="2" l="1"/>
  <c r="AU225" i="2" s="1"/>
  <c r="AV225" i="2" s="1"/>
  <c r="AQ227" i="2"/>
  <c r="AS226" i="2"/>
  <c r="AR226" i="2"/>
  <c r="AT226" i="2" l="1"/>
  <c r="AU226" i="2" s="1"/>
  <c r="AV226" i="2" s="1"/>
  <c r="AQ228" i="2"/>
  <c r="AS227" i="2"/>
  <c r="AR227" i="2"/>
  <c r="AT227" i="2" l="1"/>
  <c r="AU227" i="2" s="1"/>
  <c r="AV227" i="2" s="1"/>
  <c r="AQ229" i="2"/>
  <c r="AS228" i="2"/>
  <c r="AR228" i="2"/>
  <c r="AT228" i="2" l="1"/>
  <c r="AU228" i="2" s="1"/>
  <c r="AV228" i="2" s="1"/>
  <c r="AR229" i="2"/>
  <c r="AS229" i="2"/>
  <c r="AQ230" i="2"/>
  <c r="AT229" i="2" l="1"/>
  <c r="AU229" i="2" s="1"/>
  <c r="AV229" i="2" s="1"/>
  <c r="AR230" i="2"/>
  <c r="AS230" i="2"/>
  <c r="AT230" i="2" s="1"/>
  <c r="AU230" i="2" s="1"/>
  <c r="AV230" i="2" s="1"/>
  <c r="AQ231" i="2"/>
  <c r="AQ232" i="2" l="1"/>
  <c r="AS231" i="2"/>
  <c r="AR231" i="2"/>
  <c r="AT231" i="2" l="1"/>
  <c r="AU231" i="2" s="1"/>
  <c r="AV231" i="2" s="1"/>
  <c r="AS232" i="2"/>
  <c r="AR232" i="2"/>
  <c r="AQ233" i="2"/>
  <c r="AT232" i="2" l="1"/>
  <c r="AU232" i="2" s="1"/>
  <c r="AV232" i="2" s="1"/>
  <c r="AQ234" i="2"/>
  <c r="AS233" i="2"/>
  <c r="AR233" i="2"/>
  <c r="AT233" i="2" l="1"/>
  <c r="AU233" i="2" s="1"/>
  <c r="AV233" i="2" s="1"/>
  <c r="AS234" i="2"/>
  <c r="AR234" i="2"/>
  <c r="AQ235" i="2"/>
  <c r="AT234" i="2" l="1"/>
  <c r="AU234" i="2" s="1"/>
  <c r="AV234" i="2" s="1"/>
  <c r="AS235" i="2"/>
  <c r="AR235" i="2"/>
  <c r="AQ236" i="2"/>
  <c r="AT235" i="2" l="1"/>
  <c r="AU235" i="2" s="1"/>
  <c r="AV235" i="2" s="1"/>
  <c r="AR236" i="2"/>
  <c r="AQ237" i="2"/>
  <c r="AS236" i="2"/>
  <c r="AT236" i="2" s="1"/>
  <c r="AU236" i="2" s="1"/>
  <c r="AV236" i="2" s="1"/>
  <c r="AR237" i="2" l="1"/>
  <c r="AS237" i="2"/>
  <c r="AT237" i="2" s="1"/>
  <c r="AU237" i="2" s="1"/>
  <c r="AV237" i="2" s="1"/>
  <c r="AQ238" i="2"/>
  <c r="AQ239" i="2" l="1"/>
  <c r="AR238" i="2"/>
  <c r="AS238" i="2"/>
  <c r="AT238" i="2" s="1"/>
  <c r="AU238" i="2" s="1"/>
  <c r="AV238" i="2" s="1"/>
  <c r="AS239" i="2" l="1"/>
  <c r="AQ240" i="2"/>
  <c r="AR239" i="2"/>
  <c r="AT239" i="2" s="1"/>
  <c r="AU239" i="2" s="1"/>
  <c r="AV239" i="2" s="1"/>
  <c r="AQ241" i="2" l="1"/>
  <c r="AR240" i="2"/>
  <c r="AS240" i="2"/>
  <c r="AT240" i="2" l="1"/>
  <c r="AU240" i="2" s="1"/>
  <c r="AV240" i="2" s="1"/>
  <c r="AQ242" i="2"/>
  <c r="AR241" i="2"/>
  <c r="AS241" i="2"/>
  <c r="AT241" i="2" l="1"/>
  <c r="AU241" i="2" s="1"/>
  <c r="AV241" i="2" s="1"/>
  <c r="AR242" i="2"/>
  <c r="AQ243" i="2"/>
  <c r="AS242" i="2"/>
  <c r="AT242" i="2" l="1"/>
  <c r="AU242" i="2" s="1"/>
  <c r="AV242" i="2" s="1"/>
  <c r="AQ244" i="2"/>
  <c r="AS243" i="2"/>
  <c r="AR243" i="2"/>
  <c r="AT243" i="2" l="1"/>
  <c r="AU243" i="2" s="1"/>
  <c r="AV243" i="2" s="1"/>
  <c r="AS244" i="2"/>
  <c r="AQ245" i="2"/>
  <c r="AR244" i="2"/>
  <c r="AT244" i="2" l="1"/>
  <c r="AU244" i="2" s="1"/>
  <c r="AV244" i="2" s="1"/>
  <c r="AQ246" i="2"/>
  <c r="AR245" i="2"/>
  <c r="AS245" i="2"/>
  <c r="AT245" i="2" l="1"/>
  <c r="AU245" i="2" s="1"/>
  <c r="AV245" i="2" s="1"/>
  <c r="AR246" i="2"/>
  <c r="AS246" i="2"/>
  <c r="AT246" i="2" s="1"/>
  <c r="AU246" i="2" s="1"/>
  <c r="AV246" i="2" s="1"/>
  <c r="AQ247" i="2"/>
  <c r="AS247" i="2" l="1"/>
  <c r="AQ248" i="2"/>
  <c r="AR247" i="2"/>
  <c r="AT247" i="2" l="1"/>
  <c r="AU247" i="2" s="1"/>
  <c r="AV247" i="2" s="1"/>
  <c r="AS248" i="2"/>
  <c r="AR248" i="2"/>
  <c r="AQ249" i="2"/>
  <c r="AT248" i="2" l="1"/>
  <c r="AU248" i="2" s="1"/>
  <c r="AV248" i="2" s="1"/>
  <c r="AS249" i="2"/>
  <c r="AQ250" i="2"/>
  <c r="AR249" i="2"/>
  <c r="AT249" i="2" l="1"/>
  <c r="AU249" i="2" s="1"/>
  <c r="AV249" i="2" s="1"/>
  <c r="AS250" i="2"/>
  <c r="AQ251" i="2"/>
  <c r="AR250" i="2"/>
  <c r="AT250" i="2" l="1"/>
  <c r="AU250" i="2" s="1"/>
  <c r="AV250" i="2" s="1"/>
  <c r="AQ252" i="2"/>
  <c r="AS251" i="2"/>
  <c r="AR251" i="2"/>
  <c r="AT251" i="2" l="1"/>
  <c r="AU251" i="2" s="1"/>
  <c r="AV251" i="2" s="1"/>
  <c r="AR252" i="2"/>
  <c r="AQ253" i="2"/>
  <c r="AS252" i="2"/>
  <c r="AT252" i="2" s="1"/>
  <c r="AU252" i="2" s="1"/>
  <c r="AV252" i="2" s="1"/>
  <c r="AQ254" i="2" l="1"/>
  <c r="AR253" i="2"/>
  <c r="AS253" i="2"/>
  <c r="AT253" i="2" s="1"/>
  <c r="AU253" i="2" s="1"/>
  <c r="AV253" i="2" s="1"/>
  <c r="AS254" i="2" l="1"/>
  <c r="AQ255" i="2"/>
  <c r="AR254" i="2"/>
  <c r="AT254" i="2" l="1"/>
  <c r="AU254" i="2" s="1"/>
  <c r="AV254" i="2" s="1"/>
  <c r="AR255" i="2"/>
  <c r="AQ256" i="2"/>
  <c r="AS255" i="2"/>
  <c r="AT255" i="2" s="1"/>
  <c r="AU255" i="2" s="1"/>
  <c r="AV255" i="2" s="1"/>
  <c r="AS256" i="2" l="1"/>
  <c r="AR256" i="2"/>
  <c r="AQ257" i="2"/>
  <c r="AT256" i="2" l="1"/>
  <c r="AU256" i="2" s="1"/>
  <c r="AV256" i="2" s="1"/>
  <c r="AQ258" i="2"/>
  <c r="AS257" i="2"/>
  <c r="AR257" i="2"/>
  <c r="AT257" i="2" l="1"/>
  <c r="AU257" i="2" s="1"/>
  <c r="AV257" i="2" s="1"/>
  <c r="AS258" i="2"/>
  <c r="AR258" i="2"/>
  <c r="AQ259" i="2"/>
  <c r="AT258" i="2" l="1"/>
  <c r="AU258" i="2" s="1"/>
  <c r="AV258" i="2" s="1"/>
  <c r="AR259" i="2"/>
  <c r="AS259" i="2"/>
  <c r="AT259" i="2" s="1"/>
  <c r="AU259" i="2" s="1"/>
  <c r="AV259" i="2" s="1"/>
  <c r="AQ260" i="2"/>
  <c r="AQ261" i="2" l="1"/>
  <c r="AR260" i="2"/>
  <c r="AS260" i="2"/>
  <c r="AT260" i="2" l="1"/>
  <c r="AU260" i="2" s="1"/>
  <c r="AV260" i="2" s="1"/>
  <c r="AR261" i="2"/>
  <c r="AS261" i="2"/>
  <c r="AT261" i="2" s="1"/>
  <c r="AU261" i="2" s="1"/>
  <c r="AV261" i="2" s="1"/>
  <c r="AQ262" i="2"/>
  <c r="AR262" i="2" l="1"/>
  <c r="AQ263" i="2"/>
  <c r="AS262" i="2"/>
  <c r="AT262" i="2" s="1"/>
  <c r="AU262" i="2" s="1"/>
  <c r="AV262" i="2" s="1"/>
  <c r="AQ264" i="2" l="1"/>
  <c r="AR263" i="2"/>
  <c r="AS263" i="2"/>
  <c r="AT263" i="2" l="1"/>
  <c r="AU263" i="2" s="1"/>
  <c r="AV263" i="2" s="1"/>
  <c r="AS264" i="2"/>
  <c r="AR264" i="2"/>
  <c r="AQ265" i="2"/>
  <c r="AT264" i="2" l="1"/>
  <c r="AU264" i="2" s="1"/>
  <c r="AV264" i="2" s="1"/>
  <c r="AQ266" i="2"/>
  <c r="AS265" i="2"/>
  <c r="AR265" i="2"/>
  <c r="AT265" i="2" l="1"/>
  <c r="AU265" i="2" s="1"/>
  <c r="AV265" i="2" s="1"/>
  <c r="AR266" i="2"/>
  <c r="AQ267" i="2"/>
  <c r="AS266" i="2"/>
  <c r="AT266" i="2" s="1"/>
  <c r="AU266" i="2" s="1"/>
  <c r="AV266" i="2" s="1"/>
  <c r="AQ268" i="2" l="1"/>
  <c r="AR267" i="2"/>
  <c r="AS267" i="2"/>
  <c r="AT267" i="2" s="1"/>
  <c r="AU267" i="2" s="1"/>
  <c r="AV267" i="2" s="1"/>
  <c r="AQ269" i="2" l="1"/>
  <c r="AR268" i="2"/>
  <c r="AS268" i="2"/>
  <c r="AT268" i="2" s="1"/>
  <c r="AU268" i="2" s="1"/>
  <c r="AV268" i="2" s="1"/>
  <c r="AR269" i="2" l="1"/>
  <c r="AS269" i="2"/>
  <c r="AQ270" i="2"/>
  <c r="AT269" i="2" l="1"/>
  <c r="AU269" i="2" s="1"/>
  <c r="AV269" i="2" s="1"/>
  <c r="AS270" i="2"/>
  <c r="AQ271" i="2"/>
  <c r="AR270" i="2"/>
  <c r="AT270" i="2" l="1"/>
  <c r="AU270" i="2" s="1"/>
  <c r="AV270" i="2" s="1"/>
  <c r="AS271" i="2"/>
  <c r="AR271" i="2"/>
  <c r="AQ272" i="2"/>
  <c r="AT271" i="2" l="1"/>
  <c r="AU271" i="2" s="1"/>
  <c r="AV271" i="2" s="1"/>
  <c r="AS272" i="2"/>
  <c r="AR272" i="2"/>
  <c r="AQ273" i="2"/>
  <c r="AT272" i="2" l="1"/>
  <c r="AU272" i="2" s="1"/>
  <c r="AV272" i="2" s="1"/>
  <c r="AS273" i="2"/>
  <c r="AQ274" i="2"/>
  <c r="AR273" i="2"/>
  <c r="AT273" i="2" s="1"/>
  <c r="AU273" i="2" s="1"/>
  <c r="AV273" i="2" s="1"/>
  <c r="AQ275" i="2" l="1"/>
  <c r="AS274" i="2"/>
  <c r="AR274" i="2"/>
  <c r="AT274" i="2" l="1"/>
  <c r="AU274" i="2" s="1"/>
  <c r="AV274" i="2" s="1"/>
  <c r="AS275" i="2"/>
  <c r="AR275" i="2"/>
  <c r="AQ276" i="2"/>
  <c r="AT275" i="2" l="1"/>
  <c r="AU275" i="2" s="1"/>
  <c r="AV275" i="2" s="1"/>
  <c r="AQ277" i="2"/>
  <c r="AR276" i="2"/>
  <c r="AS276" i="2"/>
  <c r="AT276" i="2" l="1"/>
  <c r="AU276" i="2" s="1"/>
  <c r="AV276" i="2" s="1"/>
  <c r="AQ278" i="2"/>
  <c r="AS277" i="2"/>
  <c r="AR277" i="2"/>
  <c r="AT277" i="2" l="1"/>
  <c r="AU277" i="2" s="1"/>
  <c r="AV277" i="2" s="1"/>
  <c r="AR278" i="2"/>
  <c r="AQ279" i="2"/>
  <c r="AS278" i="2"/>
  <c r="AT278" i="2" s="1"/>
  <c r="AU278" i="2" s="1"/>
  <c r="AV278" i="2" s="1"/>
  <c r="AS279" i="2" l="1"/>
  <c r="AR279" i="2"/>
  <c r="AQ280" i="2"/>
  <c r="AT279" i="2" l="1"/>
  <c r="AU279" i="2" s="1"/>
  <c r="AV279" i="2" s="1"/>
  <c r="AS280" i="2"/>
  <c r="AQ281" i="2"/>
  <c r="AR280" i="2"/>
  <c r="AT280" i="2" l="1"/>
  <c r="AU280" i="2" s="1"/>
  <c r="AV280" i="2" s="1"/>
  <c r="AR281" i="2"/>
  <c r="AS281" i="2"/>
  <c r="AQ282" i="2"/>
  <c r="AT281" i="2" l="1"/>
  <c r="AU281" i="2" s="1"/>
  <c r="AV281" i="2" s="1"/>
  <c r="AR282" i="2"/>
  <c r="AQ283" i="2"/>
  <c r="AS282" i="2"/>
  <c r="AT282" i="2" l="1"/>
  <c r="AU282" i="2" s="1"/>
  <c r="AV282" i="2" s="1"/>
  <c r="AS283" i="2"/>
  <c r="AQ284" i="2"/>
  <c r="AR283" i="2"/>
  <c r="AT283" i="2" l="1"/>
  <c r="AU283" i="2" s="1"/>
  <c r="AV283" i="2" s="1"/>
  <c r="AR284" i="2"/>
  <c r="AQ285" i="2"/>
  <c r="AS284" i="2"/>
  <c r="AT284" i="2" l="1"/>
  <c r="AU284" i="2" s="1"/>
  <c r="AV284" i="2" s="1"/>
  <c r="AS285" i="2"/>
  <c r="AQ286" i="2"/>
  <c r="AR285" i="2"/>
  <c r="AT285" i="2" l="1"/>
  <c r="AU285" i="2" s="1"/>
  <c r="AV285" i="2" s="1"/>
  <c r="AR286" i="2"/>
  <c r="AS286" i="2"/>
  <c r="AT286" i="2" s="1"/>
  <c r="AU286" i="2" s="1"/>
  <c r="AV286" i="2" s="1"/>
  <c r="AQ287" i="2"/>
  <c r="AR287" i="2" l="1"/>
  <c r="AS287" i="2"/>
  <c r="AT287" i="2" s="1"/>
  <c r="AU287" i="2" s="1"/>
  <c r="AV287" i="2" s="1"/>
  <c r="AQ288" i="2"/>
  <c r="AS288" i="2" l="1"/>
  <c r="AR288" i="2"/>
  <c r="AQ289" i="2"/>
  <c r="AT288" i="2" l="1"/>
  <c r="AU288" i="2" s="1"/>
  <c r="AV288" i="2" s="1"/>
  <c r="AR289" i="2"/>
  <c r="AS289" i="2"/>
  <c r="AT289" i="2" s="1"/>
  <c r="AU289" i="2" s="1"/>
  <c r="AV289" i="2" s="1"/>
  <c r="AQ290" i="2"/>
  <c r="AR290" i="2" l="1"/>
  <c r="AQ291" i="2"/>
  <c r="AS290" i="2"/>
  <c r="AT290" i="2" s="1"/>
  <c r="AU290" i="2" s="1"/>
  <c r="AV290" i="2" s="1"/>
  <c r="AQ292" i="2" l="1"/>
  <c r="AR291" i="2"/>
  <c r="AS291" i="2"/>
  <c r="AT291" i="2" l="1"/>
  <c r="AU291" i="2" s="1"/>
  <c r="AV291" i="2" s="1"/>
  <c r="AS292" i="2"/>
  <c r="AQ293" i="2"/>
  <c r="AR292" i="2"/>
  <c r="AT292" i="2" s="1"/>
  <c r="AU292" i="2" s="1"/>
  <c r="AV292" i="2" s="1"/>
  <c r="AR293" i="2" l="1"/>
  <c r="AS293" i="2"/>
  <c r="AT293" i="2" s="1"/>
  <c r="AU293" i="2" s="1"/>
  <c r="AV293" i="2" s="1"/>
  <c r="AQ294" i="2"/>
  <c r="AS294" i="2" l="1"/>
  <c r="AQ295" i="2"/>
  <c r="AR294" i="2"/>
  <c r="AT294" i="2" l="1"/>
  <c r="AU294" i="2" s="1"/>
  <c r="AV294" i="2" s="1"/>
  <c r="AS295" i="2"/>
  <c r="AQ296" i="2"/>
  <c r="AR295" i="2"/>
  <c r="AT295" i="2" l="1"/>
  <c r="AU295" i="2" s="1"/>
  <c r="AV295" i="2" s="1"/>
  <c r="AS296" i="2"/>
  <c r="AR296" i="2"/>
  <c r="AQ297" i="2"/>
  <c r="AT296" i="2" l="1"/>
  <c r="AU296" i="2" s="1"/>
  <c r="AV296" i="2" s="1"/>
  <c r="AQ298" i="2"/>
  <c r="AS297" i="2"/>
  <c r="AR297" i="2"/>
  <c r="AT297" i="2" l="1"/>
  <c r="AU297" i="2" s="1"/>
  <c r="AV297" i="2" s="1"/>
  <c r="AR298" i="2"/>
  <c r="AS298" i="2"/>
  <c r="AQ299" i="2"/>
  <c r="AT298" i="2" l="1"/>
  <c r="AU298" i="2" s="1"/>
  <c r="AV298" i="2" s="1"/>
  <c r="AQ300" i="2"/>
  <c r="AR299" i="2"/>
  <c r="AS299" i="2"/>
  <c r="AT299" i="2" s="1"/>
  <c r="AU299" i="2" s="1"/>
  <c r="AV299" i="2" s="1"/>
  <c r="AR300" i="2" l="1"/>
  <c r="AQ301" i="2"/>
  <c r="AS300" i="2"/>
  <c r="AT300" i="2" l="1"/>
  <c r="AU300" i="2" s="1"/>
  <c r="AV300" i="2" s="1"/>
  <c r="AS301" i="2"/>
  <c r="AR301" i="2"/>
  <c r="AQ302" i="2"/>
  <c r="AT301" i="2" l="1"/>
  <c r="AU301" i="2" s="1"/>
  <c r="AV301" i="2" s="1"/>
  <c r="AS302" i="2"/>
  <c r="AR302" i="2"/>
  <c r="AQ303" i="2"/>
  <c r="AT302" i="2" l="1"/>
  <c r="AU302" i="2" s="1"/>
  <c r="AV302" i="2" s="1"/>
  <c r="AS303" i="2"/>
  <c r="AR303" i="2"/>
  <c r="AQ304" i="2"/>
  <c r="AT303" i="2" l="1"/>
  <c r="AU303" i="2" s="1"/>
  <c r="AV303" i="2" s="1"/>
  <c r="AQ305" i="2"/>
  <c r="AR304" i="2"/>
  <c r="AS304" i="2"/>
  <c r="AT304" i="2" l="1"/>
  <c r="AU304" i="2" s="1"/>
  <c r="AV304" i="2" s="1"/>
  <c r="AS305" i="2"/>
  <c r="AR305" i="2"/>
  <c r="AQ306" i="2"/>
  <c r="AT305" i="2" l="1"/>
  <c r="AU305" i="2" s="1"/>
  <c r="AV305" i="2" s="1"/>
  <c r="AR306" i="2"/>
  <c r="AQ307" i="2"/>
  <c r="AS306" i="2"/>
  <c r="AT306" i="2" s="1"/>
  <c r="AU306" i="2" s="1"/>
  <c r="AV306" i="2" s="1"/>
  <c r="AR307" i="2" l="1"/>
  <c r="AQ308" i="2"/>
  <c r="AS307" i="2"/>
  <c r="AT307" i="2" s="1"/>
  <c r="AU307" i="2" s="1"/>
  <c r="AV307" i="2" s="1"/>
  <c r="AS308" i="2" l="1"/>
  <c r="AR308" i="2"/>
  <c r="AQ309" i="2"/>
  <c r="AT308" i="2" l="1"/>
  <c r="AU308" i="2" s="1"/>
  <c r="AV308" i="2" s="1"/>
  <c r="AQ310" i="2"/>
  <c r="AR309" i="2"/>
  <c r="AS309" i="2"/>
  <c r="AT309" i="2" s="1"/>
  <c r="AU309" i="2" s="1"/>
  <c r="AV309" i="2" s="1"/>
  <c r="AS310" i="2" l="1"/>
  <c r="AR310" i="2"/>
  <c r="AQ311" i="2"/>
  <c r="AT310" i="2" l="1"/>
  <c r="AU310" i="2" s="1"/>
  <c r="AV310" i="2" s="1"/>
  <c r="AR311" i="2"/>
  <c r="AQ312" i="2"/>
  <c r="AS311" i="2"/>
  <c r="AT311" i="2" s="1"/>
  <c r="AU311" i="2" s="1"/>
  <c r="AV311" i="2" s="1"/>
  <c r="AQ313" i="2" l="1"/>
  <c r="AR312" i="2"/>
  <c r="AS312" i="2"/>
  <c r="AT312" i="2" l="1"/>
  <c r="AU312" i="2" s="1"/>
  <c r="AV312" i="2" s="1"/>
  <c r="AR313" i="2"/>
  <c r="AS313" i="2"/>
  <c r="AQ314" i="2"/>
  <c r="AT313" i="2" l="1"/>
  <c r="AU313" i="2" s="1"/>
  <c r="AV313" i="2" s="1"/>
  <c r="AS314" i="2"/>
  <c r="AQ315" i="2"/>
  <c r="AR314" i="2"/>
  <c r="AT314" i="2" l="1"/>
  <c r="AU314" i="2" s="1"/>
  <c r="AV314" i="2" s="1"/>
  <c r="AR315" i="2"/>
  <c r="AS315" i="2"/>
  <c r="AQ316" i="2"/>
  <c r="AT315" i="2" l="1"/>
  <c r="AU315" i="2" s="1"/>
  <c r="AV315" i="2" s="1"/>
  <c r="AQ317" i="2"/>
  <c r="AR316" i="2"/>
  <c r="AS316" i="2"/>
  <c r="AT316" i="2" l="1"/>
  <c r="AU316" i="2" s="1"/>
  <c r="AV316" i="2" s="1"/>
  <c r="AR317" i="2"/>
  <c r="AS317" i="2"/>
  <c r="AT317" i="2" s="1"/>
  <c r="AU317" i="2" s="1"/>
  <c r="AV317" i="2" s="1"/>
  <c r="AQ318" i="2"/>
  <c r="AQ319" i="2" l="1"/>
  <c r="AR318" i="2"/>
  <c r="AS318" i="2"/>
  <c r="AT318" i="2" l="1"/>
  <c r="AU318" i="2" s="1"/>
  <c r="AV318" i="2" s="1"/>
  <c r="AR319" i="2"/>
  <c r="AS319" i="2"/>
  <c r="AT319" i="2" s="1"/>
  <c r="AU319" i="2" s="1"/>
  <c r="AV319" i="2" s="1"/>
  <c r="AQ320" i="2"/>
  <c r="AR320" i="2" l="1"/>
  <c r="AQ321" i="2"/>
  <c r="AS320" i="2"/>
  <c r="AT320" i="2" l="1"/>
  <c r="AU320" i="2" s="1"/>
  <c r="AV320" i="2" s="1"/>
  <c r="AR321" i="2"/>
  <c r="AQ322" i="2"/>
  <c r="AS321" i="2"/>
  <c r="AT321" i="2" s="1"/>
  <c r="AU321" i="2" s="1"/>
  <c r="AV321" i="2" s="1"/>
  <c r="AR322" i="2" l="1"/>
  <c r="AQ323" i="2"/>
  <c r="AS322" i="2"/>
  <c r="AT322" i="2" s="1"/>
  <c r="AU322" i="2" s="1"/>
  <c r="AV322" i="2" s="1"/>
  <c r="AR323" i="2" l="1"/>
  <c r="AQ324" i="2"/>
  <c r="AS323" i="2"/>
  <c r="AT323" i="2" s="1"/>
  <c r="AU323" i="2" s="1"/>
  <c r="AV323" i="2" s="1"/>
  <c r="AQ325" i="2" l="1"/>
  <c r="AS324" i="2"/>
  <c r="AR324" i="2"/>
  <c r="AT324" i="2" l="1"/>
  <c r="AU324" i="2" s="1"/>
  <c r="AV324" i="2" s="1"/>
  <c r="AR325" i="2"/>
  <c r="AQ326" i="2"/>
  <c r="AS325" i="2"/>
  <c r="AT325" i="2" s="1"/>
  <c r="AU325" i="2" s="1"/>
  <c r="AV325" i="2" s="1"/>
  <c r="AQ327" i="2" l="1"/>
  <c r="AR326" i="2"/>
  <c r="AS326" i="2"/>
  <c r="AT326" i="2" s="1"/>
  <c r="AU326" i="2" s="1"/>
  <c r="AV326" i="2" s="1"/>
  <c r="AR327" i="2" l="1"/>
  <c r="AS327" i="2"/>
  <c r="AT327" i="2" s="1"/>
  <c r="AU327" i="2" s="1"/>
  <c r="AV327" i="2" s="1"/>
  <c r="AQ328" i="2"/>
  <c r="AR328" i="2" l="1"/>
  <c r="AS328" i="2"/>
  <c r="AT328" i="2" s="1"/>
  <c r="AU328" i="2" s="1"/>
  <c r="AV328" i="2" s="1"/>
  <c r="AQ329" i="2"/>
  <c r="AR329" i="2" l="1"/>
  <c r="AQ330" i="2"/>
  <c r="AS329" i="2"/>
  <c r="AT329" i="2" s="1"/>
  <c r="AU329" i="2" s="1"/>
  <c r="AV329" i="2" s="1"/>
  <c r="AR330" i="2" l="1"/>
  <c r="AQ331" i="2"/>
  <c r="AS330" i="2"/>
  <c r="AT330" i="2" s="1"/>
  <c r="AU330" i="2" s="1"/>
  <c r="AV330" i="2" s="1"/>
  <c r="AQ332" i="2" l="1"/>
  <c r="AS331" i="2"/>
  <c r="AR331" i="2"/>
  <c r="AT331" i="2" l="1"/>
  <c r="AU331" i="2" s="1"/>
  <c r="AV331" i="2" s="1"/>
  <c r="AR332" i="2"/>
  <c r="AQ333" i="2"/>
  <c r="AS332" i="2"/>
  <c r="AT332" i="2" s="1"/>
  <c r="AU332" i="2" s="1"/>
  <c r="AV332" i="2" s="1"/>
  <c r="AR333" i="2" l="1"/>
  <c r="AQ334" i="2"/>
  <c r="AS333" i="2"/>
  <c r="AT333" i="2" s="1"/>
  <c r="AU333" i="2" s="1"/>
  <c r="AV333" i="2" s="1"/>
  <c r="AR334" i="2" l="1"/>
  <c r="AS334" i="2"/>
  <c r="AT334" i="2" s="1"/>
  <c r="AU334" i="2" s="1"/>
  <c r="AV334" i="2" s="1"/>
  <c r="AQ335" i="2"/>
  <c r="AQ336" i="2" l="1"/>
  <c r="AR335" i="2"/>
  <c r="AS335" i="2"/>
  <c r="AT335" i="2" s="1"/>
  <c r="AU335" i="2" s="1"/>
  <c r="AV335" i="2" s="1"/>
  <c r="AR336" i="2" l="1"/>
  <c r="AQ337" i="2"/>
  <c r="AS336" i="2"/>
  <c r="AT336" i="2" s="1"/>
  <c r="AU336" i="2" s="1"/>
  <c r="AV336" i="2" s="1"/>
  <c r="AQ338" i="2" l="1"/>
  <c r="AS337" i="2"/>
  <c r="AR337" i="2"/>
  <c r="AT337" i="2" l="1"/>
  <c r="AU337" i="2" s="1"/>
  <c r="AV337" i="2" s="1"/>
  <c r="AQ339" i="2"/>
  <c r="AS338" i="2"/>
  <c r="AR338" i="2"/>
  <c r="AT338" i="2" l="1"/>
  <c r="AU338" i="2" s="1"/>
  <c r="AV338" i="2" s="1"/>
  <c r="AR339" i="2"/>
  <c r="AS339" i="2"/>
  <c r="AT339" i="2" s="1"/>
  <c r="AU339" i="2" s="1"/>
  <c r="AV339" i="2" s="1"/>
  <c r="AQ340" i="2"/>
  <c r="AS340" i="2" l="1"/>
  <c r="AQ341" i="2"/>
  <c r="AR340" i="2"/>
  <c r="AT340" i="2" l="1"/>
  <c r="AU340" i="2" s="1"/>
  <c r="AV340" i="2" s="1"/>
  <c r="AR341" i="2"/>
  <c r="AQ342" i="2"/>
  <c r="AS341" i="2"/>
  <c r="AT341" i="2" s="1"/>
  <c r="AU341" i="2" s="1"/>
  <c r="AV341" i="2" s="1"/>
  <c r="AR342" i="2" l="1"/>
  <c r="AS342" i="2"/>
  <c r="AQ343" i="2"/>
  <c r="AT342" i="2" l="1"/>
  <c r="AU342" i="2" s="1"/>
  <c r="AV342" i="2" s="1"/>
  <c r="AQ344" i="2"/>
  <c r="AS343" i="2"/>
  <c r="AR343" i="2"/>
  <c r="AT343" i="2" l="1"/>
  <c r="AU343" i="2" s="1"/>
  <c r="AV343" i="2" s="1"/>
  <c r="AR344" i="2"/>
  <c r="AQ345" i="2"/>
  <c r="AS344" i="2"/>
  <c r="AT344" i="2" l="1"/>
  <c r="AU344" i="2" s="1"/>
  <c r="AV344" i="2" s="1"/>
  <c r="AR345" i="2"/>
  <c r="AQ346" i="2"/>
  <c r="AS345" i="2"/>
  <c r="AT345" i="2" s="1"/>
  <c r="AU345" i="2" s="1"/>
  <c r="AV345" i="2" s="1"/>
  <c r="AR346" i="2" l="1"/>
  <c r="AQ347" i="2"/>
  <c r="AS346" i="2"/>
  <c r="AT346" i="2" s="1"/>
  <c r="AU346" i="2" s="1"/>
  <c r="AV346" i="2" s="1"/>
  <c r="AR347" i="2" l="1"/>
  <c r="AQ348" i="2"/>
  <c r="AS347" i="2"/>
  <c r="AT347" i="2" l="1"/>
  <c r="AU347" i="2" s="1"/>
  <c r="AV347" i="2" s="1"/>
  <c r="AQ349" i="2"/>
  <c r="AS348" i="2"/>
  <c r="AR348" i="2"/>
  <c r="AT348" i="2" l="1"/>
  <c r="AU348" i="2" s="1"/>
  <c r="AV348" i="2" s="1"/>
  <c r="AR349" i="2"/>
  <c r="AQ350" i="2"/>
  <c r="AS349" i="2"/>
  <c r="AT349" i="2" l="1"/>
  <c r="AU349" i="2" s="1"/>
  <c r="AV349" i="2" s="1"/>
  <c r="AQ351" i="2"/>
  <c r="AS350" i="2"/>
  <c r="AR350" i="2"/>
  <c r="AT350" i="2" l="1"/>
  <c r="AU350" i="2" s="1"/>
  <c r="AV350" i="2" s="1"/>
  <c r="AQ352" i="2"/>
  <c r="AS351" i="2"/>
  <c r="AR351" i="2"/>
  <c r="AT351" i="2" l="1"/>
  <c r="AU351" i="2" s="1"/>
  <c r="AV351" i="2" s="1"/>
  <c r="AS352" i="2"/>
  <c r="AR352" i="2"/>
  <c r="AQ353" i="2"/>
  <c r="AT352" i="2" l="1"/>
  <c r="AU352" i="2" s="1"/>
  <c r="AV352" i="2" s="1"/>
  <c r="AS353" i="2"/>
  <c r="AQ354" i="2"/>
  <c r="AR353" i="2"/>
  <c r="AT353" i="2" l="1"/>
  <c r="AU353" i="2" s="1"/>
  <c r="AV353" i="2" s="1"/>
  <c r="AQ355" i="2"/>
  <c r="AS354" i="2"/>
  <c r="AR354" i="2"/>
  <c r="AT354" i="2" l="1"/>
  <c r="AU354" i="2" s="1"/>
  <c r="AV354" i="2" s="1"/>
  <c r="AS355" i="2"/>
  <c r="AQ356" i="2"/>
  <c r="AR355" i="2"/>
  <c r="AT355" i="2" l="1"/>
  <c r="AU355" i="2" s="1"/>
  <c r="AV355" i="2" s="1"/>
  <c r="AR356" i="2"/>
  <c r="AS356" i="2"/>
  <c r="AT356" i="2" s="1"/>
  <c r="AU356" i="2" s="1"/>
  <c r="AV356" i="2" s="1"/>
  <c r="AQ357" i="2"/>
  <c r="AR357" i="2" l="1"/>
  <c r="AS357" i="2"/>
  <c r="AQ358" i="2"/>
  <c r="AT357" i="2" l="1"/>
  <c r="AU357" i="2" s="1"/>
  <c r="AV357" i="2" s="1"/>
  <c r="AS358" i="2"/>
  <c r="AR358" i="2"/>
  <c r="AQ359" i="2"/>
  <c r="AT358" i="2" l="1"/>
  <c r="AU358" i="2" s="1"/>
  <c r="AV358" i="2" s="1"/>
  <c r="AR359" i="2"/>
  <c r="AQ360" i="2"/>
  <c r="AS359" i="2"/>
  <c r="AT359" i="2" s="1"/>
  <c r="AU359" i="2" s="1"/>
  <c r="AV359" i="2" s="1"/>
  <c r="AR360" i="2" l="1"/>
  <c r="AQ361" i="2"/>
  <c r="AS360" i="2"/>
  <c r="AT360" i="2" s="1"/>
  <c r="AU360" i="2" s="1"/>
  <c r="AV360" i="2" s="1"/>
  <c r="AS361" i="2" l="1"/>
  <c r="AR361" i="2"/>
  <c r="AQ362" i="2"/>
  <c r="AT361" i="2" l="1"/>
  <c r="AU361" i="2" s="1"/>
  <c r="AV361" i="2" s="1"/>
  <c r="AR362" i="2"/>
  <c r="AS362" i="2"/>
  <c r="AT362" i="2" s="1"/>
  <c r="AU362" i="2" s="1"/>
  <c r="AV362" i="2" s="1"/>
  <c r="AQ363" i="2"/>
  <c r="AR363" i="2" l="1"/>
  <c r="AS363" i="2"/>
  <c r="AT363" i="2" s="1"/>
  <c r="AU363" i="2" s="1"/>
  <c r="AV363" i="2" s="1"/>
  <c r="AQ364" i="2"/>
  <c r="AR364" i="2" l="1"/>
  <c r="AS364" i="2"/>
  <c r="AT364" i="2" s="1"/>
  <c r="AU364" i="2" s="1"/>
  <c r="AV364" i="2" s="1"/>
  <c r="AQ365" i="2"/>
  <c r="AQ366" i="2" l="1"/>
  <c r="AS365" i="2"/>
  <c r="AR365" i="2"/>
  <c r="AT365" i="2" l="1"/>
  <c r="AU365" i="2" s="1"/>
  <c r="AV365" i="2" s="1"/>
  <c r="AQ367" i="2"/>
  <c r="AR366" i="2"/>
  <c r="AS366" i="2"/>
  <c r="AT366" i="2" l="1"/>
  <c r="AU366" i="2" s="1"/>
  <c r="AV366" i="2" s="1"/>
  <c r="AS367" i="2"/>
  <c r="AR367" i="2"/>
  <c r="AQ368" i="2"/>
  <c r="AT367" i="2" l="1"/>
  <c r="AU367" i="2" s="1"/>
  <c r="AV367" i="2" s="1"/>
  <c r="AQ369" i="2"/>
  <c r="AS368" i="2"/>
  <c r="AR368" i="2"/>
  <c r="AT368" i="2" l="1"/>
  <c r="AU368" i="2" s="1"/>
  <c r="AV368" i="2" s="1"/>
  <c r="AS369" i="2"/>
  <c r="AR369" i="2"/>
  <c r="AQ370" i="2"/>
  <c r="AT369" i="2" l="1"/>
  <c r="AU369" i="2" s="1"/>
  <c r="AV369" i="2" s="1"/>
  <c r="AS370" i="2"/>
  <c r="AR370" i="2"/>
  <c r="AQ371" i="2"/>
  <c r="AT370" i="2" l="1"/>
  <c r="AU370" i="2" s="1"/>
  <c r="AV370" i="2" s="1"/>
  <c r="AS371" i="2"/>
  <c r="AR371" i="2"/>
  <c r="AQ372" i="2"/>
  <c r="AT371" i="2" l="1"/>
  <c r="AU371" i="2" s="1"/>
  <c r="AV371" i="2" s="1"/>
  <c r="AR372" i="2"/>
  <c r="AQ373" i="2"/>
  <c r="AS372" i="2"/>
  <c r="AT372" i="2" l="1"/>
  <c r="AU372" i="2" s="1"/>
  <c r="AV372" i="2" s="1"/>
  <c r="AR373" i="2"/>
  <c r="AQ374" i="2"/>
  <c r="AS373" i="2"/>
  <c r="AT373" i="2" s="1"/>
  <c r="AU373" i="2" s="1"/>
  <c r="AV373" i="2" s="1"/>
  <c r="AQ375" i="2" l="1"/>
  <c r="AR374" i="2"/>
  <c r="AS374" i="2"/>
  <c r="AT374" i="2" l="1"/>
  <c r="AU374" i="2" s="1"/>
  <c r="AV374" i="2" s="1"/>
  <c r="AS375" i="2"/>
  <c r="AQ376" i="2"/>
  <c r="AR375" i="2"/>
  <c r="AT375" i="2" l="1"/>
  <c r="AU375" i="2" s="1"/>
  <c r="AV375" i="2" s="1"/>
  <c r="AR376" i="2"/>
  <c r="AS376" i="2"/>
  <c r="AT376" i="2" s="1"/>
  <c r="AU376" i="2" s="1"/>
  <c r="AV376" i="2" s="1"/>
  <c r="AQ377" i="2"/>
  <c r="AS377" i="2" l="1"/>
  <c r="AQ378" i="2"/>
  <c r="AR377" i="2"/>
  <c r="AT377" i="2" l="1"/>
  <c r="AU377" i="2" s="1"/>
  <c r="AV377" i="2" s="1"/>
  <c r="AQ379" i="2"/>
  <c r="AS378" i="2"/>
  <c r="AR378" i="2"/>
  <c r="AT378" i="2" l="1"/>
  <c r="AU378" i="2" s="1"/>
  <c r="AV378" i="2" s="1"/>
  <c r="AQ380" i="2"/>
  <c r="AR379" i="2"/>
  <c r="AS379" i="2"/>
  <c r="AT379" i="2" l="1"/>
  <c r="AU379" i="2" s="1"/>
  <c r="AV379" i="2" s="1"/>
  <c r="AQ381" i="2"/>
  <c r="AR380" i="2"/>
  <c r="AS380" i="2"/>
  <c r="AT380" i="2" l="1"/>
  <c r="AU380" i="2" s="1"/>
  <c r="AV380" i="2" s="1"/>
  <c r="AQ382" i="2"/>
  <c r="AS381" i="2"/>
  <c r="AR381" i="2"/>
  <c r="AT381" i="2" l="1"/>
  <c r="AU381" i="2" s="1"/>
  <c r="AV381" i="2" s="1"/>
  <c r="AR382" i="2"/>
  <c r="AS382" i="2"/>
  <c r="AT382" i="2" s="1"/>
  <c r="AU382" i="2" s="1"/>
  <c r="AV382" i="2" s="1"/>
  <c r="AQ383" i="2"/>
  <c r="AQ384" i="2" l="1"/>
  <c r="AR383" i="2"/>
  <c r="AS383" i="2"/>
  <c r="AT383" i="2" s="1"/>
  <c r="AU383" i="2" s="1"/>
  <c r="AV383" i="2" s="1"/>
  <c r="AR384" i="2" l="1"/>
  <c r="AS384" i="2"/>
  <c r="AT384" i="2" s="1"/>
  <c r="AU384" i="2" s="1"/>
  <c r="AV384" i="2" s="1"/>
  <c r="AQ385" i="2"/>
  <c r="AR385" i="2" l="1"/>
  <c r="AQ386" i="2"/>
  <c r="AS385" i="2"/>
  <c r="AT385" i="2" s="1"/>
  <c r="AU385" i="2" s="1"/>
  <c r="AV385" i="2" s="1"/>
  <c r="AS386" i="2" l="1"/>
  <c r="AR386" i="2"/>
  <c r="AQ387" i="2"/>
  <c r="AT386" i="2" l="1"/>
  <c r="AU386" i="2" s="1"/>
  <c r="AV386" i="2" s="1"/>
  <c r="AR387" i="2"/>
  <c r="AQ388" i="2"/>
  <c r="AS387" i="2"/>
  <c r="AT387" i="2" s="1"/>
  <c r="AU387" i="2" s="1"/>
  <c r="AV387" i="2" s="1"/>
  <c r="AR388" i="2" l="1"/>
  <c r="AS388" i="2"/>
  <c r="AT388" i="2" s="1"/>
  <c r="AU388" i="2" s="1"/>
  <c r="AV388" i="2" s="1"/>
  <c r="AQ389" i="2"/>
  <c r="AR389" i="2" l="1"/>
  <c r="AS389" i="2"/>
  <c r="AT389" i="2" s="1"/>
  <c r="AU389" i="2" s="1"/>
  <c r="AV389" i="2" s="1"/>
  <c r="AQ390" i="2"/>
  <c r="AS390" i="2" l="1"/>
  <c r="AQ391" i="2"/>
  <c r="AR390" i="2"/>
  <c r="AT390" i="2" s="1"/>
  <c r="AU390" i="2" s="1"/>
  <c r="AV390" i="2" s="1"/>
  <c r="AQ392" i="2" l="1"/>
  <c r="AS391" i="2"/>
  <c r="AR391" i="2"/>
  <c r="AT391" i="2" l="1"/>
  <c r="AU391" i="2" s="1"/>
  <c r="AV391" i="2" s="1"/>
  <c r="AQ393" i="2"/>
  <c r="AS392" i="2"/>
  <c r="AR392" i="2"/>
  <c r="AT392" i="2" l="1"/>
  <c r="AU392" i="2" s="1"/>
  <c r="AV392" i="2" s="1"/>
  <c r="AQ394" i="2"/>
  <c r="AR393" i="2"/>
  <c r="AS393" i="2"/>
  <c r="AT393" i="2" l="1"/>
  <c r="AU393" i="2" s="1"/>
  <c r="AV393" i="2" s="1"/>
  <c r="AR394" i="2"/>
  <c r="AQ395" i="2"/>
  <c r="AS394" i="2"/>
  <c r="AT394" i="2" s="1"/>
  <c r="AR395" i="2" l="1"/>
  <c r="AS395" i="2"/>
  <c r="AT395" i="2" s="1"/>
  <c r="AU395" i="2" s="1"/>
  <c r="AV395" i="2" s="1"/>
  <c r="AQ396" i="2"/>
  <c r="AR396" i="2" l="1"/>
  <c r="AQ397" i="2"/>
  <c r="AS396" i="2"/>
  <c r="AT396" i="2" s="1"/>
  <c r="AU396" i="2" s="1"/>
  <c r="AV396" i="2" s="1"/>
  <c r="AS397" i="2" l="1"/>
  <c r="AQ398" i="2"/>
  <c r="AR397" i="2"/>
  <c r="AT397" i="2" l="1"/>
  <c r="AU397" i="2" s="1"/>
  <c r="AV397" i="2" s="1"/>
  <c r="AR398" i="2"/>
  <c r="AS398" i="2"/>
  <c r="AT398" i="2" s="1"/>
  <c r="AU398" i="2" s="1"/>
  <c r="AV398" i="2" s="1"/>
  <c r="AQ399" i="2"/>
  <c r="AS399" i="2" l="1"/>
  <c r="AQ400" i="2"/>
  <c r="AR399" i="2"/>
  <c r="AT399" i="2" l="1"/>
  <c r="AU399" i="2" s="1"/>
  <c r="AV399" i="2" s="1"/>
  <c r="AS400" i="2"/>
  <c r="AQ401" i="2"/>
  <c r="AR400" i="2"/>
  <c r="AT400" i="2" l="1"/>
  <c r="AU400" i="2" s="1"/>
  <c r="AV400" i="2" s="1"/>
  <c r="AR401" i="2"/>
  <c r="AQ402" i="2"/>
  <c r="AS401" i="2"/>
  <c r="AT401" i="2" s="1"/>
  <c r="AU401" i="2" s="1"/>
  <c r="AV401" i="2" s="1"/>
  <c r="AS402" i="2" l="1"/>
  <c r="AR402" i="2"/>
  <c r="AQ403" i="2"/>
  <c r="AT402" i="2" l="1"/>
  <c r="AU402" i="2" s="1"/>
  <c r="AV402" i="2" s="1"/>
  <c r="AQ404" i="2"/>
  <c r="AS403" i="2"/>
  <c r="AR403" i="2"/>
  <c r="AT403" i="2" l="1"/>
  <c r="AU403" i="2" s="1"/>
  <c r="AV403" i="2" s="1"/>
  <c r="AQ405" i="2"/>
  <c r="AR404" i="2"/>
  <c r="AS404" i="2"/>
  <c r="AT404" i="2" l="1"/>
  <c r="AU404" i="2" s="1"/>
  <c r="AV404" i="2" s="1"/>
  <c r="AS405" i="2"/>
  <c r="AR405" i="2"/>
  <c r="AQ406" i="2"/>
  <c r="AT405" i="2" l="1"/>
  <c r="AU405" i="2" s="1"/>
  <c r="AV405" i="2" s="1"/>
  <c r="AQ407" i="2"/>
  <c r="AR406" i="2"/>
  <c r="AS406" i="2"/>
  <c r="AT406" i="2" s="1"/>
  <c r="AU406" i="2" s="1"/>
  <c r="AV406" i="2" s="1"/>
  <c r="AR407" i="2" l="1"/>
  <c r="AQ408" i="2"/>
  <c r="AS407" i="2"/>
  <c r="AT407" i="2" s="1"/>
  <c r="AU407" i="2" s="1"/>
  <c r="AV407" i="2" s="1"/>
  <c r="AS408" i="2" l="1"/>
  <c r="AQ409" i="2"/>
  <c r="AR408" i="2"/>
  <c r="AT408" i="2" l="1"/>
  <c r="AU408" i="2" s="1"/>
  <c r="AV408" i="2" s="1"/>
  <c r="AQ410" i="2"/>
  <c r="AR409" i="2"/>
  <c r="AS409" i="2"/>
  <c r="AT409" i="2" l="1"/>
  <c r="AU409" i="2" s="1"/>
  <c r="AV409" i="2" s="1"/>
  <c r="AQ411" i="2"/>
  <c r="AR410" i="2"/>
  <c r="AS410" i="2"/>
  <c r="AT410" i="2" l="1"/>
  <c r="AU410" i="2" s="1"/>
  <c r="AV410" i="2" s="1"/>
  <c r="AS411" i="2"/>
  <c r="AR411" i="2"/>
  <c r="AQ412" i="2"/>
  <c r="AT411" i="2" l="1"/>
  <c r="AU411" i="2" s="1"/>
  <c r="AV411" i="2" s="1"/>
  <c r="AR412" i="2"/>
  <c r="AS412" i="2"/>
  <c r="AQ413" i="2"/>
  <c r="AT412" i="2" l="1"/>
  <c r="AU412" i="2" s="1"/>
  <c r="AV412" i="2" s="1"/>
  <c r="AS413" i="2"/>
  <c r="AQ414" i="2"/>
  <c r="AR413" i="2"/>
  <c r="AT413" i="2" l="1"/>
  <c r="AU413" i="2" s="1"/>
  <c r="AV413" i="2" s="1"/>
  <c r="AS414" i="2"/>
  <c r="AQ415" i="2"/>
  <c r="AR414" i="2"/>
  <c r="AT414" i="2" l="1"/>
  <c r="AU414" i="2" s="1"/>
  <c r="AV414" i="2" s="1"/>
  <c r="AR415" i="2"/>
  <c r="AS415" i="2"/>
  <c r="AQ416" i="2"/>
  <c r="AT415" i="2" l="1"/>
  <c r="AU415" i="2" s="1"/>
  <c r="AV415" i="2" s="1"/>
  <c r="AS416" i="2"/>
  <c r="AQ417" i="2"/>
  <c r="AR416" i="2"/>
  <c r="AT416" i="2" l="1"/>
  <c r="AU416" i="2" s="1"/>
  <c r="AV416" i="2" s="1"/>
  <c r="AR417" i="2"/>
  <c r="AS417" i="2"/>
  <c r="AT417" i="2" s="1"/>
  <c r="AU417" i="2" s="1"/>
  <c r="AV417" i="2" s="1"/>
  <c r="AQ418" i="2"/>
  <c r="AS418" i="2" l="1"/>
  <c r="AQ419" i="2"/>
  <c r="AR418" i="2"/>
  <c r="AT418" i="2" l="1"/>
  <c r="AU418" i="2" s="1"/>
  <c r="AV418" i="2" s="1"/>
  <c r="AS419" i="2"/>
  <c r="AR419" i="2"/>
  <c r="AQ420" i="2"/>
  <c r="AT419" i="2" l="1"/>
  <c r="AU419" i="2" s="1"/>
  <c r="AV419" i="2" s="1"/>
  <c r="AR420" i="2"/>
  <c r="AS420" i="2"/>
  <c r="AT420" i="2" s="1"/>
  <c r="AU420" i="2" s="1"/>
  <c r="AV420" i="2" s="1"/>
  <c r="AQ421" i="2"/>
  <c r="AR421" i="2" l="1"/>
  <c r="AS421" i="2"/>
  <c r="AQ422" i="2"/>
  <c r="AT421" i="2" l="1"/>
  <c r="AU421" i="2" s="1"/>
  <c r="AV421" i="2" s="1"/>
  <c r="AQ423" i="2"/>
  <c r="AR422" i="2"/>
  <c r="AS422" i="2"/>
  <c r="AT422" i="2" l="1"/>
  <c r="AU422" i="2" s="1"/>
  <c r="AV422" i="2" s="1"/>
  <c r="AS423" i="2"/>
  <c r="AR423" i="2"/>
  <c r="AQ424" i="2"/>
  <c r="AT423" i="2" l="1"/>
  <c r="AU423" i="2" s="1"/>
  <c r="AV423" i="2" s="1"/>
  <c r="AR424" i="2"/>
  <c r="AQ425" i="2"/>
  <c r="AS424" i="2"/>
  <c r="AT424" i="2" l="1"/>
  <c r="AU424" i="2" s="1"/>
  <c r="AV424" i="2" s="1"/>
  <c r="AS425" i="2"/>
  <c r="AQ426" i="2"/>
  <c r="AR425" i="2"/>
  <c r="AT425" i="2" l="1"/>
  <c r="AU425" i="2" s="1"/>
  <c r="AV425" i="2" s="1"/>
  <c r="AR426" i="2"/>
  <c r="AS426" i="2"/>
  <c r="AQ427" i="2"/>
  <c r="AT426" i="2" l="1"/>
  <c r="AU426" i="2" s="1"/>
  <c r="AV426" i="2" s="1"/>
  <c r="AR427" i="2"/>
  <c r="AS427" i="2"/>
  <c r="AT427" i="2" s="1"/>
  <c r="AU427" i="2" s="1"/>
  <c r="AV427" i="2" s="1"/>
  <c r="AQ428" i="2"/>
  <c r="AS428" i="2" l="1"/>
  <c r="AR428" i="2"/>
  <c r="AQ429" i="2"/>
  <c r="AT428" i="2" l="1"/>
  <c r="AU428" i="2" s="1"/>
  <c r="AV428" i="2" s="1"/>
  <c r="AR429" i="2"/>
  <c r="AS429" i="2"/>
  <c r="AT429" i="2" s="1"/>
  <c r="AU429" i="2" s="1"/>
  <c r="AV429" i="2" s="1"/>
  <c r="AQ430" i="2"/>
  <c r="AS430" i="2" l="1"/>
  <c r="AQ431" i="2"/>
  <c r="AR430" i="2"/>
  <c r="AS431" i="2" l="1"/>
  <c r="AR431" i="2"/>
  <c r="AQ432" i="2"/>
  <c r="AT430" i="2"/>
  <c r="AU430" i="2" s="1"/>
  <c r="AV430" i="2" s="1"/>
  <c r="AT431" i="2" l="1"/>
  <c r="AU431" i="2" s="1"/>
  <c r="AV431" i="2" s="1"/>
  <c r="AS432" i="2"/>
  <c r="AQ433" i="2"/>
  <c r="AR432" i="2"/>
  <c r="AS433" i="2" l="1"/>
  <c r="AQ434" i="2"/>
  <c r="AR433" i="2"/>
  <c r="AT432" i="2"/>
  <c r="AU432" i="2" s="1"/>
  <c r="AV432" i="2" s="1"/>
  <c r="AS434" i="2" l="1"/>
  <c r="AQ435" i="2"/>
  <c r="AR434" i="2"/>
  <c r="AT433" i="2"/>
  <c r="AU433" i="2" s="1"/>
  <c r="AV433" i="2" s="1"/>
  <c r="AT434" i="2" l="1"/>
  <c r="AU434" i="2" s="1"/>
  <c r="AV434" i="2" s="1"/>
  <c r="AR435" i="2"/>
  <c r="AQ436" i="2"/>
  <c r="AS435" i="2"/>
  <c r="AR436" i="2" l="1"/>
  <c r="AS436" i="2"/>
  <c r="AQ437" i="2"/>
  <c r="AT435" i="2"/>
  <c r="AU435" i="2" s="1"/>
  <c r="AV435" i="2" s="1"/>
  <c r="AT436" i="2" l="1"/>
  <c r="AU436" i="2" s="1"/>
  <c r="AV436" i="2" s="1"/>
  <c r="AS437" i="2"/>
  <c r="AQ438" i="2"/>
  <c r="AR437" i="2"/>
  <c r="AT437" i="2" s="1"/>
  <c r="AU437" i="2" s="1"/>
  <c r="AV437" i="2" s="1"/>
  <c r="AS438" i="2" l="1"/>
  <c r="AR438" i="2"/>
  <c r="AQ439" i="2"/>
  <c r="AS439" i="2" l="1"/>
  <c r="AR439" i="2"/>
  <c r="AQ440" i="2"/>
  <c r="AT438" i="2"/>
  <c r="AU438" i="2" s="1"/>
  <c r="AV438" i="2" s="1"/>
  <c r="AT439" i="2" l="1"/>
  <c r="AU439" i="2" s="1"/>
  <c r="AV439" i="2" s="1"/>
  <c r="AS440" i="2"/>
  <c r="AQ441" i="2"/>
  <c r="AR440" i="2"/>
  <c r="AT440" i="2" l="1"/>
  <c r="AU440" i="2" s="1"/>
  <c r="AV440" i="2" s="1"/>
  <c r="AQ442" i="2"/>
  <c r="AR441" i="2"/>
  <c r="AS441" i="2"/>
  <c r="AT441" i="2" l="1"/>
  <c r="AU441" i="2" s="1"/>
  <c r="AV441" i="2" s="1"/>
  <c r="AS442" i="2"/>
  <c r="AQ443" i="2"/>
  <c r="AR442" i="2"/>
  <c r="AT442" i="2" l="1"/>
  <c r="AU442" i="2" s="1"/>
  <c r="AV442" i="2" s="1"/>
  <c r="AS443" i="2"/>
  <c r="AQ444" i="2"/>
  <c r="AR443" i="2"/>
  <c r="AT443" i="2" l="1"/>
  <c r="AU443" i="2" s="1"/>
  <c r="AV443" i="2" s="1"/>
  <c r="AR444" i="2"/>
  <c r="AQ445" i="2"/>
  <c r="AS444" i="2"/>
  <c r="AT444" i="2" s="1"/>
  <c r="AU444" i="2" s="1"/>
  <c r="AV444" i="2" s="1"/>
  <c r="AR445" i="2" l="1"/>
  <c r="AQ446" i="2"/>
  <c r="AS445" i="2"/>
  <c r="AT445" i="2" l="1"/>
  <c r="AU445" i="2" s="1"/>
  <c r="AV445" i="2" s="1"/>
  <c r="AS446" i="2"/>
  <c r="AR446" i="2"/>
  <c r="AQ447" i="2"/>
  <c r="AT446" i="2" l="1"/>
  <c r="AU446" i="2" s="1"/>
  <c r="AV446" i="2" s="1"/>
  <c r="AR447" i="2"/>
  <c r="AQ448" i="2"/>
  <c r="AS447" i="2"/>
  <c r="AT447" i="2" s="1"/>
  <c r="AU447" i="2" s="1"/>
  <c r="AV447" i="2" s="1"/>
  <c r="AR448" i="2" l="1"/>
  <c r="AQ449" i="2"/>
  <c r="AS448" i="2"/>
  <c r="AT448" i="2" l="1"/>
  <c r="AU448" i="2" s="1"/>
  <c r="AV448" i="2" s="1"/>
  <c r="AS449" i="2"/>
  <c r="AQ450" i="2"/>
  <c r="AR449" i="2"/>
  <c r="AT449" i="2" l="1"/>
  <c r="AU449" i="2" s="1"/>
  <c r="AV449" i="2" s="1"/>
  <c r="AS450" i="2"/>
  <c r="AQ451" i="2"/>
  <c r="AR450" i="2"/>
  <c r="AT450" i="2" l="1"/>
  <c r="AU450" i="2" s="1"/>
  <c r="AV450" i="2" s="1"/>
  <c r="AS451" i="2"/>
  <c r="AR451" i="2"/>
  <c r="AQ452" i="2"/>
  <c r="AT451" i="2" l="1"/>
  <c r="AU451" i="2" s="1"/>
  <c r="AV451" i="2" s="1"/>
  <c r="AS452" i="2"/>
  <c r="AQ453" i="2"/>
  <c r="AR452" i="2"/>
  <c r="AT452" i="2" l="1"/>
  <c r="AU452" i="2" s="1"/>
  <c r="AV452" i="2" s="1"/>
  <c r="AS453" i="2"/>
  <c r="AR453" i="2"/>
  <c r="AQ454" i="2"/>
  <c r="AT453" i="2" l="1"/>
  <c r="AU453" i="2" s="1"/>
  <c r="AV453" i="2" s="1"/>
  <c r="AS454" i="2"/>
  <c r="AR454" i="2"/>
  <c r="AQ455" i="2"/>
  <c r="AT454" i="2" l="1"/>
  <c r="AU454" i="2" s="1"/>
  <c r="AV454" i="2" s="1"/>
  <c r="AQ456" i="2"/>
  <c r="AR455" i="2"/>
  <c r="AS455" i="2"/>
  <c r="AT455" i="2" l="1"/>
  <c r="AU455" i="2" s="1"/>
  <c r="AV455" i="2" s="1"/>
  <c r="AS456" i="2"/>
  <c r="AR456" i="2"/>
  <c r="AQ457" i="2"/>
  <c r="AT456" i="2" l="1"/>
  <c r="AU456" i="2" s="1"/>
  <c r="AV456" i="2" s="1"/>
  <c r="AS457" i="2"/>
  <c r="AR457" i="2"/>
  <c r="AQ458" i="2"/>
  <c r="AT457" i="2" l="1"/>
  <c r="AU457" i="2" s="1"/>
  <c r="AV457" i="2" s="1"/>
  <c r="AQ459" i="2"/>
  <c r="AS458" i="2"/>
  <c r="AR458" i="2"/>
  <c r="AT458" i="2" l="1"/>
  <c r="AU458" i="2" s="1"/>
  <c r="AV458" i="2" s="1"/>
  <c r="AR459" i="2"/>
  <c r="AQ460" i="2"/>
  <c r="AS459" i="2"/>
  <c r="AR460" i="2" l="1"/>
  <c r="AS460" i="2"/>
  <c r="AT460" i="2" s="1"/>
  <c r="AU460" i="2" s="1"/>
  <c r="AV460" i="2" s="1"/>
  <c r="AQ461" i="2"/>
  <c r="AT459" i="2"/>
  <c r="AU459" i="2" s="1"/>
  <c r="AV459" i="2" s="1"/>
  <c r="AS461" i="2" l="1"/>
  <c r="AR461" i="2"/>
  <c r="AQ462" i="2"/>
  <c r="AT461" i="2" l="1"/>
  <c r="AU461" i="2" s="1"/>
  <c r="AV461" i="2" s="1"/>
  <c r="AS462" i="2"/>
  <c r="AR462" i="2"/>
  <c r="AQ463" i="2"/>
  <c r="AT462" i="2" l="1"/>
  <c r="AU462" i="2" s="1"/>
  <c r="AV462" i="2" s="1"/>
  <c r="AR463" i="2"/>
  <c r="AQ464" i="2"/>
  <c r="AS463" i="2"/>
  <c r="AT463" i="2" s="1"/>
  <c r="AU463" i="2" s="1"/>
  <c r="AV463" i="2" s="1"/>
  <c r="AS464" i="2" l="1"/>
  <c r="AQ465" i="2"/>
  <c r="AR464" i="2"/>
  <c r="AT464" i="2" l="1"/>
  <c r="AU464" i="2" s="1"/>
  <c r="AV464" i="2" s="1"/>
  <c r="AQ466" i="2"/>
  <c r="AR465" i="2"/>
  <c r="AS465" i="2"/>
  <c r="AT465" i="2" l="1"/>
  <c r="AU465" i="2" s="1"/>
  <c r="AV465" i="2" s="1"/>
  <c r="AQ467" i="2"/>
  <c r="AR466" i="2"/>
  <c r="AS466" i="2"/>
  <c r="AT466" i="2" l="1"/>
  <c r="AU466" i="2" s="1"/>
  <c r="AV466" i="2" s="1"/>
  <c r="AS467" i="2"/>
  <c r="AQ468" i="2"/>
  <c r="AR467" i="2"/>
  <c r="AT467" i="2" l="1"/>
  <c r="AU467" i="2" s="1"/>
  <c r="AV467" i="2" s="1"/>
  <c r="AR468" i="2"/>
  <c r="AQ469" i="2"/>
  <c r="AS468" i="2"/>
  <c r="AT468" i="2" l="1"/>
  <c r="AU468" i="2" s="1"/>
  <c r="AV468" i="2" s="1"/>
  <c r="AS469" i="2"/>
  <c r="AR469" i="2"/>
  <c r="AQ470" i="2"/>
  <c r="AT469" i="2" l="1"/>
  <c r="AU469" i="2" s="1"/>
  <c r="AV469" i="2" s="1"/>
  <c r="AS470" i="2"/>
  <c r="AR470" i="2"/>
  <c r="AQ471" i="2"/>
  <c r="AT470" i="2" l="1"/>
  <c r="AU470" i="2" s="1"/>
  <c r="AV470" i="2" s="1"/>
  <c r="AS471" i="2"/>
  <c r="AR471" i="2"/>
  <c r="AQ472" i="2"/>
  <c r="AR472" i="2" l="1"/>
  <c r="AQ473" i="2"/>
  <c r="AS472" i="2"/>
  <c r="AT472" i="2" s="1"/>
  <c r="AU472" i="2" s="1"/>
  <c r="AV472" i="2" s="1"/>
  <c r="AT471" i="2"/>
  <c r="AU471" i="2" s="1"/>
  <c r="AV471" i="2" s="1"/>
  <c r="AS473" i="2" l="1"/>
  <c r="AQ474" i="2"/>
  <c r="AR473" i="2"/>
  <c r="AT473" i="2" l="1"/>
  <c r="AU473" i="2" s="1"/>
  <c r="AV473" i="2" s="1"/>
  <c r="AS474" i="2"/>
  <c r="AR474" i="2"/>
  <c r="AQ475" i="2"/>
  <c r="AT474" i="2" l="1"/>
  <c r="AU474" i="2" s="1"/>
  <c r="AV474" i="2" s="1"/>
  <c r="AR475" i="2"/>
  <c r="AS475" i="2"/>
  <c r="AT475" i="2" s="1"/>
  <c r="AU475" i="2" s="1"/>
  <c r="AV475" i="2" s="1"/>
  <c r="AQ476" i="2"/>
  <c r="AS476" i="2" l="1"/>
  <c r="AR476" i="2"/>
  <c r="AQ477" i="2"/>
  <c r="AT476" i="2" l="1"/>
  <c r="AU476" i="2" s="1"/>
  <c r="AV476" i="2" s="1"/>
  <c r="AQ478" i="2"/>
  <c r="AS477" i="2"/>
  <c r="AR477" i="2"/>
  <c r="AT477" i="2" l="1"/>
  <c r="AU477" i="2" s="1"/>
  <c r="AV477" i="2" s="1"/>
  <c r="AQ479" i="2"/>
  <c r="AR478" i="2"/>
  <c r="AS478" i="2"/>
  <c r="AT478" i="2" l="1"/>
  <c r="AU478" i="2" s="1"/>
  <c r="AV478" i="2" s="1"/>
  <c r="AR479" i="2"/>
  <c r="AS479" i="2"/>
  <c r="AQ480" i="2"/>
  <c r="AR480" i="2" l="1"/>
  <c r="AS480" i="2"/>
  <c r="AQ481" i="2"/>
  <c r="AT479" i="2"/>
  <c r="AU479" i="2" s="1"/>
  <c r="AV479" i="2" s="1"/>
  <c r="AT480" i="2" l="1"/>
  <c r="AU480" i="2" s="1"/>
  <c r="AV480" i="2" s="1"/>
  <c r="AS481" i="2"/>
  <c r="AQ482" i="2"/>
  <c r="AR481" i="2"/>
  <c r="AT481" i="2" l="1"/>
  <c r="AU481" i="2" s="1"/>
  <c r="AV481" i="2" s="1"/>
  <c r="AQ483" i="2"/>
  <c r="AR482" i="2"/>
  <c r="AS482" i="2"/>
  <c r="AT482" i="2" l="1"/>
  <c r="AU482" i="2" s="1"/>
  <c r="AV482" i="2" s="1"/>
  <c r="AS483" i="2"/>
  <c r="AR483" i="2"/>
  <c r="AQ484" i="2"/>
  <c r="AT483" i="2" l="1"/>
  <c r="AU483" i="2" s="1"/>
  <c r="AV483" i="2" s="1"/>
  <c r="AS484" i="2"/>
  <c r="AQ485" i="2"/>
  <c r="AR484" i="2"/>
  <c r="AT484" i="2" l="1"/>
  <c r="AU484" i="2" s="1"/>
  <c r="AV484" i="2" s="1"/>
  <c r="AS485" i="2"/>
  <c r="AR485" i="2"/>
  <c r="AQ486" i="2"/>
  <c r="AT485" i="2" l="1"/>
  <c r="AU485" i="2" s="1"/>
  <c r="AV485" i="2" s="1"/>
  <c r="AR486" i="2"/>
  <c r="AS486" i="2"/>
  <c r="AQ487" i="2"/>
  <c r="AR487" i="2" l="1"/>
  <c r="AS487" i="2"/>
  <c r="AT487" i="2" s="1"/>
  <c r="AU487" i="2" s="1"/>
  <c r="AV487" i="2" s="1"/>
  <c r="AQ488" i="2"/>
  <c r="AT486" i="2"/>
  <c r="AU486" i="2" s="1"/>
  <c r="AV486" i="2" s="1"/>
  <c r="AQ489" i="2" l="1"/>
  <c r="AR488" i="2"/>
  <c r="AS488" i="2"/>
  <c r="AT488" i="2" l="1"/>
  <c r="AU488" i="2" s="1"/>
  <c r="AV488" i="2" s="1"/>
  <c r="AQ490" i="2"/>
  <c r="AS489" i="2"/>
  <c r="AR489" i="2"/>
  <c r="AT489" i="2" l="1"/>
  <c r="AU489" i="2" s="1"/>
  <c r="AV489" i="2" s="1"/>
  <c r="AQ491" i="2"/>
  <c r="AS490" i="2"/>
  <c r="AR490" i="2"/>
  <c r="AT490" i="2" l="1"/>
  <c r="AU490" i="2" s="1"/>
  <c r="AV490" i="2" s="1"/>
  <c r="AS491" i="2"/>
  <c r="AQ492" i="2"/>
  <c r="AR491" i="2"/>
  <c r="AT491" i="2" l="1"/>
  <c r="AU491" i="2" s="1"/>
  <c r="AV491" i="2" s="1"/>
  <c r="AR492" i="2"/>
  <c r="AS492" i="2"/>
  <c r="AQ493" i="2"/>
  <c r="AR493" i="2" l="1"/>
  <c r="AS493" i="2"/>
  <c r="AQ494" i="2"/>
  <c r="AT492" i="2"/>
  <c r="AU492" i="2" s="1"/>
  <c r="AV492" i="2" s="1"/>
  <c r="AQ495" i="2" l="1"/>
  <c r="AS494" i="2"/>
  <c r="AR494" i="2"/>
  <c r="AT493" i="2"/>
  <c r="AU493" i="2" s="1"/>
  <c r="AV493" i="2" s="1"/>
  <c r="AT494" i="2" l="1"/>
  <c r="AU494" i="2" s="1"/>
  <c r="AV494" i="2" s="1"/>
  <c r="AS495" i="2"/>
  <c r="AR495" i="2"/>
  <c r="AQ496" i="2"/>
  <c r="AT495" i="2" l="1"/>
  <c r="AU495" i="2" s="1"/>
  <c r="AV495" i="2" s="1"/>
  <c r="AR496" i="2"/>
  <c r="AQ497" i="2"/>
  <c r="AS496" i="2"/>
  <c r="AT496" i="2" s="1"/>
  <c r="AU496" i="2" s="1"/>
  <c r="AV496" i="2" s="1"/>
  <c r="AQ498" i="2" l="1"/>
  <c r="AR497" i="2"/>
  <c r="AS497" i="2"/>
  <c r="AT497" i="2" l="1"/>
  <c r="AU497" i="2" s="1"/>
  <c r="AV497" i="2" s="1"/>
  <c r="AS498" i="2"/>
  <c r="AR498" i="2"/>
  <c r="AQ499" i="2"/>
  <c r="AT498" i="2" l="1"/>
  <c r="AU498" i="2" s="1"/>
  <c r="AV498" i="2" s="1"/>
  <c r="AQ500" i="2"/>
  <c r="AR499" i="2"/>
  <c r="AS499" i="2"/>
  <c r="AT499" i="2" l="1"/>
  <c r="AU499" i="2" s="1"/>
  <c r="AV499" i="2" s="1"/>
  <c r="AS500" i="2"/>
  <c r="AR500" i="2"/>
  <c r="AQ501" i="2"/>
  <c r="AT500" i="2" l="1"/>
  <c r="AU500" i="2" s="1"/>
  <c r="AV500" i="2" s="1"/>
  <c r="AQ502" i="2"/>
  <c r="AR501" i="2"/>
  <c r="AS501" i="2"/>
  <c r="AT501" i="2" l="1"/>
  <c r="AU501" i="2" s="1"/>
  <c r="AV501" i="2" s="1"/>
  <c r="AR502" i="2"/>
  <c r="AQ503" i="2"/>
  <c r="AS502" i="2"/>
  <c r="AT502" i="2" s="1"/>
  <c r="AU502" i="2" s="1"/>
  <c r="AV502" i="2" s="1"/>
  <c r="AR503" i="2" l="1"/>
  <c r="AS503" i="2"/>
  <c r="AT503" i="2" s="1"/>
  <c r="AU503" i="2" s="1"/>
  <c r="AV503" i="2" s="1"/>
  <c r="AQ504" i="2"/>
  <c r="AR504" i="2" l="1"/>
  <c r="AS504" i="2"/>
  <c r="AT504" i="2" s="1"/>
  <c r="AU504" i="2" s="1"/>
  <c r="AV504" i="2" s="1"/>
  <c r="AQ505" i="2"/>
  <c r="AS505" i="2" l="1"/>
  <c r="AQ506" i="2"/>
  <c r="AR505" i="2"/>
  <c r="AQ507" i="2" l="1"/>
  <c r="AR506" i="2"/>
  <c r="AS506" i="2"/>
  <c r="AT505" i="2"/>
  <c r="AU505" i="2" s="1"/>
  <c r="AV505" i="2" s="1"/>
  <c r="AT506" i="2" l="1"/>
  <c r="AU506" i="2" s="1"/>
  <c r="AV506" i="2" s="1"/>
  <c r="AR507" i="2"/>
  <c r="AQ508" i="2"/>
  <c r="AS507" i="2"/>
  <c r="AT507" i="2" s="1"/>
  <c r="AU507" i="2" s="1"/>
  <c r="AV507" i="2" s="1"/>
  <c r="AS508" i="2" l="1"/>
  <c r="AQ509" i="2"/>
  <c r="AR508" i="2"/>
  <c r="AT508" i="2" l="1"/>
  <c r="AU508" i="2" s="1"/>
  <c r="AV508" i="2" s="1"/>
  <c r="AQ510" i="2"/>
  <c r="AR509" i="2"/>
  <c r="AS509" i="2"/>
  <c r="AT509" i="2" l="1"/>
  <c r="AU509" i="2" s="1"/>
  <c r="AV509" i="2" s="1"/>
  <c r="AQ511" i="2"/>
  <c r="AR510" i="2"/>
  <c r="AS510" i="2"/>
  <c r="AT510" i="2" l="1"/>
  <c r="AU510" i="2" s="1"/>
  <c r="AV510" i="2" s="1"/>
  <c r="AR511" i="2"/>
  <c r="AS511" i="2"/>
  <c r="AT511" i="2" s="1"/>
  <c r="AU511" i="2" s="1"/>
  <c r="AV511" i="2" s="1"/>
  <c r="AQ512" i="2"/>
  <c r="AQ513" i="2" l="1"/>
  <c r="AS512" i="2"/>
  <c r="AR512" i="2"/>
  <c r="AT512" i="2" l="1"/>
  <c r="AU512" i="2" s="1"/>
  <c r="AV512" i="2" s="1"/>
  <c r="AR513" i="2"/>
  <c r="AQ514" i="2"/>
  <c r="AS513" i="2"/>
  <c r="AT513" i="2" s="1"/>
  <c r="AU513" i="2" s="1"/>
  <c r="AV513" i="2" s="1"/>
  <c r="AR514" i="2" l="1"/>
  <c r="AQ515" i="2"/>
  <c r="AS514" i="2"/>
  <c r="AT514" i="2" l="1"/>
  <c r="AU514" i="2" s="1"/>
  <c r="AV514" i="2" s="1"/>
  <c r="AS515" i="2"/>
  <c r="AQ516" i="2"/>
  <c r="AR515" i="2"/>
  <c r="AT515" i="2" s="1"/>
  <c r="AU515" i="2" s="1"/>
  <c r="AV515" i="2" s="1"/>
  <c r="AR516" i="2" l="1"/>
  <c r="AS516" i="2"/>
  <c r="AQ517" i="2"/>
  <c r="AT516" i="2" l="1"/>
  <c r="AU516" i="2" s="1"/>
  <c r="AV516" i="2" s="1"/>
  <c r="AQ518" i="2"/>
  <c r="AS517" i="2"/>
  <c r="AR517" i="2"/>
  <c r="AT517" i="2" l="1"/>
  <c r="AU517" i="2" s="1"/>
  <c r="AV517" i="2" s="1"/>
  <c r="AR518" i="2"/>
  <c r="AS518" i="2"/>
  <c r="AQ519" i="2"/>
  <c r="AT518" i="2" l="1"/>
  <c r="AU518" i="2" s="1"/>
  <c r="AV518" i="2" s="1"/>
  <c r="AS519" i="2"/>
  <c r="AQ520" i="2"/>
  <c r="AR519" i="2"/>
  <c r="AT519" i="2" l="1"/>
  <c r="AU519" i="2" s="1"/>
  <c r="AV519" i="2" s="1"/>
  <c r="AR520" i="2"/>
  <c r="AS520" i="2"/>
  <c r="AT520" i="2" s="1"/>
  <c r="AU520" i="2" s="1"/>
  <c r="AV520" i="2" s="1"/>
  <c r="AQ521" i="2"/>
  <c r="AR521" i="2" l="1"/>
  <c r="AS521" i="2"/>
  <c r="AQ522" i="2"/>
  <c r="AR522" i="2" l="1"/>
  <c r="AQ523" i="2"/>
  <c r="AS522" i="2"/>
  <c r="AT522" i="2" s="1"/>
  <c r="AU522" i="2" s="1"/>
  <c r="AV522" i="2" s="1"/>
  <c r="AT521" i="2"/>
  <c r="AU521" i="2" s="1"/>
  <c r="AV521" i="2" s="1"/>
  <c r="AS523" i="2" l="1"/>
  <c r="AR523" i="2"/>
  <c r="AQ524" i="2"/>
  <c r="AT523" i="2" l="1"/>
  <c r="AU523" i="2" s="1"/>
  <c r="AV523" i="2" s="1"/>
  <c r="AR524" i="2"/>
  <c r="AQ525" i="2"/>
  <c r="AS524" i="2"/>
  <c r="AT524" i="2" s="1"/>
  <c r="AU524" i="2" s="1"/>
  <c r="AV524" i="2" s="1"/>
  <c r="AR525" i="2" l="1"/>
  <c r="AS525" i="2"/>
  <c r="AT525" i="2" s="1"/>
  <c r="AU525" i="2" s="1"/>
  <c r="AV525" i="2" s="1"/>
  <c r="AQ526" i="2"/>
  <c r="AS526" i="2" l="1"/>
  <c r="AQ527" i="2"/>
  <c r="AR526" i="2"/>
  <c r="AT526" i="2" l="1"/>
  <c r="AU526" i="2" s="1"/>
  <c r="AV526" i="2" s="1"/>
  <c r="AS527" i="2"/>
  <c r="AR527" i="2"/>
  <c r="AQ528" i="2"/>
  <c r="AT527" i="2" l="1"/>
  <c r="AU527" i="2" s="1"/>
  <c r="AV527" i="2" s="1"/>
  <c r="AR528" i="2"/>
  <c r="AQ529" i="2"/>
  <c r="AS528" i="2"/>
  <c r="AT528" i="2" s="1"/>
  <c r="AU528" i="2" s="1"/>
  <c r="AV528" i="2" s="1"/>
  <c r="AS529" i="2" l="1"/>
  <c r="AR529" i="2"/>
  <c r="AQ530" i="2"/>
  <c r="AQ531" i="2" l="1"/>
  <c r="AR530" i="2"/>
  <c r="AS530" i="2"/>
  <c r="AT530" i="2" s="1"/>
  <c r="AU530" i="2" s="1"/>
  <c r="AV530" i="2" s="1"/>
  <c r="AT529" i="2"/>
  <c r="AU529" i="2" s="1"/>
  <c r="AV529" i="2" s="1"/>
  <c r="AR531" i="2" l="1"/>
  <c r="AS531" i="2"/>
  <c r="AQ532" i="2"/>
  <c r="AT531" i="2" l="1"/>
  <c r="AU531" i="2" s="1"/>
  <c r="AV531" i="2" s="1"/>
  <c r="AS532" i="2"/>
  <c r="AR532" i="2"/>
  <c r="AQ533" i="2"/>
  <c r="AT532" i="2" l="1"/>
  <c r="AU532" i="2" s="1"/>
  <c r="AV532" i="2" s="1"/>
  <c r="AQ534" i="2"/>
  <c r="AR533" i="2"/>
  <c r="AS533" i="2"/>
  <c r="AT533" i="2" l="1"/>
  <c r="AU533" i="2" s="1"/>
  <c r="AV533" i="2" s="1"/>
  <c r="AR534" i="2"/>
  <c r="AQ535" i="2"/>
  <c r="AS534" i="2"/>
  <c r="AT534" i="2" s="1"/>
  <c r="AU534" i="2" s="1"/>
  <c r="AV534" i="2" s="1"/>
  <c r="AQ536" i="2" l="1"/>
  <c r="AR535" i="2"/>
  <c r="AS535" i="2"/>
  <c r="AT535" i="2" l="1"/>
  <c r="AU535" i="2" s="1"/>
  <c r="AV535" i="2" s="1"/>
  <c r="AS536" i="2"/>
  <c r="AR536" i="2"/>
  <c r="AQ537" i="2"/>
  <c r="AT536" i="2" l="1"/>
  <c r="AU536" i="2" s="1"/>
  <c r="AV536" i="2" s="1"/>
  <c r="AS537" i="2"/>
  <c r="AR537" i="2"/>
  <c r="AQ538" i="2"/>
  <c r="AQ539" i="2" l="1"/>
  <c r="AR538" i="2"/>
  <c r="AS538" i="2"/>
  <c r="AT538" i="2" s="1"/>
  <c r="AU538" i="2" s="1"/>
  <c r="AV538" i="2" s="1"/>
  <c r="AT537" i="2"/>
  <c r="AU537" i="2" s="1"/>
  <c r="AV537" i="2" s="1"/>
  <c r="AS539" i="2" l="1"/>
  <c r="AR539" i="2"/>
  <c r="AQ540" i="2"/>
  <c r="AT539" i="2" l="1"/>
  <c r="AU539" i="2" s="1"/>
  <c r="AV539" i="2" s="1"/>
  <c r="AR540" i="2"/>
  <c r="AQ541" i="2"/>
  <c r="AS540" i="2"/>
  <c r="AT540" i="2" s="1"/>
  <c r="AU540" i="2" s="1"/>
  <c r="AV540" i="2" s="1"/>
  <c r="AR541" i="2" l="1"/>
  <c r="AS541" i="2"/>
  <c r="AT541" i="2" s="1"/>
  <c r="AU541" i="2" s="1"/>
  <c r="AV541" i="2" s="1"/>
  <c r="AQ542" i="2"/>
  <c r="AS542" i="2" l="1"/>
  <c r="AQ543" i="2"/>
  <c r="AR542" i="2"/>
  <c r="AT542" i="2" l="1"/>
  <c r="AU542" i="2" s="1"/>
  <c r="AV542" i="2" s="1"/>
  <c r="AQ544" i="2"/>
  <c r="AS543" i="2"/>
  <c r="AR543" i="2"/>
  <c r="AT543" i="2" l="1"/>
  <c r="AU543" i="2" s="1"/>
  <c r="AV543" i="2" s="1"/>
  <c r="AQ545" i="2"/>
  <c r="AR544" i="2"/>
  <c r="AS544" i="2"/>
  <c r="AT544" i="2" l="1"/>
  <c r="AU544" i="2" s="1"/>
  <c r="AV544" i="2" s="1"/>
  <c r="AQ546" i="2"/>
  <c r="AR545" i="2"/>
  <c r="AS545" i="2"/>
  <c r="AT545" i="2" s="1"/>
  <c r="AU545" i="2" s="1"/>
  <c r="AV545" i="2" s="1"/>
  <c r="AR546" i="2" l="1"/>
  <c r="AS546" i="2"/>
  <c r="AT546" i="2" s="1"/>
  <c r="AU546" i="2" s="1"/>
  <c r="AV546" i="2" s="1"/>
  <c r="AQ547" i="2"/>
  <c r="AR547" i="2" l="1"/>
  <c r="AS547" i="2"/>
  <c r="AT547" i="2" s="1"/>
  <c r="AU547" i="2" s="1"/>
  <c r="AV547" i="2" s="1"/>
  <c r="AQ548" i="2"/>
  <c r="AS548" i="2" l="1"/>
  <c r="AQ549" i="2"/>
  <c r="AR548" i="2"/>
  <c r="AT548" i="2" l="1"/>
  <c r="AU548" i="2" s="1"/>
  <c r="AV548" i="2" s="1"/>
  <c r="AQ550" i="2"/>
  <c r="AS549" i="2"/>
  <c r="AR549" i="2"/>
  <c r="AT549" i="2" l="1"/>
  <c r="AU549" i="2" s="1"/>
  <c r="AV549" i="2" s="1"/>
  <c r="AS550" i="2"/>
  <c r="AR550" i="2"/>
  <c r="AQ551" i="2"/>
  <c r="AT550" i="2" l="1"/>
  <c r="AU550" i="2" s="1"/>
  <c r="AV550" i="2" s="1"/>
  <c r="AQ552" i="2"/>
  <c r="AS551" i="2"/>
  <c r="AR551" i="2"/>
  <c r="AT551" i="2" l="1"/>
  <c r="AU551" i="2" s="1"/>
  <c r="AV551" i="2" s="1"/>
  <c r="AQ553" i="2"/>
  <c r="AS552" i="2"/>
  <c r="AR552" i="2"/>
  <c r="AT552" i="2" l="1"/>
  <c r="AU552" i="2" s="1"/>
  <c r="AV552" i="2" s="1"/>
  <c r="AR553" i="2"/>
  <c r="AQ554" i="2"/>
  <c r="AS553" i="2"/>
  <c r="AT553" i="2" l="1"/>
  <c r="AU553" i="2" s="1"/>
  <c r="AV553" i="2" s="1"/>
  <c r="AS554" i="2"/>
  <c r="AQ555" i="2"/>
  <c r="AR554" i="2"/>
  <c r="AT554" i="2" l="1"/>
  <c r="AU554" i="2" s="1"/>
  <c r="AV554" i="2" s="1"/>
  <c r="AR555" i="2"/>
  <c r="AS555" i="2"/>
  <c r="AQ556" i="2"/>
  <c r="AT555" i="2" l="1"/>
  <c r="AU555" i="2" s="1"/>
  <c r="AV555" i="2" s="1"/>
  <c r="AS556" i="2"/>
  <c r="AR556" i="2"/>
  <c r="AQ557" i="2"/>
  <c r="AT556" i="2" l="1"/>
  <c r="AU556" i="2" s="1"/>
  <c r="AV556" i="2" s="1"/>
  <c r="AQ558" i="2"/>
  <c r="AR557" i="2"/>
  <c r="AS557" i="2"/>
  <c r="AT557" i="2" s="1"/>
  <c r="AU557" i="2" s="1"/>
  <c r="AV557" i="2" s="1"/>
  <c r="AQ559" i="2" l="1"/>
  <c r="AS558" i="2"/>
  <c r="AR558" i="2"/>
  <c r="AT558" i="2" l="1"/>
  <c r="AU558" i="2" s="1"/>
  <c r="AV558" i="2" s="1"/>
  <c r="AQ560" i="2"/>
  <c r="AS559" i="2"/>
  <c r="AR559" i="2"/>
  <c r="AT559" i="2" l="1"/>
  <c r="AU559" i="2" s="1"/>
  <c r="AV559" i="2" s="1"/>
  <c r="AQ561" i="2"/>
  <c r="AS560" i="2"/>
  <c r="AR560" i="2"/>
  <c r="AT560" i="2" l="1"/>
  <c r="AU560" i="2" s="1"/>
  <c r="AV560" i="2" s="1"/>
  <c r="AS561" i="2"/>
  <c r="AR561" i="2"/>
  <c r="AQ562" i="2"/>
  <c r="AT561" i="2" l="1"/>
  <c r="AU561" i="2" s="1"/>
  <c r="AV561" i="2" s="1"/>
  <c r="AQ563" i="2"/>
  <c r="AR562" i="2"/>
  <c r="AS562" i="2"/>
  <c r="AT562" i="2" l="1"/>
  <c r="AU562" i="2" s="1"/>
  <c r="AV562" i="2" s="1"/>
  <c r="AR563" i="2"/>
  <c r="AQ564" i="2"/>
  <c r="AS563" i="2"/>
  <c r="AT563" i="2" s="1"/>
  <c r="AU563" i="2" s="1"/>
  <c r="AV563" i="2" s="1"/>
  <c r="AQ565" i="2" l="1"/>
  <c r="AR564" i="2"/>
  <c r="AS564" i="2"/>
  <c r="AT564" i="2" s="1"/>
  <c r="AU564" i="2" s="1"/>
  <c r="AV564" i="2" s="1"/>
  <c r="AS565" i="2" l="1"/>
  <c r="AR565" i="2"/>
  <c r="AQ566" i="2"/>
  <c r="AT565" i="2" l="1"/>
  <c r="AU565" i="2" s="1"/>
  <c r="AV565" i="2" s="1"/>
  <c r="AQ567" i="2"/>
  <c r="AS566" i="2"/>
  <c r="AR566" i="2"/>
  <c r="AT566" i="2" l="1"/>
  <c r="AU566" i="2" s="1"/>
  <c r="AV566" i="2" s="1"/>
  <c r="AR567" i="2"/>
  <c r="AS567" i="2"/>
  <c r="AT567" i="2" s="1"/>
  <c r="AU567" i="2" s="1"/>
  <c r="AV567" i="2" s="1"/>
  <c r="AQ568" i="2"/>
  <c r="AR568" i="2" l="1"/>
  <c r="AQ569" i="2"/>
  <c r="AS568" i="2"/>
  <c r="AT568" i="2" s="1"/>
  <c r="AU568" i="2" s="1"/>
  <c r="AV568" i="2" s="1"/>
  <c r="AS569" i="2" l="1"/>
  <c r="AR569" i="2"/>
  <c r="AQ570" i="2"/>
  <c r="AT569" i="2" l="1"/>
  <c r="AU569" i="2" s="1"/>
  <c r="AV569" i="2" s="1"/>
  <c r="AR570" i="2"/>
  <c r="AS570" i="2"/>
  <c r="AQ571" i="2"/>
  <c r="AT570" i="2" l="1"/>
  <c r="AU570" i="2" s="1"/>
  <c r="AV570" i="2" s="1"/>
  <c r="AQ572" i="2"/>
  <c r="AR571" i="2"/>
  <c r="AS571" i="2"/>
  <c r="AT571" i="2" s="1"/>
  <c r="AU571" i="2" s="1"/>
  <c r="AV571" i="2" s="1"/>
  <c r="AS572" i="2" l="1"/>
  <c r="AQ573" i="2"/>
  <c r="AR572" i="2"/>
  <c r="AT572" i="2" l="1"/>
  <c r="AU572" i="2" s="1"/>
  <c r="AV572" i="2" s="1"/>
  <c r="AQ574" i="2"/>
  <c r="AS573" i="2"/>
  <c r="AR573" i="2"/>
  <c r="AT573" i="2" l="1"/>
  <c r="AU573" i="2" s="1"/>
  <c r="AV573" i="2" s="1"/>
  <c r="AQ575" i="2"/>
  <c r="AR574" i="2"/>
  <c r="AS574" i="2"/>
  <c r="AT574" i="2" s="1"/>
  <c r="AU574" i="2" s="1"/>
  <c r="AV574" i="2" s="1"/>
  <c r="AR575" i="2" l="1"/>
  <c r="AS575" i="2"/>
  <c r="AQ576" i="2"/>
  <c r="AT575" i="2" l="1"/>
  <c r="AU575" i="2" s="1"/>
  <c r="AV575" i="2" s="1"/>
  <c r="AQ577" i="2"/>
  <c r="AR576" i="2"/>
  <c r="AS576" i="2"/>
  <c r="AT576" i="2" s="1"/>
  <c r="AU576" i="2" s="1"/>
  <c r="AV576" i="2" s="1"/>
  <c r="AS577" i="2" l="1"/>
  <c r="AR577" i="2"/>
  <c r="AQ578" i="2"/>
  <c r="AS578" i="2" l="1"/>
  <c r="AQ579" i="2"/>
  <c r="AR578" i="2"/>
  <c r="AT577" i="2"/>
  <c r="AU577" i="2" s="1"/>
  <c r="AV577" i="2" s="1"/>
  <c r="AT578" i="2" l="1"/>
  <c r="AU578" i="2" s="1"/>
  <c r="AV578" i="2" s="1"/>
  <c r="AS579" i="2"/>
  <c r="AQ580" i="2"/>
  <c r="AR579" i="2"/>
  <c r="AT579" i="2" l="1"/>
  <c r="AU579" i="2" s="1"/>
  <c r="AV579" i="2" s="1"/>
  <c r="AR580" i="2"/>
  <c r="AS580" i="2"/>
  <c r="AT580" i="2" s="1"/>
  <c r="AU580" i="2" s="1"/>
  <c r="AV580" i="2" s="1"/>
  <c r="AQ581" i="2"/>
  <c r="AQ582" i="2" l="1"/>
  <c r="AS581" i="2"/>
  <c r="AR581" i="2"/>
  <c r="AT581" i="2" l="1"/>
  <c r="AU581" i="2" s="1"/>
  <c r="AV581" i="2" s="1"/>
  <c r="AR582" i="2"/>
  <c r="AQ583" i="2"/>
  <c r="AS582" i="2"/>
  <c r="AS583" i="2" l="1"/>
  <c r="AR583" i="2"/>
  <c r="AQ584" i="2"/>
  <c r="AT582" i="2"/>
  <c r="AU582" i="2" s="1"/>
  <c r="AV582" i="2" s="1"/>
  <c r="AT583" i="2" l="1"/>
  <c r="AU583" i="2" s="1"/>
  <c r="AV583" i="2" s="1"/>
  <c r="AS584" i="2"/>
  <c r="AR584" i="2"/>
  <c r="AQ585" i="2"/>
  <c r="AT584" i="2" l="1"/>
  <c r="AU584" i="2" s="1"/>
  <c r="AV584" i="2" s="1"/>
  <c r="AQ586" i="2"/>
  <c r="AS585" i="2"/>
  <c r="AR585" i="2"/>
  <c r="AT585" i="2" l="1"/>
  <c r="AU585" i="2" s="1"/>
  <c r="AV585" i="2" s="1"/>
  <c r="AR586" i="2"/>
  <c r="AQ587" i="2"/>
  <c r="AS586" i="2"/>
  <c r="AT586" i="2" s="1"/>
  <c r="AU586" i="2" s="1"/>
  <c r="AV586" i="2" s="1"/>
  <c r="AS587" i="2" l="1"/>
  <c r="AR587" i="2"/>
  <c r="AQ588" i="2"/>
  <c r="AT587" i="2" l="1"/>
  <c r="AU587" i="2" s="1"/>
  <c r="AV587" i="2" s="1"/>
  <c r="AS588" i="2"/>
  <c r="AR588" i="2"/>
  <c r="AQ589" i="2"/>
  <c r="AT588" i="2" l="1"/>
  <c r="AU588" i="2" s="1"/>
  <c r="AV588" i="2" s="1"/>
  <c r="AR589" i="2"/>
  <c r="AS589" i="2"/>
  <c r="AQ590" i="2"/>
  <c r="AT589" i="2" l="1"/>
  <c r="AU589" i="2" s="1"/>
  <c r="AV589" i="2" s="1"/>
  <c r="AQ591" i="2"/>
  <c r="AS590" i="2"/>
  <c r="AR590" i="2"/>
  <c r="AT590" i="2" l="1"/>
  <c r="AU590" i="2" s="1"/>
  <c r="AV590" i="2" s="1"/>
  <c r="AR591" i="2"/>
  <c r="AQ592" i="2"/>
  <c r="AS591" i="2"/>
  <c r="AT591" i="2" s="1"/>
  <c r="AU591" i="2" s="1"/>
  <c r="AV591" i="2" s="1"/>
  <c r="AS592" i="2" l="1"/>
  <c r="AR592" i="2"/>
  <c r="AQ593" i="2"/>
  <c r="AT592" i="2" l="1"/>
  <c r="AU592" i="2" s="1"/>
  <c r="AV592" i="2" s="1"/>
  <c r="AS593" i="2"/>
  <c r="AR593" i="2"/>
  <c r="AQ594" i="2"/>
  <c r="AT593" i="2" l="1"/>
  <c r="AU593" i="2" s="1"/>
  <c r="AV593" i="2" s="1"/>
  <c r="AR594" i="2"/>
  <c r="AQ595" i="2"/>
  <c r="AS594" i="2"/>
  <c r="AT594" i="2" s="1"/>
  <c r="AU594" i="2" s="1"/>
  <c r="AV594" i="2" s="1"/>
  <c r="AR595" i="2" l="1"/>
  <c r="AS595" i="2"/>
  <c r="AT595" i="2" s="1"/>
  <c r="AU595" i="2" s="1"/>
  <c r="AV595" i="2" s="1"/>
  <c r="AQ596" i="2"/>
  <c r="AQ597" i="2" l="1"/>
  <c r="AR596" i="2"/>
  <c r="AS596" i="2"/>
  <c r="AT596" i="2" l="1"/>
  <c r="AU596" i="2" s="1"/>
  <c r="AV596" i="2" s="1"/>
  <c r="AQ598" i="2"/>
  <c r="AS597" i="2"/>
  <c r="AR597" i="2"/>
  <c r="AT597" i="2" l="1"/>
  <c r="AU597" i="2" s="1"/>
  <c r="AV597" i="2" s="1"/>
  <c r="AQ599" i="2"/>
  <c r="AS598" i="2"/>
  <c r="AR598" i="2"/>
  <c r="AT598" i="2" l="1"/>
  <c r="AU598" i="2" s="1"/>
  <c r="AV598" i="2" s="1"/>
  <c r="AR599" i="2"/>
  <c r="AS599" i="2"/>
  <c r="AT599" i="2" s="1"/>
  <c r="AU599" i="2" s="1"/>
  <c r="AV599" i="2" s="1"/>
  <c r="AQ600" i="2"/>
  <c r="AQ601" i="2" l="1"/>
  <c r="AR600" i="2"/>
  <c r="AS600" i="2"/>
  <c r="AT600" i="2" l="1"/>
  <c r="AU600" i="2" s="1"/>
  <c r="AV600" i="2" s="1"/>
  <c r="AQ602" i="2"/>
  <c r="AR601" i="2"/>
  <c r="AS601" i="2"/>
  <c r="AT601" i="2" l="1"/>
  <c r="AU601" i="2" s="1"/>
  <c r="AV601" i="2" s="1"/>
  <c r="AQ603" i="2"/>
  <c r="AR602" i="2"/>
  <c r="AS602" i="2"/>
  <c r="AT602" i="2" l="1"/>
  <c r="AU602" i="2" s="1"/>
  <c r="AV602" i="2" s="1"/>
  <c r="AR603" i="2"/>
  <c r="AQ604" i="2"/>
  <c r="AS603" i="2"/>
  <c r="AQ605" i="2" l="1"/>
  <c r="AR604" i="2"/>
  <c r="AS604" i="2"/>
  <c r="AT604" i="2" s="1"/>
  <c r="AU604" i="2" s="1"/>
  <c r="AV604" i="2" s="1"/>
  <c r="AT603" i="2"/>
  <c r="AU603" i="2" s="1"/>
  <c r="AV603" i="2" s="1"/>
  <c r="AS605" i="2" l="1"/>
  <c r="AR605" i="2"/>
  <c r="AQ606" i="2"/>
  <c r="AT605" i="2" l="1"/>
  <c r="AU605" i="2" s="1"/>
  <c r="AV605" i="2" s="1"/>
  <c r="AR606" i="2"/>
  <c r="AS606" i="2"/>
  <c r="AT606" i="2" s="1"/>
  <c r="AU606" i="2" s="1"/>
  <c r="AV606" i="2" s="1"/>
  <c r="AQ607" i="2"/>
  <c r="AS607" i="2" l="1"/>
  <c r="AR607" i="2"/>
  <c r="AQ608" i="2"/>
  <c r="AT607" i="2" l="1"/>
  <c r="AU607" i="2" s="1"/>
  <c r="AV607" i="2" s="1"/>
  <c r="AR608" i="2"/>
  <c r="AS608" i="2"/>
  <c r="AT608" i="2" s="1"/>
  <c r="AU608" i="2" s="1"/>
  <c r="AV608" i="2" s="1"/>
  <c r="AQ609" i="2"/>
  <c r="AQ610" i="2" l="1"/>
  <c r="AS609" i="2"/>
  <c r="AR609" i="2"/>
  <c r="AT609" i="2" l="1"/>
  <c r="AU609" i="2" s="1"/>
  <c r="AV609" i="2" s="1"/>
  <c r="AR610" i="2"/>
  <c r="AS610" i="2"/>
  <c r="AT610" i="2" s="1"/>
  <c r="AU610" i="2" s="1"/>
  <c r="AV610" i="2" s="1"/>
  <c r="AQ611" i="2"/>
  <c r="AQ612" i="2" l="1"/>
  <c r="AS611" i="2"/>
  <c r="AR611" i="2"/>
  <c r="AT611" i="2" l="1"/>
  <c r="AU611" i="2" s="1"/>
  <c r="AV611" i="2" s="1"/>
  <c r="AS612" i="2"/>
  <c r="AQ613" i="2"/>
  <c r="AR612" i="2"/>
  <c r="AT612" i="2" l="1"/>
  <c r="AU612" i="2" s="1"/>
  <c r="AV612" i="2" s="1"/>
  <c r="AS613" i="2"/>
  <c r="AR613" i="2"/>
  <c r="AQ614" i="2"/>
  <c r="AT613" i="2" l="1"/>
  <c r="AU613" i="2" s="1"/>
  <c r="AV613" i="2" s="1"/>
  <c r="AQ615" i="2"/>
  <c r="AS614" i="2"/>
  <c r="AR614" i="2"/>
  <c r="AT614" i="2" l="1"/>
  <c r="AU614" i="2" s="1"/>
  <c r="AV614" i="2" s="1"/>
  <c r="AS615" i="2"/>
  <c r="AR615" i="2"/>
  <c r="AQ616" i="2"/>
  <c r="AT615" i="2" l="1"/>
  <c r="AU615" i="2" s="1"/>
  <c r="AV615" i="2" s="1"/>
  <c r="AR616" i="2"/>
  <c r="AS616" i="2"/>
  <c r="AT616" i="2" s="1"/>
  <c r="AU616" i="2" s="1"/>
  <c r="AV616" i="2" s="1"/>
  <c r="AQ617" i="2"/>
  <c r="AQ618" i="2" l="1"/>
  <c r="AR617" i="2"/>
  <c r="AS617" i="2"/>
  <c r="AT617" i="2" l="1"/>
  <c r="AU617" i="2" s="1"/>
  <c r="AV617" i="2" s="1"/>
  <c r="AQ619" i="2"/>
  <c r="AR618" i="2"/>
  <c r="AS618" i="2"/>
  <c r="AT618" i="2" s="1"/>
  <c r="AU618" i="2" s="1"/>
  <c r="AV618" i="2" s="1"/>
  <c r="AR619" i="2" l="1"/>
  <c r="AS619" i="2"/>
  <c r="AT619" i="2" s="1"/>
  <c r="AU619" i="2" s="1"/>
  <c r="AV619" i="2" s="1"/>
  <c r="AQ620" i="2"/>
  <c r="AQ621" i="2" l="1"/>
  <c r="AS620" i="2"/>
  <c r="AR620" i="2"/>
  <c r="AT620" i="2" l="1"/>
  <c r="AU620" i="2" s="1"/>
  <c r="AV620" i="2" s="1"/>
  <c r="AQ622" i="2"/>
  <c r="AR621" i="2"/>
  <c r="AS621" i="2"/>
  <c r="AT621" i="2" l="1"/>
  <c r="AU621" i="2" s="1"/>
  <c r="AV621" i="2" s="1"/>
  <c r="AR622" i="2"/>
  <c r="AS622" i="2"/>
  <c r="AT622" i="2" s="1"/>
  <c r="AU622" i="2" s="1"/>
  <c r="AV622" i="2" s="1"/>
  <c r="AQ623" i="2"/>
  <c r="AR623" i="2" l="1"/>
  <c r="AQ624" i="2"/>
  <c r="AS623" i="2"/>
  <c r="AT623" i="2" s="1"/>
  <c r="AU623" i="2" s="1"/>
  <c r="AV623" i="2" s="1"/>
  <c r="AR624" i="2" l="1"/>
  <c r="AS624" i="2"/>
  <c r="AQ625" i="2"/>
  <c r="AT624" i="2" l="1"/>
  <c r="AU624" i="2" s="1"/>
  <c r="AV624" i="2" s="1"/>
  <c r="AR625" i="2"/>
  <c r="AS625" i="2"/>
  <c r="AT625" i="2" s="1"/>
  <c r="AU625" i="2" s="1"/>
  <c r="AV625" i="2" s="1"/>
  <c r="AQ626" i="2"/>
  <c r="AS626" i="2" l="1"/>
  <c r="AR626" i="2"/>
  <c r="AQ627" i="2"/>
  <c r="AT626" i="2" l="1"/>
  <c r="AU626" i="2" s="1"/>
  <c r="AV626" i="2" s="1"/>
  <c r="AR627" i="2"/>
  <c r="AQ628" i="2"/>
  <c r="AS627" i="2"/>
  <c r="AT627" i="2" s="1"/>
  <c r="AU627" i="2" s="1"/>
  <c r="AV627" i="2" s="1"/>
  <c r="AR628" i="2" l="1"/>
  <c r="AQ629" i="2"/>
  <c r="AS628" i="2"/>
  <c r="AQ630" i="2" l="1"/>
  <c r="AS629" i="2"/>
  <c r="AR629" i="2"/>
  <c r="AT628" i="2"/>
  <c r="AU628" i="2" s="1"/>
  <c r="AV628" i="2" s="1"/>
  <c r="AT629" i="2" l="1"/>
  <c r="AU629" i="2" s="1"/>
  <c r="AV629" i="2" s="1"/>
  <c r="AR630" i="2"/>
  <c r="AS630" i="2"/>
  <c r="AT630" i="2" s="1"/>
  <c r="AU630" i="2" s="1"/>
  <c r="AV630" i="2" s="1"/>
  <c r="AQ631" i="2"/>
  <c r="AR631" i="2" l="1"/>
  <c r="AS631" i="2"/>
  <c r="AT631" i="2" s="1"/>
  <c r="AU631" i="2" s="1"/>
  <c r="AV631" i="2" s="1"/>
  <c r="AQ632" i="2"/>
  <c r="AQ633" i="2" l="1"/>
  <c r="AR632" i="2"/>
  <c r="AS632" i="2"/>
  <c r="AT632" i="2" s="1"/>
  <c r="AU632" i="2" s="1"/>
  <c r="AV632" i="2" s="1"/>
  <c r="AR633" i="2" l="1"/>
  <c r="AQ634" i="2"/>
  <c r="AS633" i="2"/>
  <c r="AT633" i="2" s="1"/>
  <c r="AU633" i="2" s="1"/>
  <c r="AV633" i="2" s="1"/>
  <c r="AR634" i="2" l="1"/>
  <c r="AS634" i="2"/>
  <c r="AT634" i="2" s="1"/>
  <c r="AU634" i="2" s="1"/>
  <c r="AV634" i="2" s="1"/>
  <c r="AQ635" i="2"/>
  <c r="AS635" i="2" l="1"/>
  <c r="AR635" i="2"/>
  <c r="AQ636" i="2"/>
  <c r="AT635" i="2" l="1"/>
  <c r="AU635" i="2" s="1"/>
  <c r="AV635" i="2" s="1"/>
  <c r="AQ637" i="2"/>
  <c r="AR636" i="2"/>
  <c r="AS636" i="2"/>
  <c r="AT636" i="2" l="1"/>
  <c r="AU636" i="2" s="1"/>
  <c r="AV636" i="2" s="1"/>
  <c r="AQ638" i="2"/>
  <c r="AR637" i="2"/>
  <c r="AS637" i="2"/>
  <c r="AT637" i="2" s="1"/>
  <c r="AU637" i="2" s="1"/>
  <c r="AV637" i="2" s="1"/>
  <c r="AQ639" i="2" l="1"/>
  <c r="AR638" i="2"/>
  <c r="AS638" i="2"/>
  <c r="AT638" i="2" s="1"/>
  <c r="AU638" i="2" s="1"/>
  <c r="AV638" i="2" s="1"/>
  <c r="AR639" i="2" l="1"/>
  <c r="AQ640" i="2"/>
  <c r="AS639" i="2"/>
  <c r="AS640" i="2" l="1"/>
  <c r="AR640" i="2"/>
  <c r="AQ641" i="2"/>
  <c r="AT639" i="2"/>
  <c r="AU639" i="2" s="1"/>
  <c r="AV639" i="2" s="1"/>
  <c r="AT640" i="2" l="1"/>
  <c r="AU640" i="2" s="1"/>
  <c r="AV640" i="2" s="1"/>
  <c r="AR641" i="2"/>
  <c r="AQ642" i="2"/>
  <c r="AS641" i="2"/>
  <c r="AT641" i="2" s="1"/>
  <c r="AU641" i="2" s="1"/>
  <c r="AV641" i="2" s="1"/>
  <c r="AQ643" i="2" l="1"/>
  <c r="AS642" i="2"/>
  <c r="AR642" i="2"/>
  <c r="AT642" i="2" l="1"/>
  <c r="AU642" i="2" s="1"/>
  <c r="AV642" i="2" s="1"/>
  <c r="AS643" i="2"/>
  <c r="AR643" i="2"/>
  <c r="AQ644" i="2"/>
  <c r="AT643" i="2" l="1"/>
  <c r="AU643" i="2" s="1"/>
  <c r="AV643" i="2" s="1"/>
  <c r="AR644" i="2"/>
  <c r="AQ645" i="2"/>
  <c r="AS644" i="2"/>
  <c r="AT644" i="2" s="1"/>
  <c r="AU644" i="2" s="1"/>
  <c r="AV644" i="2" s="1"/>
  <c r="AS645" i="2" l="1"/>
  <c r="AR645" i="2"/>
  <c r="AQ646" i="2"/>
  <c r="AT645" i="2" l="1"/>
  <c r="AU645" i="2" s="1"/>
  <c r="AV645" i="2" s="1"/>
  <c r="AQ647" i="2"/>
  <c r="AR646" i="2"/>
  <c r="AS646" i="2"/>
  <c r="AT646" i="2" l="1"/>
  <c r="AU646" i="2" s="1"/>
  <c r="AV646" i="2" s="1"/>
  <c r="AR647" i="2"/>
  <c r="AQ648" i="2"/>
  <c r="AS647" i="2"/>
  <c r="AT647" i="2" s="1"/>
  <c r="AU647" i="2" s="1"/>
  <c r="AV647" i="2" s="1"/>
  <c r="AQ649" i="2" l="1"/>
  <c r="AR648" i="2"/>
  <c r="AS648" i="2"/>
  <c r="AT648" i="2" l="1"/>
  <c r="AU648" i="2" s="1"/>
  <c r="AV648" i="2" s="1"/>
  <c r="AS649" i="2"/>
  <c r="AQ650" i="2"/>
  <c r="AR649" i="2"/>
  <c r="AR650" i="2" l="1"/>
  <c r="AS650" i="2"/>
  <c r="AT650" i="2" s="1"/>
  <c r="AU650" i="2" s="1"/>
  <c r="AV650" i="2" s="1"/>
  <c r="AQ651" i="2"/>
  <c r="AT649" i="2"/>
  <c r="AU649" i="2" s="1"/>
  <c r="AV649" i="2" s="1"/>
  <c r="AR651" i="2" l="1"/>
  <c r="AQ652" i="2"/>
  <c r="AS651" i="2"/>
  <c r="AS652" i="2" l="1"/>
  <c r="AQ653" i="2"/>
  <c r="AR652" i="2"/>
  <c r="AT652" i="2" s="1"/>
  <c r="AU652" i="2" s="1"/>
  <c r="AV652" i="2" s="1"/>
  <c r="AT651" i="2"/>
  <c r="AU651" i="2" s="1"/>
  <c r="AV651" i="2" s="1"/>
  <c r="AR653" i="2" l="1"/>
  <c r="AS653" i="2"/>
  <c r="AQ654" i="2"/>
  <c r="AT653" i="2" l="1"/>
  <c r="AU653" i="2" s="1"/>
  <c r="AV653" i="2" s="1"/>
  <c r="AS654" i="2"/>
  <c r="AQ655" i="2"/>
  <c r="AR654" i="2"/>
  <c r="AT654" i="2" l="1"/>
  <c r="AU654" i="2" s="1"/>
  <c r="AV654" i="2" s="1"/>
  <c r="AQ656" i="2"/>
  <c r="AR655" i="2"/>
  <c r="AS655" i="2"/>
  <c r="AT655" i="2" l="1"/>
  <c r="AU655" i="2" s="1"/>
  <c r="AV655" i="2" s="1"/>
  <c r="AR656" i="2"/>
  <c r="AQ657" i="2"/>
  <c r="AS656" i="2"/>
  <c r="AT656" i="2" s="1"/>
  <c r="AU656" i="2" s="1"/>
  <c r="AV656" i="2" s="1"/>
  <c r="AR657" i="2" l="1"/>
  <c r="AQ658" i="2"/>
  <c r="AS657" i="2"/>
  <c r="AT657" i="2" s="1"/>
  <c r="AU657" i="2" s="1"/>
  <c r="AV657" i="2" s="1"/>
  <c r="AR658" i="2" l="1"/>
  <c r="AS658" i="2"/>
  <c r="AT658" i="2" s="1"/>
  <c r="AU658" i="2" s="1"/>
  <c r="AV658" i="2" s="1"/>
  <c r="AQ659" i="2"/>
  <c r="AR659" i="2" l="1"/>
  <c r="AS659" i="2"/>
  <c r="AQ660" i="2"/>
  <c r="AT659" i="2" l="1"/>
  <c r="AU659" i="2" s="1"/>
  <c r="AV659" i="2" s="1"/>
  <c r="AR660" i="2"/>
  <c r="AS660" i="2"/>
  <c r="AQ661" i="2"/>
  <c r="AT660" i="2" l="1"/>
  <c r="AU660" i="2" s="1"/>
  <c r="AV660" i="2" s="1"/>
  <c r="AR661" i="2"/>
  <c r="AS661" i="2"/>
  <c r="AQ662" i="2"/>
  <c r="AT661" i="2" l="1"/>
  <c r="AU661" i="2" s="1"/>
  <c r="AV661" i="2" s="1"/>
  <c r="AR662" i="2"/>
  <c r="AQ663" i="2"/>
  <c r="AS662" i="2"/>
  <c r="AT662" i="2" s="1"/>
  <c r="AU662" i="2" s="1"/>
  <c r="AV662" i="2" s="1"/>
  <c r="AS663" i="2" l="1"/>
  <c r="AR663" i="2"/>
  <c r="AQ664" i="2"/>
  <c r="AT663" i="2" l="1"/>
  <c r="AU663" i="2" s="1"/>
  <c r="AV663" i="2" s="1"/>
  <c r="AS664" i="2"/>
  <c r="AQ665" i="2"/>
  <c r="AR664" i="2"/>
  <c r="AT664" i="2" l="1"/>
  <c r="AU664" i="2" s="1"/>
  <c r="AV664" i="2" s="1"/>
  <c r="AR665" i="2"/>
  <c r="AS665" i="2"/>
  <c r="AT665" i="2" s="1"/>
  <c r="AU665" i="2" s="1"/>
  <c r="AV665" i="2" s="1"/>
  <c r="AQ666" i="2"/>
  <c r="AR666" i="2" l="1"/>
  <c r="AS666" i="2"/>
  <c r="AT666" i="2" s="1"/>
  <c r="AU666" i="2" s="1"/>
  <c r="AV666" i="2" s="1"/>
  <c r="AQ667" i="2"/>
  <c r="AQ668" i="2" l="1"/>
  <c r="AS667" i="2"/>
  <c r="AR667" i="2"/>
  <c r="AT667" i="2" l="1"/>
  <c r="AU667" i="2" s="1"/>
  <c r="AV667" i="2" s="1"/>
  <c r="AR668" i="2"/>
  <c r="AS668" i="2"/>
  <c r="AT668" i="2" s="1"/>
  <c r="AU668" i="2" s="1"/>
  <c r="AV668" i="2" s="1"/>
  <c r="AQ669" i="2"/>
  <c r="AS669" i="2" l="1"/>
  <c r="AQ670" i="2"/>
  <c r="AR669" i="2"/>
  <c r="AQ671" i="2" l="1"/>
  <c r="AS670" i="2"/>
  <c r="AR670" i="2"/>
  <c r="AT669" i="2"/>
  <c r="AU669" i="2" s="1"/>
  <c r="AV669" i="2" s="1"/>
  <c r="AT670" i="2" l="1"/>
  <c r="AU670" i="2" s="1"/>
  <c r="AV670" i="2" s="1"/>
  <c r="AR671" i="2"/>
  <c r="AQ672" i="2"/>
  <c r="AS671" i="2"/>
  <c r="AT671" i="2" s="1"/>
  <c r="AU671" i="2" s="1"/>
  <c r="AV671" i="2" s="1"/>
  <c r="AR672" i="2" l="1"/>
  <c r="AS672" i="2"/>
  <c r="AT672" i="2" s="1"/>
  <c r="AU672" i="2" s="1"/>
  <c r="AV672" i="2" s="1"/>
  <c r="AQ673" i="2"/>
  <c r="AR673" i="2" l="1"/>
  <c r="AQ674" i="2"/>
  <c r="AS673" i="2"/>
  <c r="AT673" i="2" s="1"/>
  <c r="AU673" i="2" s="1"/>
  <c r="AV673" i="2" s="1"/>
  <c r="AS674" i="2" l="1"/>
  <c r="AQ675" i="2"/>
  <c r="AR674" i="2"/>
  <c r="AT674" i="2" l="1"/>
  <c r="AU674" i="2" s="1"/>
  <c r="AV674" i="2" s="1"/>
  <c r="AQ676" i="2"/>
  <c r="AR675" i="2"/>
  <c r="AS675" i="2"/>
  <c r="AT675" i="2" l="1"/>
  <c r="AU675" i="2" s="1"/>
  <c r="AV675" i="2" s="1"/>
  <c r="AS676" i="2"/>
  <c r="AQ677" i="2"/>
  <c r="AR676" i="2"/>
  <c r="AT676" i="2" l="1"/>
  <c r="AU676" i="2" s="1"/>
  <c r="AV676" i="2" s="1"/>
  <c r="AR677" i="2"/>
  <c r="AS677" i="2"/>
  <c r="AT677" i="2" s="1"/>
  <c r="AU677" i="2" s="1"/>
  <c r="AV677" i="2" s="1"/>
  <c r="AQ678" i="2"/>
  <c r="AR678" i="2" l="1"/>
  <c r="AQ679" i="2"/>
  <c r="AS678" i="2"/>
  <c r="AT678" i="2" s="1"/>
  <c r="AU678" i="2" s="1"/>
  <c r="AV678" i="2" s="1"/>
  <c r="AQ680" i="2" l="1"/>
  <c r="AS679" i="2"/>
  <c r="AR679" i="2"/>
  <c r="AT679" i="2" l="1"/>
  <c r="AU679" i="2" s="1"/>
  <c r="AV679" i="2" s="1"/>
  <c r="AS680" i="2"/>
  <c r="AR680" i="2"/>
  <c r="AQ681" i="2"/>
  <c r="AS681" i="2" l="1"/>
  <c r="AQ682" i="2"/>
  <c r="AR681" i="2"/>
  <c r="AT680" i="2"/>
  <c r="AU680" i="2" s="1"/>
  <c r="AV680" i="2" s="1"/>
  <c r="AT681" i="2" l="1"/>
  <c r="AU681" i="2" s="1"/>
  <c r="AV681" i="2" s="1"/>
  <c r="AS682" i="2"/>
  <c r="AQ683" i="2"/>
  <c r="AR682" i="2"/>
  <c r="AT682" i="2" l="1"/>
  <c r="AU682" i="2" s="1"/>
  <c r="AV682" i="2" s="1"/>
  <c r="AS683" i="2"/>
  <c r="AR683" i="2"/>
  <c r="AQ684" i="2"/>
  <c r="AT683" i="2" l="1"/>
  <c r="AU683" i="2" s="1"/>
  <c r="AV683" i="2" s="1"/>
  <c r="AR684" i="2"/>
  <c r="AS684" i="2"/>
  <c r="AT684" i="2" s="1"/>
  <c r="AU684" i="2" s="1"/>
  <c r="AV684" i="2" s="1"/>
  <c r="AQ685" i="2"/>
  <c r="AQ686" i="2" l="1"/>
  <c r="AS685" i="2"/>
  <c r="AR685" i="2"/>
  <c r="AT685" i="2" l="1"/>
  <c r="AU685" i="2" s="1"/>
  <c r="AV685" i="2" s="1"/>
  <c r="AS686" i="2"/>
  <c r="AQ687" i="2"/>
  <c r="AR686" i="2"/>
  <c r="AT686" i="2" l="1"/>
  <c r="AU686" i="2" s="1"/>
  <c r="AV686" i="2" s="1"/>
  <c r="AR687" i="2"/>
  <c r="AS687" i="2"/>
  <c r="AT687" i="2" s="1"/>
  <c r="AU687" i="2" s="1"/>
  <c r="AV687" i="2" s="1"/>
  <c r="AQ688" i="2"/>
  <c r="AS688" i="2" l="1"/>
  <c r="AQ689" i="2"/>
  <c r="AR688" i="2"/>
  <c r="AT688" i="2" l="1"/>
  <c r="AU688" i="2" s="1"/>
  <c r="AV688" i="2" s="1"/>
  <c r="AS689" i="2"/>
  <c r="AR689" i="2"/>
  <c r="AQ690" i="2"/>
  <c r="AT689" i="2" l="1"/>
  <c r="AU689" i="2" s="1"/>
  <c r="AV689" i="2" s="1"/>
  <c r="AS690" i="2"/>
  <c r="AQ691" i="2"/>
  <c r="AR690" i="2"/>
  <c r="AT690" i="2" l="1"/>
  <c r="AU690" i="2" s="1"/>
  <c r="AV690" i="2" s="1"/>
  <c r="AR691" i="2"/>
  <c r="AQ692" i="2"/>
  <c r="AS691" i="2"/>
  <c r="AT691" i="2" s="1"/>
  <c r="AU691" i="2" s="1"/>
  <c r="AV691" i="2" s="1"/>
  <c r="AS692" i="2" l="1"/>
  <c r="AQ693" i="2"/>
  <c r="AR692" i="2"/>
  <c r="AT692" i="2" l="1"/>
  <c r="AU692" i="2" s="1"/>
  <c r="AV692" i="2" s="1"/>
  <c r="AS693" i="2"/>
  <c r="AQ694" i="2"/>
  <c r="AR693" i="2"/>
  <c r="AT693" i="2" l="1"/>
  <c r="AU693" i="2" s="1"/>
  <c r="AV693" i="2" s="1"/>
  <c r="AS694" i="2"/>
  <c r="AR694" i="2"/>
  <c r="AQ695" i="2"/>
  <c r="AT694" i="2" l="1"/>
  <c r="AU694" i="2" s="1"/>
  <c r="AV694" i="2" s="1"/>
  <c r="AS695" i="2"/>
  <c r="AQ696" i="2"/>
  <c r="AR695" i="2"/>
  <c r="AT695" i="2" l="1"/>
  <c r="AU695" i="2" s="1"/>
  <c r="AV695" i="2" s="1"/>
  <c r="AS696" i="2"/>
  <c r="AR696" i="2"/>
  <c r="AQ697" i="2"/>
  <c r="AT696" i="2" l="1"/>
  <c r="AU696" i="2" s="1"/>
  <c r="AV696" i="2" s="1"/>
  <c r="AR697" i="2"/>
  <c r="AQ698" i="2"/>
  <c r="AS697" i="2"/>
  <c r="AT697" i="2" s="1"/>
  <c r="AU697" i="2" s="1"/>
  <c r="AV697" i="2" s="1"/>
  <c r="AR698" i="2" l="1"/>
  <c r="AS698" i="2"/>
  <c r="AQ699" i="2"/>
  <c r="AT698" i="2" l="1"/>
  <c r="AU698" i="2" s="1"/>
  <c r="AV698" i="2" s="1"/>
  <c r="AR699" i="2"/>
  <c r="AQ700" i="2"/>
  <c r="AS699" i="2"/>
  <c r="AS700" i="2" l="1"/>
  <c r="AQ701" i="2"/>
  <c r="AR700" i="2"/>
  <c r="AT699" i="2"/>
  <c r="AU699" i="2" s="1"/>
  <c r="AV699" i="2" s="1"/>
  <c r="AT700" i="2" l="1"/>
  <c r="AU700" i="2" s="1"/>
  <c r="AV700" i="2" s="1"/>
  <c r="AS701" i="2"/>
  <c r="AQ702" i="2"/>
  <c r="AR701" i="2"/>
  <c r="AT701" i="2" l="1"/>
  <c r="AU701" i="2" s="1"/>
  <c r="AV701" i="2" s="1"/>
  <c r="AR702" i="2"/>
  <c r="AS702" i="2"/>
  <c r="AT702" i="2" s="1"/>
  <c r="AU702" i="2" s="1"/>
  <c r="AV702" i="2" s="1"/>
  <c r="AQ703" i="2"/>
  <c r="AS703" i="2" l="1"/>
  <c r="AR703" i="2"/>
  <c r="AQ704" i="2"/>
  <c r="AT703" i="2" l="1"/>
  <c r="AU703" i="2" s="1"/>
  <c r="AV703" i="2" s="1"/>
  <c r="AR704" i="2"/>
  <c r="AQ705" i="2"/>
  <c r="AS704" i="2"/>
  <c r="AT704" i="2" s="1"/>
  <c r="AU704" i="2" s="1"/>
  <c r="AV704" i="2" s="1"/>
  <c r="AR705" i="2" l="1"/>
  <c r="AQ706" i="2"/>
  <c r="AS705" i="2"/>
  <c r="AT705" i="2" s="1"/>
  <c r="AU705" i="2" s="1"/>
  <c r="AV705" i="2" s="1"/>
  <c r="AS706" i="2" l="1"/>
  <c r="AQ707" i="2"/>
  <c r="AR706" i="2"/>
  <c r="AT706" i="2" l="1"/>
  <c r="AU706" i="2" s="1"/>
  <c r="AV706" i="2" s="1"/>
  <c r="AQ708" i="2"/>
  <c r="AR707" i="2"/>
  <c r="AS707" i="2"/>
  <c r="AT707" i="2" s="1"/>
  <c r="AU707" i="2" s="1"/>
  <c r="AV707" i="2" s="1"/>
  <c r="AQ709" i="2" l="1"/>
  <c r="AS708" i="2"/>
  <c r="AR708" i="2"/>
  <c r="AT708" i="2" l="1"/>
  <c r="AU708" i="2" s="1"/>
  <c r="AV708" i="2" s="1"/>
  <c r="AQ710" i="2"/>
  <c r="AR709" i="2"/>
  <c r="AS709" i="2"/>
  <c r="AT709" i="2" s="1"/>
  <c r="AU709" i="2" s="1"/>
  <c r="AV709" i="2" s="1"/>
  <c r="AQ711" i="2" l="1"/>
  <c r="AR710" i="2"/>
  <c r="AS710" i="2"/>
  <c r="AT710" i="2" s="1"/>
  <c r="AU710" i="2" s="1"/>
  <c r="AV710" i="2" s="1"/>
  <c r="AR711" i="2" l="1"/>
  <c r="AS711" i="2"/>
  <c r="AQ712" i="2"/>
  <c r="AT711" i="2" l="1"/>
  <c r="AU711" i="2" s="1"/>
  <c r="AV711" i="2" s="1"/>
  <c r="AQ713" i="2"/>
  <c r="AS712" i="2"/>
  <c r="AR712" i="2"/>
  <c r="AT712" i="2" l="1"/>
  <c r="AU712" i="2" s="1"/>
  <c r="AV712" i="2" s="1"/>
  <c r="AQ714" i="2"/>
  <c r="AR713" i="2"/>
  <c r="AS713" i="2"/>
  <c r="AT713" i="2" l="1"/>
  <c r="AU713" i="2" s="1"/>
  <c r="AV713" i="2" s="1"/>
  <c r="AR714" i="2"/>
  <c r="AS714" i="2"/>
  <c r="AT714" i="2" s="1"/>
  <c r="AU714" i="2" s="1"/>
  <c r="AV714" i="2" s="1"/>
  <c r="AQ715" i="2"/>
  <c r="AR715" i="2" l="1"/>
  <c r="AQ716" i="2"/>
  <c r="AS715" i="2"/>
  <c r="AT715" i="2" s="1"/>
  <c r="AU715" i="2" s="1"/>
  <c r="AV715" i="2" s="1"/>
  <c r="AQ717" i="2" l="1"/>
  <c r="AR716" i="2"/>
  <c r="AS716" i="2"/>
  <c r="AT716" i="2" s="1"/>
  <c r="AU716" i="2" s="1"/>
  <c r="AV716" i="2" s="1"/>
  <c r="AR717" i="2" l="1"/>
  <c r="AS717" i="2"/>
  <c r="AT717" i="2" s="1"/>
  <c r="AU717" i="2" s="1"/>
  <c r="AV717" i="2" s="1"/>
  <c r="AQ718" i="2"/>
  <c r="AR718" i="2" l="1"/>
  <c r="AS718" i="2"/>
  <c r="AT718" i="2" s="1"/>
  <c r="AU718" i="2" s="1"/>
  <c r="AV718" i="2" s="1"/>
  <c r="AQ719" i="2"/>
  <c r="AQ720" i="2" l="1"/>
  <c r="AR719" i="2"/>
  <c r="AS719" i="2"/>
  <c r="AT719" i="2" s="1"/>
  <c r="AU719" i="2" s="1"/>
  <c r="AV719" i="2" s="1"/>
  <c r="AR720" i="2" l="1"/>
  <c r="AQ721" i="2"/>
  <c r="AS720" i="2"/>
  <c r="AT720" i="2" s="1"/>
  <c r="AU720" i="2" s="1"/>
  <c r="AV720" i="2" s="1"/>
  <c r="AQ722" i="2" l="1"/>
  <c r="AS721" i="2"/>
  <c r="AR721" i="2"/>
  <c r="AT721" i="2" l="1"/>
  <c r="AU721" i="2" s="1"/>
  <c r="AV721" i="2" s="1"/>
  <c r="AQ723" i="2"/>
  <c r="AR722" i="2"/>
  <c r="AS722" i="2"/>
  <c r="AT722" i="2" l="1"/>
  <c r="AU722" i="2" s="1"/>
  <c r="AV722" i="2" s="1"/>
  <c r="AS723" i="2"/>
  <c r="AQ724" i="2"/>
  <c r="AR723" i="2"/>
  <c r="AT723" i="2" l="1"/>
  <c r="AU723" i="2" s="1"/>
  <c r="AV723" i="2" s="1"/>
  <c r="AQ725" i="2"/>
  <c r="AR724" i="2"/>
  <c r="AS724" i="2"/>
  <c r="AT724" i="2" l="1"/>
  <c r="AU724" i="2" s="1"/>
  <c r="AV724" i="2" s="1"/>
  <c r="AR725" i="2"/>
  <c r="AS725" i="2"/>
  <c r="AQ726" i="2"/>
  <c r="AT725" i="2" l="1"/>
  <c r="AU725" i="2" s="1"/>
  <c r="AV725" i="2" s="1"/>
  <c r="AS726" i="2"/>
  <c r="AQ727" i="2"/>
  <c r="AR726" i="2"/>
  <c r="AT726" i="2" l="1"/>
  <c r="AU726" i="2" s="1"/>
  <c r="AV726" i="2" s="1"/>
  <c r="AR727" i="2"/>
  <c r="AS727" i="2"/>
  <c r="AT727" i="2" s="1"/>
  <c r="AU727" i="2" s="1"/>
  <c r="AV727" i="2" s="1"/>
  <c r="AQ728" i="2"/>
  <c r="AR728" i="2" l="1"/>
  <c r="AS728" i="2"/>
  <c r="AQ729" i="2"/>
  <c r="AT728" i="2" l="1"/>
  <c r="AU728" i="2" s="1"/>
  <c r="AV728" i="2" s="1"/>
  <c r="AS729" i="2"/>
  <c r="AR729" i="2"/>
  <c r="AQ730" i="2"/>
  <c r="AS730" i="2" l="1"/>
  <c r="AQ731" i="2"/>
  <c r="AR730" i="2"/>
  <c r="AT729" i="2"/>
  <c r="AU729" i="2" s="1"/>
  <c r="AV729" i="2" s="1"/>
  <c r="AT730" i="2" l="1"/>
  <c r="AU730" i="2" s="1"/>
  <c r="AV730" i="2" s="1"/>
  <c r="AQ732" i="2"/>
  <c r="AR731" i="2"/>
  <c r="AS731" i="2"/>
  <c r="AT731" i="2" s="1"/>
  <c r="AU731" i="2" s="1"/>
  <c r="AV731" i="2" s="1"/>
  <c r="AR732" i="2" l="1"/>
  <c r="AQ733" i="2"/>
  <c r="AS732" i="2"/>
  <c r="AT732" i="2" s="1"/>
  <c r="AU732" i="2" s="1"/>
  <c r="AV732" i="2" s="1"/>
  <c r="AS733" i="2" l="1"/>
  <c r="AQ734" i="2"/>
  <c r="AR733" i="2"/>
  <c r="AT733" i="2" l="1"/>
  <c r="AU733" i="2" s="1"/>
  <c r="AV733" i="2" s="1"/>
  <c r="AQ735" i="2"/>
  <c r="AS734" i="2"/>
  <c r="AR734" i="2"/>
  <c r="AT734" i="2" l="1"/>
  <c r="AU734" i="2" s="1"/>
  <c r="AV734" i="2" s="1"/>
  <c r="AR735" i="2"/>
  <c r="AQ736" i="2"/>
  <c r="AS735" i="2"/>
  <c r="AT735" i="2" s="1"/>
  <c r="AU735" i="2" s="1"/>
  <c r="AV735" i="2" s="1"/>
  <c r="AS736" i="2" l="1"/>
  <c r="AR736" i="2"/>
  <c r="AQ737" i="2"/>
  <c r="AT736" i="2" l="1"/>
  <c r="AU736" i="2" s="1"/>
  <c r="AV736" i="2" s="1"/>
  <c r="AQ738" i="2"/>
  <c r="AR737" i="2"/>
  <c r="AS737" i="2"/>
  <c r="AT737" i="2" l="1"/>
  <c r="AU737" i="2" s="1"/>
  <c r="AV737" i="2" s="1"/>
  <c r="AR738" i="2"/>
  <c r="AS738" i="2"/>
  <c r="AQ739" i="2"/>
  <c r="AT738" i="2" l="1"/>
  <c r="AU738" i="2" s="1"/>
  <c r="AV738" i="2" s="1"/>
  <c r="AS739" i="2"/>
  <c r="AQ740" i="2"/>
  <c r="AR739" i="2"/>
  <c r="AT739" i="2" l="1"/>
  <c r="AU739" i="2" s="1"/>
  <c r="AV739" i="2" s="1"/>
  <c r="AQ741" i="2"/>
  <c r="AR740" i="2"/>
  <c r="AS740" i="2"/>
  <c r="AT740" i="2" l="1"/>
  <c r="AU740" i="2" s="1"/>
  <c r="AV740" i="2" s="1"/>
  <c r="AQ742" i="2"/>
  <c r="AR741" i="2"/>
  <c r="AS741" i="2"/>
  <c r="AT741" i="2" l="1"/>
  <c r="AU741" i="2" s="1"/>
  <c r="AV741" i="2" s="1"/>
  <c r="AS742" i="2"/>
  <c r="AQ743" i="2"/>
  <c r="AR742" i="2"/>
  <c r="AT742" i="2" l="1"/>
  <c r="AU742" i="2" s="1"/>
  <c r="AV742" i="2" s="1"/>
  <c r="AS743" i="2"/>
  <c r="AQ744" i="2"/>
  <c r="AR743" i="2"/>
  <c r="AR744" i="2" l="1"/>
  <c r="AS744" i="2"/>
  <c r="AT744" i="2" s="1"/>
  <c r="AU744" i="2" s="1"/>
  <c r="AV744" i="2" s="1"/>
  <c r="AQ745" i="2"/>
  <c r="AT743" i="2"/>
  <c r="AU743" i="2" s="1"/>
  <c r="AV743" i="2" s="1"/>
  <c r="AQ746" i="2" l="1"/>
  <c r="AR745" i="2"/>
  <c r="AS745" i="2"/>
  <c r="AT745" i="2" l="1"/>
  <c r="AU745" i="2" s="1"/>
  <c r="AV745" i="2" s="1"/>
  <c r="AR746" i="2"/>
  <c r="AS746" i="2"/>
  <c r="AT746" i="2" s="1"/>
  <c r="AU746" i="2" s="1"/>
  <c r="AV746" i="2" s="1"/>
  <c r="AQ747" i="2"/>
  <c r="AQ748" i="2" l="1"/>
  <c r="AR747" i="2"/>
  <c r="AS747" i="2"/>
  <c r="AT747" i="2" l="1"/>
  <c r="AU747" i="2" s="1"/>
  <c r="AV747" i="2" s="1"/>
  <c r="AR748" i="2"/>
  <c r="AS748" i="2"/>
  <c r="AT748" i="2" s="1"/>
  <c r="AU748" i="2" s="1"/>
  <c r="AV748" i="2" s="1"/>
  <c r="AQ749" i="2"/>
  <c r="AR749" i="2" l="1"/>
  <c r="AQ750" i="2"/>
  <c r="AS749" i="2"/>
  <c r="AT749" i="2" s="1"/>
  <c r="AU749" i="2" s="1"/>
  <c r="AV749" i="2" s="1"/>
  <c r="AS750" i="2" l="1"/>
  <c r="AQ751" i="2"/>
  <c r="AR750" i="2"/>
  <c r="AT750" i="2" l="1"/>
  <c r="AU750" i="2" s="1"/>
  <c r="AV750" i="2" s="1"/>
  <c r="AS751" i="2"/>
  <c r="AR751" i="2"/>
  <c r="AQ752" i="2"/>
  <c r="AT751" i="2" l="1"/>
  <c r="AU751" i="2" s="1"/>
  <c r="AV751" i="2" s="1"/>
  <c r="AR752" i="2"/>
  <c r="AS752" i="2"/>
  <c r="AQ753" i="2"/>
  <c r="AT752" i="2" l="1"/>
  <c r="AU752" i="2" s="1"/>
  <c r="AV752" i="2" s="1"/>
  <c r="AR753" i="2"/>
  <c r="AQ754" i="2"/>
  <c r="AS753" i="2"/>
  <c r="AT753" i="2" s="1"/>
  <c r="AU753" i="2" s="1"/>
  <c r="AV753" i="2" s="1"/>
  <c r="AS754" i="2" l="1"/>
  <c r="AQ755" i="2"/>
  <c r="AR754" i="2"/>
  <c r="AT754" i="2" l="1"/>
  <c r="AU754" i="2" s="1"/>
  <c r="AV754" i="2" s="1"/>
  <c r="AR755" i="2"/>
  <c r="AQ756" i="2"/>
  <c r="AS755" i="2"/>
  <c r="AT755" i="2" s="1"/>
  <c r="AU755" i="2" s="1"/>
  <c r="AV755" i="2" s="1"/>
  <c r="AR756" i="2" l="1"/>
  <c r="AQ757" i="2"/>
  <c r="AS756" i="2"/>
  <c r="AT756" i="2" s="1"/>
  <c r="AU756" i="2" s="1"/>
  <c r="AV756" i="2" s="1"/>
  <c r="AR757" i="2" l="1"/>
  <c r="AS757" i="2"/>
  <c r="AT757" i="2" s="1"/>
  <c r="AU757" i="2" s="1"/>
  <c r="AV757" i="2" s="1"/>
  <c r="AQ758" i="2"/>
  <c r="AS758" i="2" l="1"/>
  <c r="AR758" i="2"/>
  <c r="AQ759" i="2"/>
  <c r="AT758" i="2" l="1"/>
  <c r="AU758" i="2" s="1"/>
  <c r="AV758" i="2" s="1"/>
  <c r="AQ760" i="2"/>
  <c r="AR759" i="2"/>
  <c r="AS759" i="2"/>
  <c r="AT759" i="2" l="1"/>
  <c r="AR760" i="2"/>
  <c r="AQ761" i="2"/>
  <c r="AS760" i="2"/>
  <c r="AT760" i="2" l="1"/>
  <c r="AU760" i="2" s="1"/>
  <c r="AV760" i="2" s="1"/>
  <c r="AR761" i="2"/>
  <c r="AQ762" i="2"/>
  <c r="AS761" i="2"/>
  <c r="AT761" i="2" s="1"/>
  <c r="AU761" i="2" s="1"/>
  <c r="AV761" i="2" s="1"/>
  <c r="AR762" i="2" l="1"/>
  <c r="AS762" i="2"/>
  <c r="AT762" i="2" s="1"/>
  <c r="AU762" i="2" s="1"/>
  <c r="AV762" i="2" s="1"/>
  <c r="AQ763" i="2"/>
  <c r="AS763" i="2" l="1"/>
  <c r="AR763" i="2"/>
  <c r="AQ764" i="2"/>
  <c r="AQ765" i="2" l="1"/>
  <c r="AS764" i="2"/>
  <c r="AR764" i="2"/>
  <c r="AT763" i="2"/>
  <c r="AU763" i="2" s="1"/>
  <c r="AV763" i="2" s="1"/>
  <c r="AT764" i="2" l="1"/>
  <c r="AU764" i="2" s="1"/>
  <c r="AV764" i="2" s="1"/>
  <c r="AR765" i="2"/>
  <c r="AQ766" i="2"/>
  <c r="AS765" i="2"/>
  <c r="AT765" i="2" s="1"/>
  <c r="AU765" i="2" s="1"/>
  <c r="AV765" i="2" s="1"/>
  <c r="AR766" i="2" l="1"/>
  <c r="AQ767" i="2"/>
  <c r="AS766" i="2"/>
  <c r="AT766" i="2" s="1"/>
  <c r="AU766" i="2" s="1"/>
  <c r="AV766" i="2" s="1"/>
  <c r="AS767" i="2" l="1"/>
  <c r="AQ768" i="2"/>
  <c r="AR767" i="2"/>
  <c r="AT767" i="2" s="1"/>
  <c r="AU767" i="2" s="1"/>
  <c r="AV767" i="2" s="1"/>
  <c r="AR768" i="2" l="1"/>
  <c r="AQ769" i="2"/>
  <c r="AS768" i="2"/>
  <c r="AT768" i="2" s="1"/>
  <c r="AU768" i="2" s="1"/>
  <c r="AV768" i="2" s="1"/>
  <c r="AS769" i="2" l="1"/>
  <c r="AR769" i="2"/>
  <c r="AQ770" i="2"/>
  <c r="AT769" i="2" l="1"/>
  <c r="AU769" i="2" s="1"/>
  <c r="AV769" i="2" s="1"/>
  <c r="AQ771" i="2"/>
  <c r="AS770" i="2"/>
  <c r="AR770" i="2"/>
  <c r="AT770" i="2" l="1"/>
  <c r="AU770" i="2" s="1"/>
  <c r="AV770" i="2" s="1"/>
  <c r="AQ772" i="2"/>
  <c r="AR771" i="2"/>
  <c r="AS771" i="2"/>
  <c r="AT771" i="2" l="1"/>
  <c r="AU771" i="2" s="1"/>
  <c r="AV771" i="2" s="1"/>
  <c r="AS772" i="2"/>
  <c r="AR772" i="2"/>
  <c r="AQ773" i="2"/>
  <c r="AT772" i="2" l="1"/>
  <c r="AU772" i="2" s="1"/>
  <c r="AV772" i="2" s="1"/>
  <c r="AS773" i="2"/>
  <c r="AR773" i="2"/>
  <c r="AQ774" i="2"/>
  <c r="AT773" i="2" l="1"/>
  <c r="AU773" i="2" s="1"/>
  <c r="AV773" i="2" s="1"/>
  <c r="AS774" i="2"/>
  <c r="AQ775" i="2"/>
  <c r="AR774" i="2"/>
  <c r="AT774" i="2" l="1"/>
  <c r="AU774" i="2" s="1"/>
  <c r="AV774" i="2" s="1"/>
  <c r="AQ776" i="2"/>
  <c r="AS775" i="2"/>
  <c r="AR775" i="2"/>
  <c r="AT775" i="2" l="1"/>
  <c r="AU775" i="2" s="1"/>
  <c r="AV775" i="2" s="1"/>
  <c r="AS776" i="2"/>
  <c r="AQ777" i="2"/>
  <c r="AR776" i="2"/>
  <c r="AT776" i="2" l="1"/>
  <c r="AU776" i="2" s="1"/>
  <c r="AV776" i="2" s="1"/>
  <c r="AS777" i="2"/>
  <c r="AR777" i="2"/>
  <c r="AQ778" i="2"/>
  <c r="AT777" i="2" l="1"/>
  <c r="AU777" i="2" s="1"/>
  <c r="AV777" i="2" s="1"/>
  <c r="AR778" i="2"/>
  <c r="AS778" i="2"/>
  <c r="AT778" i="2" s="1"/>
  <c r="AU778" i="2" s="1"/>
  <c r="AV778" i="2" s="1"/>
  <c r="AQ779" i="2"/>
  <c r="AQ780" i="2" l="1"/>
  <c r="AR779" i="2"/>
  <c r="AS779" i="2"/>
  <c r="AT779" i="2" s="1"/>
  <c r="AU779" i="2" s="1"/>
  <c r="AV779" i="2" s="1"/>
  <c r="AR780" i="2" l="1"/>
  <c r="AS780" i="2"/>
  <c r="AT780" i="2" s="1"/>
  <c r="AU780" i="2" s="1"/>
  <c r="AV780" i="2" s="1"/>
  <c r="AQ781" i="2"/>
  <c r="AQ782" i="2" l="1"/>
  <c r="AS781" i="2"/>
  <c r="AR781" i="2"/>
  <c r="AT781" i="2" l="1"/>
  <c r="AU781" i="2" s="1"/>
  <c r="AV781" i="2" s="1"/>
  <c r="AS782" i="2"/>
  <c r="AR782" i="2"/>
  <c r="AQ783" i="2"/>
  <c r="AT782" i="2" l="1"/>
  <c r="AU782" i="2" s="1"/>
  <c r="AV782" i="2" s="1"/>
  <c r="AS783" i="2"/>
  <c r="AQ784" i="2"/>
  <c r="AR783" i="2"/>
  <c r="AT783" i="2" l="1"/>
  <c r="AU783" i="2" s="1"/>
  <c r="AV783" i="2" s="1"/>
  <c r="AQ785" i="2"/>
  <c r="AR784" i="2"/>
  <c r="AS784" i="2"/>
  <c r="AT784" i="2" l="1"/>
  <c r="AU784" i="2" s="1"/>
  <c r="AV784" i="2" s="1"/>
  <c r="AS785" i="2"/>
  <c r="AQ786" i="2"/>
  <c r="AR785" i="2"/>
  <c r="AQ787" i="2" l="1"/>
  <c r="AS786" i="2"/>
  <c r="AR786" i="2"/>
  <c r="AT785" i="2"/>
  <c r="AU785" i="2" s="1"/>
  <c r="AV785" i="2" s="1"/>
  <c r="AT786" i="2" l="1"/>
  <c r="AU786" i="2" s="1"/>
  <c r="AV786" i="2" s="1"/>
  <c r="AR787" i="2"/>
  <c r="AQ788" i="2"/>
  <c r="AS787" i="2"/>
  <c r="AT787" i="2" s="1"/>
  <c r="AU787" i="2" s="1"/>
  <c r="AV787" i="2" s="1"/>
  <c r="AR788" i="2" l="1"/>
  <c r="AS788" i="2"/>
  <c r="AT788" i="2" s="1"/>
  <c r="AU788" i="2" s="1"/>
  <c r="AV788" i="2" s="1"/>
  <c r="AQ789" i="2"/>
  <c r="AQ790" i="2" l="1"/>
  <c r="AS789" i="2"/>
  <c r="AR789" i="2"/>
  <c r="AT789" i="2" l="1"/>
  <c r="AU789" i="2" s="1"/>
  <c r="AV789" i="2" s="1"/>
  <c r="AS790" i="2"/>
  <c r="AR790" i="2"/>
  <c r="AQ791" i="2"/>
  <c r="AT790" i="2" l="1"/>
  <c r="AU790" i="2" s="1"/>
  <c r="AV790" i="2" s="1"/>
  <c r="AR791" i="2"/>
  <c r="AS791" i="2"/>
  <c r="AQ792" i="2"/>
  <c r="AT791" i="2" l="1"/>
  <c r="AU791" i="2" s="1"/>
  <c r="AV791" i="2" s="1"/>
  <c r="AR792" i="2"/>
  <c r="AS792" i="2"/>
  <c r="AT792" i="2" s="1"/>
  <c r="AU792" i="2" s="1"/>
  <c r="AV792" i="2" s="1"/>
  <c r="AQ793" i="2"/>
  <c r="AR793" i="2" l="1"/>
  <c r="AQ794" i="2"/>
  <c r="AS793" i="2"/>
  <c r="AT793" i="2" s="1"/>
  <c r="AU793" i="2" s="1"/>
  <c r="AV793" i="2" s="1"/>
  <c r="AQ795" i="2" l="1"/>
  <c r="AS794" i="2"/>
  <c r="AR794" i="2"/>
  <c r="AT794" i="2" l="1"/>
  <c r="AU794" i="2" s="1"/>
  <c r="AV794" i="2" s="1"/>
  <c r="AR795" i="2"/>
  <c r="AS795" i="2"/>
  <c r="AT795" i="2" s="1"/>
  <c r="AU795" i="2" s="1"/>
  <c r="AV795" i="2" s="1"/>
  <c r="AQ796" i="2"/>
  <c r="AR796" i="2" l="1"/>
  <c r="AQ797" i="2"/>
  <c r="AS796" i="2"/>
  <c r="AT796" i="2" s="1"/>
  <c r="AU796" i="2" s="1"/>
  <c r="AV796" i="2" s="1"/>
  <c r="AR797" i="2" l="1"/>
  <c r="AQ798" i="2"/>
  <c r="AS797" i="2"/>
  <c r="AT797" i="2" s="1"/>
  <c r="AU797" i="2" s="1"/>
  <c r="AV797" i="2" s="1"/>
  <c r="AS798" i="2" l="1"/>
  <c r="AR798" i="2"/>
  <c r="AQ799" i="2"/>
  <c r="AT798" i="2" l="1"/>
  <c r="AU798" i="2" s="1"/>
  <c r="AV798" i="2" s="1"/>
  <c r="AQ800" i="2"/>
  <c r="AR799" i="2"/>
  <c r="AS799" i="2"/>
  <c r="AT799" i="2" l="1"/>
  <c r="AU799" i="2" s="1"/>
  <c r="AV799" i="2" s="1"/>
  <c r="AS800" i="2"/>
  <c r="AQ801" i="2"/>
  <c r="AR800" i="2"/>
  <c r="AT800" i="2" l="1"/>
  <c r="AU800" i="2" s="1"/>
  <c r="AV800" i="2" s="1"/>
  <c r="AS801" i="2"/>
  <c r="AR801" i="2"/>
  <c r="AQ802" i="2"/>
  <c r="AT801" i="2" l="1"/>
  <c r="AU801" i="2" s="1"/>
  <c r="AV801" i="2" s="1"/>
  <c r="AS802" i="2"/>
  <c r="AQ803" i="2"/>
  <c r="AR802" i="2"/>
  <c r="AT802" i="2" l="1"/>
  <c r="AU802" i="2" s="1"/>
  <c r="AV802" i="2" s="1"/>
  <c r="AR803" i="2"/>
  <c r="AQ804" i="2"/>
  <c r="AS803" i="2"/>
  <c r="AT803" i="2" s="1"/>
  <c r="AU803" i="2" s="1"/>
  <c r="AV803" i="2" s="1"/>
  <c r="AS804" i="2" l="1"/>
  <c r="AQ805" i="2"/>
  <c r="AR804" i="2"/>
  <c r="AT804" i="2" l="1"/>
  <c r="AU804" i="2" s="1"/>
  <c r="AV804" i="2" s="1"/>
  <c r="AR805" i="2"/>
  <c r="AQ806" i="2"/>
  <c r="AS805" i="2"/>
  <c r="AR806" i="2" l="1"/>
  <c r="AS806" i="2"/>
  <c r="AT806" i="2" s="1"/>
  <c r="AU806" i="2" s="1"/>
  <c r="AV806" i="2" s="1"/>
  <c r="AQ807" i="2"/>
  <c r="AT805" i="2"/>
  <c r="AU805" i="2" s="1"/>
  <c r="AV805" i="2" s="1"/>
  <c r="AR807" i="2" l="1"/>
  <c r="AQ808" i="2"/>
  <c r="AS807" i="2"/>
  <c r="AT807" i="2" s="1"/>
  <c r="AU807" i="2" s="1"/>
  <c r="AV807" i="2" s="1"/>
  <c r="AR808" i="2" l="1"/>
  <c r="AQ809" i="2"/>
  <c r="AS808" i="2"/>
  <c r="AT808" i="2" s="1"/>
  <c r="AU808" i="2" s="1"/>
  <c r="AV808" i="2" s="1"/>
  <c r="AS809" i="2" l="1"/>
  <c r="AR809" i="2"/>
  <c r="AQ810" i="2"/>
  <c r="AQ811" i="2" l="1"/>
  <c r="AS810" i="2"/>
  <c r="AR810" i="2"/>
  <c r="AT809" i="2"/>
  <c r="AU809" i="2" s="1"/>
  <c r="AV809" i="2" s="1"/>
  <c r="AT810" i="2" l="1"/>
  <c r="AU810" i="2" s="1"/>
  <c r="AV810" i="2" s="1"/>
  <c r="AR811" i="2"/>
  <c r="AS811" i="2"/>
  <c r="AT811" i="2" s="1"/>
  <c r="AU811" i="2" s="1"/>
  <c r="AV811" i="2" s="1"/>
  <c r="AQ812" i="2"/>
  <c r="AQ813" i="2" l="1"/>
  <c r="AR812" i="2"/>
  <c r="AS812" i="2"/>
  <c r="AT812" i="2" l="1"/>
  <c r="AU812" i="2" s="1"/>
  <c r="AV812" i="2" s="1"/>
  <c r="AS813" i="2"/>
  <c r="AR813" i="2"/>
  <c r="AQ814" i="2"/>
  <c r="AT813" i="2" l="1"/>
  <c r="AU813" i="2" s="1"/>
  <c r="AV813" i="2" s="1"/>
  <c r="AR814" i="2"/>
  <c r="AQ815" i="2"/>
  <c r="AS814" i="2"/>
  <c r="AT814" i="2" s="1"/>
  <c r="AU814" i="2" s="1"/>
  <c r="AV814" i="2" s="1"/>
  <c r="AR815" i="2" l="1"/>
  <c r="AQ816" i="2"/>
  <c r="AS815" i="2"/>
  <c r="AT815" i="2" s="1"/>
  <c r="AU815" i="2" s="1"/>
  <c r="AV815" i="2" s="1"/>
  <c r="AQ817" i="2" l="1"/>
  <c r="AR816" i="2"/>
  <c r="AS816" i="2"/>
  <c r="AT816" i="2" l="1"/>
  <c r="AU816" i="2" s="1"/>
  <c r="AV816" i="2" s="1"/>
  <c r="AR817" i="2"/>
  <c r="AQ818" i="2"/>
  <c r="AS817" i="2"/>
  <c r="AT817" i="2" l="1"/>
  <c r="AU817" i="2" s="1"/>
  <c r="AV817" i="2" s="1"/>
  <c r="AR818" i="2"/>
  <c r="AQ819" i="2"/>
  <c r="AS818" i="2"/>
  <c r="AS819" i="2" l="1"/>
  <c r="AQ820" i="2"/>
  <c r="AR819" i="2"/>
  <c r="AT818" i="2"/>
  <c r="AU818" i="2" s="1"/>
  <c r="AV818" i="2" s="1"/>
  <c r="AQ821" i="2" l="1"/>
  <c r="AR820" i="2"/>
  <c r="AS820" i="2"/>
  <c r="AT820" i="2" s="1"/>
  <c r="AU820" i="2" s="1"/>
  <c r="AV820" i="2" s="1"/>
  <c r="AT819" i="2"/>
  <c r="AU819" i="2" s="1"/>
  <c r="AV819" i="2" s="1"/>
  <c r="AR821" i="2" l="1"/>
  <c r="AS821" i="2"/>
  <c r="AT821" i="2" s="1"/>
  <c r="AU821" i="2" s="1"/>
  <c r="AV821" i="2" s="1"/>
  <c r="AQ822" i="2"/>
  <c r="AS822" i="2" l="1"/>
  <c r="AQ823" i="2"/>
  <c r="AR822" i="2"/>
  <c r="AT822" i="2" l="1"/>
  <c r="AU822" i="2" s="1"/>
  <c r="AV822" i="2" s="1"/>
  <c r="AQ824" i="2"/>
  <c r="AS823" i="2"/>
  <c r="AR823" i="2"/>
  <c r="AT823" i="2" l="1"/>
  <c r="AU823" i="2" s="1"/>
  <c r="AV823" i="2" s="1"/>
  <c r="AQ825" i="2"/>
  <c r="AR824" i="2"/>
  <c r="AS824" i="2"/>
  <c r="AT824" i="2" l="1"/>
  <c r="AU824" i="2" s="1"/>
  <c r="AV824" i="2" s="1"/>
  <c r="AS825" i="2"/>
  <c r="AR825" i="2"/>
  <c r="AQ826" i="2"/>
  <c r="AR826" i="2" l="1"/>
  <c r="AQ827" i="2"/>
  <c r="AS826" i="2"/>
  <c r="AT826" i="2" s="1"/>
  <c r="AU826" i="2" s="1"/>
  <c r="AV826" i="2" s="1"/>
  <c r="AT825" i="2"/>
  <c r="AU825" i="2" s="1"/>
  <c r="AV825" i="2" s="1"/>
  <c r="AQ828" i="2" l="1"/>
  <c r="AR827" i="2"/>
  <c r="AS827" i="2"/>
  <c r="AT827" i="2" l="1"/>
  <c r="AU827" i="2" s="1"/>
  <c r="AV827" i="2" s="1"/>
  <c r="AQ829" i="2"/>
  <c r="AR828" i="2"/>
  <c r="AS828" i="2"/>
  <c r="AT828" i="2" l="1"/>
  <c r="AU828" i="2" s="1"/>
  <c r="AV828" i="2" s="1"/>
  <c r="AR829" i="2"/>
  <c r="AS829" i="2"/>
  <c r="AT829" i="2" s="1"/>
  <c r="AU829" i="2" s="1"/>
  <c r="AV829" i="2" s="1"/>
  <c r="AQ830" i="2"/>
  <c r="AS830" i="2" l="1"/>
  <c r="AR830" i="2"/>
  <c r="AQ831" i="2"/>
  <c r="AT830" i="2" l="1"/>
  <c r="AU830" i="2" s="1"/>
  <c r="AV830" i="2" s="1"/>
  <c r="AR831" i="2"/>
  <c r="AS831" i="2"/>
  <c r="AT831" i="2" s="1"/>
  <c r="AU831" i="2" s="1"/>
  <c r="AV831" i="2" s="1"/>
  <c r="AQ832" i="2"/>
  <c r="AQ833" i="2" l="1"/>
  <c r="AS832" i="2"/>
  <c r="AR832" i="2"/>
  <c r="AT832" i="2" l="1"/>
  <c r="AU832" i="2" s="1"/>
  <c r="AV832" i="2" s="1"/>
  <c r="AR833" i="2"/>
  <c r="AS833" i="2"/>
  <c r="AT833" i="2" s="1"/>
  <c r="AU833" i="2" s="1"/>
  <c r="AV833" i="2" s="1"/>
  <c r="AQ834" i="2"/>
  <c r="AS834" i="2" l="1"/>
  <c r="AR834" i="2"/>
  <c r="AQ835" i="2"/>
  <c r="AS835" i="2" l="1"/>
  <c r="AQ836" i="2"/>
  <c r="AR835" i="2"/>
  <c r="AT834" i="2"/>
  <c r="AU834" i="2" s="1"/>
  <c r="AV834" i="2" s="1"/>
  <c r="AT835" i="2" l="1"/>
  <c r="AU835" i="2" s="1"/>
  <c r="AV835" i="2" s="1"/>
  <c r="AS836" i="2"/>
  <c r="AR836" i="2"/>
  <c r="AQ837" i="2"/>
  <c r="AT836" i="2" l="1"/>
  <c r="AU836" i="2" s="1"/>
  <c r="AV836" i="2" s="1"/>
  <c r="AQ838" i="2"/>
  <c r="AS837" i="2"/>
  <c r="AR837" i="2"/>
  <c r="AT837" i="2" l="1"/>
  <c r="AU837" i="2" s="1"/>
  <c r="AV837" i="2" s="1"/>
  <c r="AS838" i="2"/>
  <c r="AQ839" i="2"/>
  <c r="AR838" i="2"/>
  <c r="AT838" i="2" l="1"/>
  <c r="AU838" i="2" s="1"/>
  <c r="AV838" i="2" s="1"/>
  <c r="AR839" i="2"/>
  <c r="AQ840" i="2"/>
  <c r="AS839" i="2"/>
  <c r="AT839" i="2" s="1"/>
  <c r="AU839" i="2" s="1"/>
  <c r="AV839" i="2" s="1"/>
  <c r="AR840" i="2" l="1"/>
  <c r="AS840" i="2"/>
  <c r="AT840" i="2" s="1"/>
  <c r="AU840" i="2" s="1"/>
  <c r="AV840" i="2" s="1"/>
  <c r="AQ841" i="2"/>
  <c r="AS841" i="2" l="1"/>
  <c r="AQ842" i="2"/>
  <c r="AR841" i="2"/>
  <c r="AT841" i="2" l="1"/>
  <c r="AU841" i="2" s="1"/>
  <c r="AV841" i="2" s="1"/>
  <c r="AR842" i="2"/>
  <c r="AQ843" i="2"/>
  <c r="AS842" i="2"/>
  <c r="AT842" i="2" s="1"/>
  <c r="AU842" i="2" s="1"/>
  <c r="AV842" i="2" s="1"/>
  <c r="AQ844" i="2" l="1"/>
  <c r="AS843" i="2"/>
  <c r="AR843" i="2"/>
  <c r="AT843" i="2" l="1"/>
  <c r="AU843" i="2" s="1"/>
  <c r="AV843" i="2" s="1"/>
  <c r="AQ845" i="2"/>
  <c r="AR844" i="2"/>
  <c r="AS844" i="2"/>
  <c r="AT844" i="2" l="1"/>
  <c r="AU844" i="2" s="1"/>
  <c r="AV844" i="2" s="1"/>
  <c r="AR845" i="2"/>
  <c r="AQ846" i="2"/>
  <c r="AS845" i="2"/>
  <c r="AT845" i="2" s="1"/>
  <c r="AU845" i="2" s="1"/>
  <c r="AV845" i="2" s="1"/>
  <c r="AS846" i="2" l="1"/>
  <c r="AR846" i="2"/>
  <c r="AQ847" i="2"/>
  <c r="AT846" i="2" l="1"/>
  <c r="AU846" i="2" s="1"/>
  <c r="AV846" i="2" s="1"/>
  <c r="AR847" i="2"/>
  <c r="AS847" i="2"/>
  <c r="AT847" i="2" s="1"/>
  <c r="AU847" i="2" s="1"/>
  <c r="AV847" i="2" s="1"/>
  <c r="AQ848" i="2"/>
  <c r="AS848" i="2" l="1"/>
  <c r="AQ849" i="2"/>
  <c r="AR848" i="2"/>
  <c r="AT848" i="2" l="1"/>
  <c r="AU848" i="2" s="1"/>
  <c r="AV848" i="2" s="1"/>
  <c r="AS849" i="2"/>
  <c r="AQ850" i="2"/>
  <c r="AR849" i="2"/>
  <c r="AT849" i="2" l="1"/>
  <c r="AU849" i="2" s="1"/>
  <c r="AV849" i="2" s="1"/>
  <c r="AR850" i="2"/>
  <c r="AS850" i="2"/>
  <c r="AQ851" i="2"/>
  <c r="AT850" i="2" l="1"/>
  <c r="AU850" i="2" s="1"/>
  <c r="AV850" i="2" s="1"/>
  <c r="AR851" i="2"/>
  <c r="AS851" i="2"/>
  <c r="AT851" i="2" s="1"/>
  <c r="AU851" i="2" s="1"/>
  <c r="AV851" i="2" s="1"/>
  <c r="AQ852" i="2"/>
  <c r="AS852" i="2" l="1"/>
  <c r="AQ853" i="2"/>
  <c r="AR852" i="2"/>
  <c r="AS853" i="2" l="1"/>
  <c r="AQ854" i="2"/>
  <c r="AR853" i="2"/>
  <c r="AT852" i="2"/>
  <c r="AU852" i="2" s="1"/>
  <c r="AV852" i="2" s="1"/>
  <c r="AT853" i="2" l="1"/>
  <c r="AU853" i="2" s="1"/>
  <c r="AV853" i="2" s="1"/>
  <c r="AR854" i="2"/>
  <c r="AQ855" i="2"/>
  <c r="AS854" i="2"/>
  <c r="AT854" i="2" s="1"/>
  <c r="AU854" i="2" s="1"/>
  <c r="AV854" i="2" s="1"/>
  <c r="AS855" i="2" l="1"/>
  <c r="AR855" i="2"/>
  <c r="AQ856" i="2"/>
  <c r="AT855" i="2" l="1"/>
  <c r="AU855" i="2" s="1"/>
  <c r="AV855" i="2" s="1"/>
  <c r="AS856" i="2"/>
  <c r="AR856" i="2"/>
  <c r="AQ857" i="2"/>
  <c r="AT856" i="2" l="1"/>
  <c r="AU856" i="2" s="1"/>
  <c r="AV856" i="2" s="1"/>
  <c r="AS857" i="2"/>
  <c r="AQ858" i="2"/>
  <c r="AR857" i="2"/>
  <c r="AT857" i="2" l="1"/>
  <c r="AU857" i="2" s="1"/>
  <c r="AV857" i="2" s="1"/>
  <c r="AS858" i="2"/>
  <c r="AR858" i="2"/>
  <c r="AQ859" i="2"/>
  <c r="AQ860" i="2" l="1"/>
  <c r="AS859" i="2"/>
  <c r="AR859" i="2"/>
  <c r="AT858" i="2"/>
  <c r="AU858" i="2" s="1"/>
  <c r="AV858" i="2" s="1"/>
  <c r="AT859" i="2" l="1"/>
  <c r="AU859" i="2" s="1"/>
  <c r="AV859" i="2" s="1"/>
  <c r="AS860" i="2"/>
  <c r="AQ861" i="2"/>
  <c r="AR860" i="2"/>
  <c r="AT860" i="2" l="1"/>
  <c r="AU860" i="2" s="1"/>
  <c r="AV860" i="2" s="1"/>
  <c r="AR861" i="2"/>
  <c r="AS861" i="2"/>
  <c r="AT861" i="2" s="1"/>
  <c r="AU861" i="2" s="1"/>
  <c r="AV861" i="2" s="1"/>
  <c r="AQ862" i="2"/>
  <c r="AR862" i="2" l="1"/>
  <c r="AQ863" i="2"/>
  <c r="AS862" i="2"/>
  <c r="AS863" i="2" l="1"/>
  <c r="AQ864" i="2"/>
  <c r="AR863" i="2"/>
  <c r="AT862" i="2"/>
  <c r="AU862" i="2" s="1"/>
  <c r="AV862" i="2" s="1"/>
  <c r="AT863" i="2" l="1"/>
  <c r="AU863" i="2" s="1"/>
  <c r="AV863" i="2" s="1"/>
  <c r="AS864" i="2"/>
  <c r="AR864" i="2"/>
  <c r="AQ865" i="2"/>
  <c r="AT864" i="2" l="1"/>
  <c r="AU864" i="2" s="1"/>
  <c r="AV864" i="2" s="1"/>
  <c r="AS865" i="2"/>
  <c r="AQ866" i="2"/>
  <c r="AR865" i="2"/>
  <c r="AT865" i="2" l="1"/>
  <c r="AU865" i="2" s="1"/>
  <c r="AV865" i="2" s="1"/>
  <c r="AS866" i="2"/>
  <c r="AQ867" i="2"/>
  <c r="AR866" i="2"/>
  <c r="AT866" i="2" l="1"/>
  <c r="AU866" i="2" s="1"/>
  <c r="AV866" i="2" s="1"/>
  <c r="AR867" i="2"/>
  <c r="AS867" i="2"/>
  <c r="AQ868" i="2"/>
  <c r="AT867" i="2" l="1"/>
  <c r="AU867" i="2" s="1"/>
  <c r="AV867" i="2" s="1"/>
  <c r="AS868" i="2"/>
  <c r="AQ869" i="2"/>
  <c r="AR868" i="2"/>
  <c r="AT868" i="2" l="1"/>
  <c r="AU868" i="2" s="1"/>
  <c r="AV868" i="2" s="1"/>
  <c r="AS869" i="2"/>
  <c r="AR869" i="2"/>
  <c r="AQ870" i="2"/>
  <c r="AT869" i="2" l="1"/>
  <c r="AU869" i="2" s="1"/>
  <c r="AV869" i="2" s="1"/>
  <c r="AR870" i="2"/>
  <c r="AS870" i="2"/>
  <c r="AQ871" i="2"/>
  <c r="AT870" i="2" l="1"/>
  <c r="AU870" i="2" s="1"/>
  <c r="AV870" i="2" s="1"/>
  <c r="AS871" i="2"/>
  <c r="AQ872" i="2"/>
  <c r="AR871" i="2"/>
  <c r="AT871" i="2" l="1"/>
  <c r="AU871" i="2" s="1"/>
  <c r="AV871" i="2" s="1"/>
  <c r="AR872" i="2"/>
  <c r="AS872" i="2"/>
  <c r="AT872" i="2" s="1"/>
  <c r="AU872" i="2" s="1"/>
  <c r="AV872" i="2" s="1"/>
  <c r="AQ873" i="2"/>
  <c r="AS873" i="2" l="1"/>
  <c r="AQ874" i="2"/>
  <c r="AR873" i="2"/>
  <c r="AT873" i="2" l="1"/>
  <c r="AU873" i="2" s="1"/>
  <c r="AV873" i="2" s="1"/>
  <c r="AQ875" i="2"/>
  <c r="AS874" i="2"/>
  <c r="AR874" i="2"/>
  <c r="AT874" i="2" l="1"/>
  <c r="AU874" i="2" s="1"/>
  <c r="AV874" i="2" s="1"/>
  <c r="AS875" i="2"/>
  <c r="AR875" i="2"/>
  <c r="AQ876" i="2"/>
  <c r="AT875" i="2" l="1"/>
  <c r="AU875" i="2" s="1"/>
  <c r="AV875" i="2" s="1"/>
  <c r="AQ877" i="2"/>
  <c r="AR876" i="2"/>
  <c r="AS876" i="2"/>
  <c r="AT876" i="2" l="1"/>
  <c r="AU876" i="2" s="1"/>
  <c r="AV876" i="2" s="1"/>
  <c r="AS877" i="2"/>
  <c r="AR877" i="2"/>
  <c r="AQ878" i="2"/>
  <c r="AT877" i="2" l="1"/>
  <c r="AU877" i="2" s="1"/>
  <c r="AV877" i="2" s="1"/>
  <c r="AQ879" i="2"/>
  <c r="AR878" i="2"/>
  <c r="AS878" i="2"/>
  <c r="AT878" i="2" s="1"/>
  <c r="AU878" i="2" s="1"/>
  <c r="AV878" i="2" s="1"/>
  <c r="AR879" i="2" l="1"/>
  <c r="AS879" i="2"/>
  <c r="AT879" i="2" s="1"/>
  <c r="AU879" i="2" s="1"/>
  <c r="AV879" i="2" s="1"/>
  <c r="AQ880" i="2"/>
  <c r="AS880" i="2" l="1"/>
  <c r="AQ881" i="2"/>
  <c r="AR880" i="2"/>
  <c r="AT880" i="2" l="1"/>
  <c r="AU880" i="2" s="1"/>
  <c r="AV880" i="2" s="1"/>
  <c r="AQ882" i="2"/>
  <c r="AR881" i="2"/>
  <c r="AS881" i="2"/>
  <c r="AT881" i="2" l="1"/>
  <c r="AU881" i="2" s="1"/>
  <c r="AV881" i="2" s="1"/>
  <c r="AQ883" i="2"/>
  <c r="AR882" i="2"/>
  <c r="AS882" i="2"/>
  <c r="AT882" i="2" l="1"/>
  <c r="AU882" i="2" s="1"/>
  <c r="AV882" i="2" s="1"/>
  <c r="AS883" i="2"/>
  <c r="AQ884" i="2"/>
  <c r="AR883" i="2"/>
  <c r="AT883" i="2" s="1"/>
  <c r="AU883" i="2" s="1"/>
  <c r="AV883" i="2" s="1"/>
  <c r="AQ885" i="2" l="1"/>
  <c r="AS884" i="2"/>
  <c r="AR884" i="2"/>
  <c r="AT884" i="2" l="1"/>
  <c r="AU884" i="2" s="1"/>
  <c r="AV884" i="2" s="1"/>
  <c r="AQ886" i="2"/>
  <c r="AS885" i="2"/>
  <c r="AR885" i="2"/>
  <c r="AT885" i="2" l="1"/>
  <c r="AU885" i="2" s="1"/>
  <c r="AV885" i="2" s="1"/>
  <c r="AR886" i="2"/>
  <c r="AS886" i="2"/>
  <c r="AQ887" i="2"/>
  <c r="AS887" i="2" l="1"/>
  <c r="AR887" i="2"/>
  <c r="AQ888" i="2"/>
  <c r="AT886" i="2"/>
  <c r="AU886" i="2" s="1"/>
  <c r="AV886" i="2" s="1"/>
  <c r="AT887" i="2" l="1"/>
  <c r="AU887" i="2" s="1"/>
  <c r="AV887" i="2" s="1"/>
  <c r="AS888" i="2"/>
  <c r="AQ889" i="2"/>
  <c r="AR888" i="2"/>
  <c r="AT888" i="2" l="1"/>
  <c r="AU888" i="2" s="1"/>
  <c r="AV888" i="2" s="1"/>
  <c r="AQ890" i="2"/>
  <c r="AS889" i="2"/>
  <c r="AR889" i="2"/>
  <c r="AT889" i="2" l="1"/>
  <c r="AU889" i="2" s="1"/>
  <c r="AV889" i="2" s="1"/>
  <c r="AR890" i="2"/>
  <c r="AS890" i="2"/>
  <c r="AT890" i="2" s="1"/>
  <c r="AU890" i="2" s="1"/>
  <c r="AV890" i="2" s="1"/>
  <c r="AQ891" i="2"/>
  <c r="AQ892" i="2" l="1"/>
  <c r="AR891" i="2"/>
  <c r="AS891" i="2"/>
  <c r="AT891" i="2" s="1"/>
  <c r="AU891" i="2" s="1"/>
  <c r="AV891" i="2" s="1"/>
  <c r="AQ893" i="2" l="1"/>
  <c r="AR892" i="2"/>
  <c r="AS892" i="2"/>
  <c r="AT892" i="2" s="1"/>
  <c r="AU892" i="2" s="1"/>
  <c r="AV892" i="2" s="1"/>
  <c r="AS893" i="2" l="1"/>
  <c r="AR893" i="2"/>
  <c r="AQ894" i="2"/>
  <c r="AT893" i="2" l="1"/>
  <c r="AU893" i="2" s="1"/>
  <c r="AV893" i="2" s="1"/>
  <c r="AS894" i="2"/>
  <c r="AR894" i="2"/>
  <c r="AQ895" i="2"/>
  <c r="AT894" i="2" l="1"/>
  <c r="AU894" i="2" s="1"/>
  <c r="AV894" i="2" s="1"/>
  <c r="AS895" i="2"/>
  <c r="AQ896" i="2"/>
  <c r="AR895" i="2"/>
  <c r="AT895" i="2" l="1"/>
  <c r="AU895" i="2" s="1"/>
  <c r="AV895" i="2" s="1"/>
  <c r="AQ897" i="2"/>
  <c r="AS896" i="2"/>
  <c r="AR896" i="2"/>
  <c r="AT896" i="2" l="1"/>
  <c r="AU896" i="2" s="1"/>
  <c r="AV896" i="2" s="1"/>
  <c r="AR897" i="2"/>
  <c r="AS897" i="2"/>
  <c r="AT897" i="2" s="1"/>
  <c r="AU897" i="2" s="1"/>
  <c r="AV897" i="2" s="1"/>
  <c r="AQ898" i="2"/>
  <c r="AS898" i="2" l="1"/>
  <c r="AR898" i="2"/>
  <c r="AQ899" i="2"/>
  <c r="AT898" i="2" l="1"/>
  <c r="AU898" i="2" s="1"/>
  <c r="AV898" i="2" s="1"/>
  <c r="AS899" i="2"/>
  <c r="AR899" i="2"/>
  <c r="AQ900" i="2"/>
  <c r="AT899" i="2" l="1"/>
  <c r="AU899" i="2" s="1"/>
  <c r="AV899" i="2" s="1"/>
  <c r="AQ901" i="2"/>
  <c r="AS900" i="2"/>
  <c r="AR900" i="2"/>
  <c r="AT900" i="2" l="1"/>
  <c r="AU900" i="2" s="1"/>
  <c r="AV900" i="2" s="1"/>
  <c r="AR901" i="2"/>
  <c r="AS901" i="2"/>
  <c r="AT901" i="2" s="1"/>
  <c r="AU901" i="2" s="1"/>
  <c r="AV901" i="2" s="1"/>
  <c r="AQ902" i="2"/>
  <c r="AR902" i="2" l="1"/>
  <c r="AQ903" i="2"/>
  <c r="AS902" i="2"/>
  <c r="AT902" i="2" s="1"/>
  <c r="AU902" i="2" s="1"/>
  <c r="AV902" i="2" s="1"/>
  <c r="AQ904" i="2" l="1"/>
  <c r="AS903" i="2"/>
  <c r="AR903" i="2"/>
  <c r="AT903" i="2" l="1"/>
  <c r="AU903" i="2" s="1"/>
  <c r="AV903" i="2" s="1"/>
  <c r="AS904" i="2"/>
  <c r="AR904" i="2"/>
  <c r="AQ905" i="2"/>
  <c r="AT904" i="2" l="1"/>
  <c r="AU904" i="2" s="1"/>
  <c r="AV904" i="2" s="1"/>
  <c r="AR905" i="2"/>
  <c r="AS905" i="2"/>
  <c r="AT905" i="2" s="1"/>
  <c r="AU905" i="2" s="1"/>
  <c r="AV905" i="2" s="1"/>
  <c r="AQ906" i="2"/>
  <c r="AS906" i="2" l="1"/>
  <c r="AR906" i="2"/>
  <c r="AQ907" i="2"/>
  <c r="AT906" i="2" l="1"/>
  <c r="AU906" i="2" s="1"/>
  <c r="AV906" i="2" s="1"/>
  <c r="AQ908" i="2"/>
  <c r="AS907" i="2"/>
  <c r="AR907" i="2"/>
  <c r="AT907" i="2" l="1"/>
  <c r="AU907" i="2" s="1"/>
  <c r="AV907" i="2" s="1"/>
  <c r="AR908" i="2"/>
  <c r="AQ909" i="2"/>
  <c r="AS908" i="2"/>
  <c r="AT908" i="2" l="1"/>
  <c r="AU908" i="2" s="1"/>
  <c r="AV908" i="2" s="1"/>
  <c r="AR909" i="2"/>
  <c r="AQ910" i="2"/>
  <c r="AS909" i="2"/>
  <c r="AT909" i="2" s="1"/>
  <c r="AU909" i="2" s="1"/>
  <c r="AV909" i="2" s="1"/>
  <c r="AQ911" i="2" l="1"/>
  <c r="AS910" i="2"/>
  <c r="AR910" i="2"/>
  <c r="AT910" i="2" l="1"/>
  <c r="AU910" i="2" s="1"/>
  <c r="AV910" i="2" s="1"/>
  <c r="AQ912" i="2"/>
  <c r="AR911" i="2"/>
  <c r="AS911" i="2"/>
  <c r="AT911" i="2" l="1"/>
  <c r="AU911" i="2" s="1"/>
  <c r="AV911" i="2" s="1"/>
  <c r="AQ913" i="2"/>
  <c r="AS912" i="2"/>
  <c r="AR912" i="2"/>
  <c r="AT912" i="2" l="1"/>
  <c r="AU912" i="2" s="1"/>
  <c r="AV912" i="2" s="1"/>
  <c r="AR913" i="2"/>
  <c r="AQ914" i="2"/>
  <c r="AS913" i="2"/>
  <c r="AT913" i="2" s="1"/>
  <c r="AU913" i="2" s="1"/>
  <c r="AV913" i="2" s="1"/>
  <c r="AS914" i="2" l="1"/>
  <c r="AQ915" i="2"/>
  <c r="AR914" i="2"/>
  <c r="AT914" i="2" l="1"/>
  <c r="AU914" i="2" s="1"/>
  <c r="AV914" i="2" s="1"/>
  <c r="AS915" i="2"/>
  <c r="AQ916" i="2"/>
  <c r="AR915" i="2"/>
  <c r="AQ917" i="2" l="1"/>
  <c r="AS916" i="2"/>
  <c r="AR916" i="2"/>
  <c r="AT915" i="2"/>
  <c r="AU915" i="2" s="1"/>
  <c r="AV915" i="2" s="1"/>
  <c r="AT916" i="2" l="1"/>
  <c r="AU916" i="2" s="1"/>
  <c r="AV916" i="2" s="1"/>
  <c r="AQ918" i="2"/>
  <c r="AR917" i="2"/>
  <c r="AS917" i="2"/>
  <c r="AT917" i="2" l="1"/>
  <c r="AU917" i="2" s="1"/>
  <c r="AV917" i="2" s="1"/>
  <c r="AS918" i="2"/>
  <c r="AR918" i="2"/>
  <c r="AQ919" i="2"/>
  <c r="AT918" i="2" l="1"/>
  <c r="AU918" i="2" s="1"/>
  <c r="AV918" i="2" s="1"/>
  <c r="AR919" i="2"/>
  <c r="AQ920" i="2"/>
  <c r="AS919" i="2"/>
  <c r="AT919" i="2" s="1"/>
  <c r="AU919" i="2" s="1"/>
  <c r="AV919" i="2" s="1"/>
  <c r="AQ921" i="2" l="1"/>
  <c r="AR920" i="2"/>
  <c r="AS920" i="2"/>
  <c r="AT920" i="2" s="1"/>
  <c r="AU920" i="2" s="1"/>
  <c r="AV920" i="2" s="1"/>
  <c r="AS921" i="2" l="1"/>
  <c r="AQ922" i="2"/>
  <c r="AR921" i="2"/>
  <c r="AT921" i="2" l="1"/>
  <c r="AU921" i="2" s="1"/>
  <c r="AV921" i="2" s="1"/>
  <c r="AQ923" i="2"/>
  <c r="AS922" i="2"/>
  <c r="AR922" i="2"/>
  <c r="AT922" i="2" l="1"/>
  <c r="AU922" i="2" s="1"/>
  <c r="AV922" i="2" s="1"/>
  <c r="AS923" i="2"/>
  <c r="AR923" i="2"/>
  <c r="AQ924" i="2"/>
  <c r="AT923" i="2" l="1"/>
  <c r="AU923" i="2" s="1"/>
  <c r="AV923" i="2" s="1"/>
  <c r="AQ925" i="2"/>
  <c r="AR924" i="2"/>
  <c r="AS924" i="2"/>
  <c r="AT924" i="2" l="1"/>
  <c r="AU924" i="2" s="1"/>
  <c r="AV924" i="2" s="1"/>
  <c r="AQ926" i="2"/>
  <c r="AR925" i="2"/>
  <c r="AS925" i="2"/>
  <c r="AT925" i="2" l="1"/>
  <c r="AU925" i="2" s="1"/>
  <c r="AV925" i="2" s="1"/>
  <c r="AR926" i="2"/>
  <c r="AQ927" i="2"/>
  <c r="AS926" i="2"/>
  <c r="AT926" i="2" s="1"/>
  <c r="AU926" i="2" s="1"/>
  <c r="AV926" i="2" s="1"/>
  <c r="AS927" i="2" l="1"/>
  <c r="AQ928" i="2"/>
  <c r="AR927" i="2"/>
  <c r="AT927" i="2" l="1"/>
  <c r="AU927" i="2" s="1"/>
  <c r="AV927" i="2" s="1"/>
  <c r="AR928" i="2"/>
  <c r="AS928" i="2"/>
  <c r="AQ929" i="2"/>
  <c r="AT928" i="2" l="1"/>
  <c r="AU928" i="2" s="1"/>
  <c r="AV928" i="2" s="1"/>
  <c r="AQ930" i="2"/>
  <c r="AS929" i="2"/>
  <c r="AR929" i="2"/>
  <c r="AT929" i="2" l="1"/>
  <c r="AU929" i="2" s="1"/>
  <c r="AV929" i="2" s="1"/>
  <c r="AR930" i="2"/>
  <c r="AQ931" i="2"/>
  <c r="AS930" i="2"/>
  <c r="AT930" i="2" s="1"/>
  <c r="AU930" i="2" s="1"/>
  <c r="AV930" i="2" s="1"/>
  <c r="AR931" i="2" l="1"/>
  <c r="AQ932" i="2"/>
  <c r="AS931" i="2"/>
  <c r="AT931" i="2" s="1"/>
  <c r="AU931" i="2" s="1"/>
  <c r="AV931" i="2" s="1"/>
  <c r="AS932" i="2" l="1"/>
  <c r="AQ933" i="2"/>
  <c r="AR932" i="2"/>
  <c r="AT932" i="2" l="1"/>
  <c r="AU932" i="2" s="1"/>
  <c r="AV932" i="2" s="1"/>
  <c r="AR933" i="2"/>
  <c r="AQ934" i="2"/>
  <c r="AS933" i="2"/>
  <c r="AT933" i="2" s="1"/>
  <c r="AU933" i="2" s="1"/>
  <c r="AV933" i="2" s="1"/>
  <c r="AQ935" i="2" l="1"/>
  <c r="AR934" i="2"/>
  <c r="AS934" i="2"/>
  <c r="AT934" i="2" s="1"/>
  <c r="AU934" i="2" s="1"/>
  <c r="AV934" i="2" s="1"/>
  <c r="AQ936" i="2" l="1"/>
  <c r="AR935" i="2"/>
  <c r="AS935" i="2"/>
  <c r="AT935" i="2" l="1"/>
  <c r="AU935" i="2" s="1"/>
  <c r="AV935" i="2" s="1"/>
  <c r="AQ937" i="2"/>
  <c r="AR936" i="2"/>
  <c r="AS936" i="2"/>
  <c r="AT936" i="2" l="1"/>
  <c r="AU936" i="2" s="1"/>
  <c r="AV936" i="2" s="1"/>
  <c r="AR937" i="2"/>
  <c r="AQ938" i="2"/>
  <c r="AS937" i="2"/>
  <c r="AT937" i="2" l="1"/>
  <c r="AU937" i="2" s="1"/>
  <c r="AV937" i="2" s="1"/>
  <c r="AQ939" i="2"/>
  <c r="AR938" i="2"/>
  <c r="AS938" i="2"/>
  <c r="AT938" i="2" s="1"/>
  <c r="AU938" i="2" s="1"/>
  <c r="AV938" i="2" s="1"/>
  <c r="AQ940" i="2" l="1"/>
  <c r="AR939" i="2"/>
  <c r="AS939" i="2"/>
  <c r="AT939" i="2" s="1"/>
  <c r="AU939" i="2" s="1"/>
  <c r="AV939" i="2" s="1"/>
  <c r="AS940" i="2" l="1"/>
  <c r="AR940" i="2"/>
  <c r="AQ941" i="2"/>
  <c r="AT940" i="2" l="1"/>
  <c r="AU940" i="2" s="1"/>
  <c r="AV940" i="2" s="1"/>
  <c r="AS941" i="2"/>
  <c r="AR941" i="2"/>
  <c r="AQ942" i="2"/>
  <c r="AT941" i="2" l="1"/>
  <c r="AU941" i="2" s="1"/>
  <c r="AV941" i="2" s="1"/>
  <c r="AR942" i="2"/>
  <c r="AQ943" i="2"/>
  <c r="AS942" i="2"/>
  <c r="AT942" i="2" l="1"/>
  <c r="AU942" i="2" s="1"/>
  <c r="AV942" i="2" s="1"/>
  <c r="AR943" i="2"/>
  <c r="AS943" i="2"/>
  <c r="AQ944" i="2"/>
  <c r="AT943" i="2" l="1"/>
  <c r="AU943" i="2" s="1"/>
  <c r="AV943" i="2" s="1"/>
  <c r="AR944" i="2"/>
  <c r="AS944" i="2"/>
  <c r="AT944" i="2" s="1"/>
  <c r="AU944" i="2" s="1"/>
  <c r="AV944" i="2" s="1"/>
  <c r="AQ945" i="2"/>
  <c r="AQ946" i="2" l="1"/>
  <c r="AR945" i="2"/>
  <c r="AS945" i="2"/>
  <c r="AT945" i="2" l="1"/>
  <c r="AU945" i="2" s="1"/>
  <c r="AV945" i="2" s="1"/>
  <c r="AR946" i="2"/>
  <c r="AS946" i="2"/>
  <c r="AT946" i="2" s="1"/>
  <c r="AU946" i="2" s="1"/>
  <c r="AV946" i="2" s="1"/>
  <c r="AQ947" i="2"/>
  <c r="AR947" i="2" l="1"/>
  <c r="AQ948" i="2"/>
  <c r="AS947" i="2"/>
  <c r="AT947" i="2" l="1"/>
  <c r="AU947" i="2" s="1"/>
  <c r="AV947" i="2" s="1"/>
  <c r="AQ949" i="2"/>
  <c r="AS948" i="2"/>
  <c r="AR948" i="2"/>
  <c r="AT948" i="2" l="1"/>
  <c r="AU948" i="2" s="1"/>
  <c r="AV948" i="2" s="1"/>
  <c r="AR949" i="2"/>
  <c r="AS949" i="2"/>
  <c r="AT949" i="2" s="1"/>
  <c r="AU949" i="2" s="1"/>
  <c r="AV949" i="2" s="1"/>
  <c r="AQ950" i="2"/>
  <c r="AR950" i="2" l="1"/>
  <c r="AS950" i="2"/>
  <c r="AT950" i="2" s="1"/>
  <c r="AU950" i="2" s="1"/>
  <c r="AV950" i="2" s="1"/>
  <c r="AQ951" i="2"/>
  <c r="AR951" i="2" l="1"/>
  <c r="AQ952" i="2"/>
  <c r="AS951" i="2"/>
  <c r="AT951" i="2" s="1"/>
  <c r="AU951" i="2" s="1"/>
  <c r="AV951" i="2" s="1"/>
  <c r="AR952" i="2" l="1"/>
  <c r="AS952" i="2"/>
  <c r="AT952" i="2" s="1"/>
  <c r="AU952" i="2" s="1"/>
  <c r="AV952" i="2" s="1"/>
  <c r="AQ953" i="2"/>
  <c r="AQ954" i="2" l="1"/>
  <c r="AR953" i="2"/>
  <c r="AS953" i="2"/>
  <c r="AT953" i="2" s="1"/>
  <c r="AU953" i="2" s="1"/>
  <c r="AV953" i="2" s="1"/>
  <c r="AR954" i="2" l="1"/>
  <c r="AS954" i="2"/>
  <c r="AT954" i="2" s="1"/>
  <c r="AU954" i="2" s="1"/>
  <c r="AV954" i="2" s="1"/>
  <c r="AQ955" i="2"/>
  <c r="AS955" i="2" l="1"/>
  <c r="AQ956" i="2"/>
  <c r="AR955" i="2"/>
  <c r="AT955" i="2" l="1"/>
  <c r="AU955" i="2" s="1"/>
  <c r="AV955" i="2" s="1"/>
  <c r="AS956" i="2"/>
  <c r="AQ957" i="2"/>
  <c r="AR956" i="2"/>
  <c r="AR957" i="2" l="1"/>
  <c r="AS957" i="2"/>
  <c r="AT957" i="2" s="1"/>
  <c r="AU957" i="2" s="1"/>
  <c r="AV957" i="2" s="1"/>
  <c r="AQ958" i="2"/>
  <c r="AT956" i="2"/>
  <c r="AU956" i="2" s="1"/>
  <c r="AV956" i="2" s="1"/>
  <c r="AR958" i="2" l="1"/>
  <c r="AQ959" i="2"/>
  <c r="AS958" i="2"/>
  <c r="AT958" i="2" s="1"/>
  <c r="AU958" i="2" s="1"/>
  <c r="AV958" i="2" s="1"/>
  <c r="AS959" i="2" l="1"/>
  <c r="AQ960" i="2"/>
  <c r="AR959" i="2"/>
  <c r="AT959" i="2" l="1"/>
  <c r="AU959" i="2" s="1"/>
  <c r="AV959" i="2" s="1"/>
  <c r="AS960" i="2"/>
  <c r="AQ961" i="2"/>
  <c r="AR960" i="2"/>
  <c r="AT960" i="2" l="1"/>
  <c r="AU960" i="2" s="1"/>
  <c r="AV960" i="2" s="1"/>
  <c r="AR961" i="2"/>
  <c r="AS961" i="2"/>
  <c r="AT961" i="2" s="1"/>
  <c r="AU961" i="2" s="1"/>
  <c r="AV961" i="2" s="1"/>
  <c r="AQ962" i="2"/>
  <c r="AR962" i="2" l="1"/>
  <c r="AQ963" i="2"/>
  <c r="AS962" i="2"/>
  <c r="AT962" i="2" l="1"/>
  <c r="AU962" i="2" s="1"/>
  <c r="AV962" i="2" s="1"/>
  <c r="AQ964" i="2"/>
  <c r="AR963" i="2"/>
  <c r="AS963" i="2"/>
  <c r="AT963" i="2" s="1"/>
  <c r="AU963" i="2" s="1"/>
  <c r="AV963" i="2" s="1"/>
  <c r="AR964" i="2" l="1"/>
  <c r="AQ965" i="2"/>
  <c r="AS964" i="2"/>
  <c r="AT964" i="2" s="1"/>
  <c r="AU964" i="2" s="1"/>
  <c r="AV964" i="2" s="1"/>
  <c r="AS965" i="2" l="1"/>
  <c r="AQ966" i="2"/>
  <c r="AR965" i="2"/>
  <c r="AT965" i="2" l="1"/>
  <c r="AU965" i="2" s="1"/>
  <c r="AV965" i="2" s="1"/>
  <c r="AR966" i="2"/>
  <c r="AQ967" i="2"/>
  <c r="AS966" i="2"/>
  <c r="AT966" i="2" s="1"/>
  <c r="AU966" i="2" s="1"/>
  <c r="AV966" i="2" s="1"/>
  <c r="AR967" i="2" l="1"/>
  <c r="AS967" i="2"/>
  <c r="AT967" i="2" s="1"/>
  <c r="AU967" i="2" s="1"/>
  <c r="AV967" i="2" s="1"/>
  <c r="AQ968" i="2"/>
  <c r="AR968" i="2" l="1"/>
  <c r="AS968" i="2"/>
  <c r="AT968" i="2" s="1"/>
  <c r="AU968" i="2" s="1"/>
  <c r="AV968" i="2" s="1"/>
  <c r="AQ969" i="2"/>
  <c r="AQ970" i="2" l="1"/>
  <c r="AR969" i="2"/>
  <c r="AS969" i="2"/>
  <c r="AT969" i="2" l="1"/>
  <c r="AU969" i="2" s="1"/>
  <c r="AV969" i="2" s="1"/>
  <c r="AQ971" i="2"/>
  <c r="AR970" i="2"/>
  <c r="AS970" i="2"/>
  <c r="AT970" i="2" l="1"/>
  <c r="AU970" i="2" s="1"/>
  <c r="AV970" i="2" s="1"/>
  <c r="AQ972" i="2"/>
  <c r="AS971" i="2"/>
  <c r="AR971" i="2"/>
  <c r="AT971" i="2" l="1"/>
  <c r="AU971" i="2" s="1"/>
  <c r="AV971" i="2" s="1"/>
  <c r="AR972" i="2"/>
  <c r="AS972" i="2"/>
  <c r="AQ973" i="2"/>
  <c r="AT972" i="2" l="1"/>
  <c r="AU972" i="2" s="1"/>
  <c r="AV972" i="2" s="1"/>
  <c r="AR973" i="2"/>
  <c r="AS973" i="2"/>
  <c r="AT973" i="2" s="1"/>
  <c r="AU973" i="2" s="1"/>
  <c r="AV973" i="2" s="1"/>
  <c r="AQ974" i="2"/>
  <c r="AQ975" i="2" l="1"/>
  <c r="AS974" i="2"/>
  <c r="AR974" i="2"/>
  <c r="AT974" i="2" l="1"/>
  <c r="AU974" i="2" s="1"/>
  <c r="AV974" i="2" s="1"/>
  <c r="AQ976" i="2"/>
  <c r="AR975" i="2"/>
  <c r="AS975" i="2"/>
  <c r="AT975" i="2" l="1"/>
  <c r="AU975" i="2" s="1"/>
  <c r="AV975" i="2" s="1"/>
  <c r="AS976" i="2"/>
  <c r="AR976" i="2"/>
  <c r="AQ977" i="2"/>
  <c r="AT976" i="2" l="1"/>
  <c r="AU976" i="2" s="1"/>
  <c r="AV976" i="2" s="1"/>
  <c r="AS977" i="2"/>
  <c r="AR977" i="2"/>
  <c r="AQ978" i="2"/>
  <c r="AT977" i="2" l="1"/>
  <c r="AU977" i="2" s="1"/>
  <c r="AV977" i="2" s="1"/>
  <c r="AR978" i="2"/>
  <c r="AQ979" i="2"/>
  <c r="AS978" i="2"/>
  <c r="AT978" i="2" s="1"/>
  <c r="AU978" i="2" s="1"/>
  <c r="AV978" i="2" s="1"/>
  <c r="AS979" i="2" l="1"/>
  <c r="AQ980" i="2"/>
  <c r="AR979" i="2"/>
  <c r="AT979" i="2" l="1"/>
  <c r="AU979" i="2" s="1"/>
  <c r="AV979" i="2" s="1"/>
  <c r="AR980" i="2"/>
  <c r="AS980" i="2"/>
  <c r="AT980" i="2" s="1"/>
  <c r="AU980" i="2" s="1"/>
  <c r="AV980" i="2" s="1"/>
  <c r="AQ981" i="2"/>
  <c r="AS981" i="2" l="1"/>
  <c r="AQ982" i="2"/>
  <c r="AR981" i="2"/>
  <c r="AT981" i="2" l="1"/>
  <c r="AU981" i="2" s="1"/>
  <c r="AV981" i="2" s="1"/>
  <c r="AQ983" i="2"/>
  <c r="AR982" i="2"/>
  <c r="AS982" i="2"/>
  <c r="AT982" i="2" l="1"/>
  <c r="AU982" i="2" s="1"/>
  <c r="AV982" i="2" s="1"/>
  <c r="AR983" i="2"/>
  <c r="AQ984" i="2"/>
  <c r="AS983" i="2"/>
  <c r="AT983" i="2" s="1"/>
  <c r="AU983" i="2" s="1"/>
  <c r="AV983" i="2" s="1"/>
  <c r="AS984" i="2" l="1"/>
  <c r="AQ985" i="2"/>
  <c r="AR984" i="2"/>
  <c r="AT984" i="2" l="1"/>
  <c r="AU984" i="2" s="1"/>
  <c r="AV984" i="2" s="1"/>
  <c r="AS985" i="2"/>
  <c r="AR985" i="2"/>
  <c r="AQ986" i="2"/>
  <c r="AT985" i="2" l="1"/>
  <c r="AU985" i="2" s="1"/>
  <c r="AV985" i="2" s="1"/>
  <c r="AR986" i="2"/>
  <c r="AS986" i="2"/>
  <c r="AQ987" i="2"/>
  <c r="AT986" i="2" l="1"/>
  <c r="AU986" i="2" s="1"/>
  <c r="AV986" i="2" s="1"/>
  <c r="AS987" i="2"/>
  <c r="AR987" i="2"/>
  <c r="AQ988" i="2"/>
  <c r="AT987" i="2" l="1"/>
  <c r="AU987" i="2" s="1"/>
  <c r="AV987" i="2" s="1"/>
  <c r="AQ989" i="2"/>
  <c r="AR988" i="2"/>
  <c r="AS988" i="2"/>
  <c r="AT988" i="2" s="1"/>
  <c r="AU988" i="2" s="1"/>
  <c r="AV988" i="2" s="1"/>
  <c r="AQ990" i="2" l="1"/>
  <c r="AS989" i="2"/>
  <c r="AR989" i="2"/>
  <c r="AT989" i="2" l="1"/>
  <c r="AU989" i="2" s="1"/>
  <c r="AV989" i="2" s="1"/>
  <c r="AQ991" i="2"/>
  <c r="AR990" i="2"/>
  <c r="AS990" i="2"/>
  <c r="AT990" i="2" l="1"/>
  <c r="AU990" i="2" s="1"/>
  <c r="AV990" i="2" s="1"/>
  <c r="AS991" i="2"/>
  <c r="AR991" i="2"/>
  <c r="AQ992" i="2"/>
  <c r="AT991" i="2" l="1"/>
  <c r="AU991" i="2" s="1"/>
  <c r="AV991" i="2" s="1"/>
  <c r="AR992" i="2"/>
  <c r="AS992" i="2"/>
  <c r="AQ993" i="2"/>
  <c r="AT992" i="2" l="1"/>
  <c r="AU992" i="2" s="1"/>
  <c r="AV992" i="2" s="1"/>
  <c r="AR993" i="2"/>
  <c r="AQ994" i="2"/>
  <c r="AS993" i="2"/>
  <c r="AT993" i="2" s="1"/>
  <c r="AU993" i="2" s="1"/>
  <c r="AV993" i="2" s="1"/>
  <c r="AR994" i="2" l="1"/>
  <c r="AS994" i="2"/>
  <c r="AQ995" i="2"/>
  <c r="AT994" i="2" l="1"/>
  <c r="AU994" i="2" s="1"/>
  <c r="AV994" i="2" s="1"/>
  <c r="AQ996" i="2"/>
  <c r="AR995" i="2"/>
  <c r="AS995" i="2"/>
  <c r="AT995" i="2" l="1"/>
  <c r="AU995" i="2" s="1"/>
  <c r="AV995" i="2" s="1"/>
  <c r="AS996" i="2"/>
  <c r="AR996" i="2"/>
  <c r="AQ997" i="2"/>
  <c r="AT996" i="2" l="1"/>
  <c r="AU996" i="2" s="1"/>
  <c r="AV996" i="2" s="1"/>
  <c r="AQ998" i="2"/>
  <c r="AS997" i="2"/>
  <c r="AR997" i="2"/>
  <c r="AT997" i="2" l="1"/>
  <c r="AU997" i="2" s="1"/>
  <c r="AV997" i="2" s="1"/>
  <c r="AS998" i="2"/>
  <c r="AR998" i="2"/>
  <c r="AQ999" i="2"/>
  <c r="AT998" i="2" l="1"/>
  <c r="AU998" i="2" s="1"/>
  <c r="AV998" i="2" s="1"/>
  <c r="AQ1000" i="2"/>
  <c r="AR999" i="2"/>
  <c r="AS999" i="2"/>
  <c r="AT999" i="2" l="1"/>
  <c r="AU999" i="2" s="1"/>
  <c r="AV999" i="2" s="1"/>
  <c r="AR1000" i="2"/>
  <c r="AS1000" i="2"/>
  <c r="AT1000" i="2" s="1"/>
  <c r="AU1000" i="2" s="1"/>
  <c r="AV1000" i="2" s="1"/>
  <c r="AQ1001" i="2"/>
  <c r="AQ1002" i="2" l="1"/>
  <c r="AR1001" i="2"/>
  <c r="AS1001" i="2"/>
  <c r="AT1001" i="2" s="1"/>
  <c r="AU1001" i="2" s="1"/>
  <c r="AV1001" i="2" s="1"/>
  <c r="AQ1003" i="2" l="1"/>
  <c r="AR1002" i="2"/>
  <c r="AS1002" i="2"/>
  <c r="AT1002" i="2" l="1"/>
  <c r="AU1002" i="2" s="1"/>
  <c r="AV1002" i="2" s="1"/>
  <c r="AR1003" i="2"/>
  <c r="AS1003" i="2"/>
  <c r="AT1003" i="2" s="1"/>
  <c r="AU1003" i="2" s="1"/>
  <c r="AV1003" i="2" s="1"/>
  <c r="AQ1004" i="2"/>
  <c r="AS1004" i="2" l="1"/>
  <c r="AR1004" i="2"/>
  <c r="AQ1005" i="2"/>
  <c r="AT1004" i="2" l="1"/>
  <c r="AU1004" i="2" s="1"/>
  <c r="AV1004" i="2" s="1"/>
  <c r="AQ1006" i="2"/>
  <c r="AR1005" i="2"/>
  <c r="AS1005" i="2"/>
  <c r="AT1005" i="2" l="1"/>
  <c r="AU1005" i="2" s="1"/>
  <c r="AV1005" i="2" s="1"/>
  <c r="AR1006" i="2"/>
  <c r="AS1006" i="2"/>
  <c r="AQ1007" i="2"/>
  <c r="AT1006" i="2" l="1"/>
  <c r="AU1006" i="2" s="1"/>
  <c r="AV1006" i="2" s="1"/>
  <c r="AS1007" i="2"/>
  <c r="AR1007" i="2"/>
  <c r="AQ1008" i="2"/>
  <c r="AT1007" i="2" l="1"/>
  <c r="AU1007" i="2" s="1"/>
  <c r="AV1007" i="2" s="1"/>
  <c r="AR1008" i="2"/>
  <c r="AS1008" i="2"/>
  <c r="AQ1009" i="2"/>
  <c r="AT1008" i="2" l="1"/>
  <c r="AU1008" i="2" s="1"/>
  <c r="AV1008" i="2" s="1"/>
  <c r="AR1009" i="2"/>
  <c r="AS1009" i="2"/>
  <c r="AT1009" i="2" s="1"/>
  <c r="AU1009" i="2" s="1"/>
  <c r="AV1009" i="2" s="1"/>
  <c r="AQ1010" i="2"/>
  <c r="AQ1011" i="2" l="1"/>
  <c r="AS1010" i="2"/>
  <c r="AR1010" i="2"/>
  <c r="AT1010" i="2" l="1"/>
  <c r="AU1010" i="2" s="1"/>
  <c r="AV1010" i="2" s="1"/>
  <c r="AS1011" i="2"/>
  <c r="AQ1012" i="2"/>
  <c r="AR1011" i="2"/>
  <c r="AT1011" i="2" l="1"/>
  <c r="AU1011" i="2" s="1"/>
  <c r="AV1011" i="2" s="1"/>
  <c r="AQ1013" i="2"/>
  <c r="AR1012" i="2"/>
  <c r="AS1012" i="2"/>
  <c r="AT1012" i="2" l="1"/>
  <c r="AU1012" i="2" s="1"/>
  <c r="AV1012" i="2" s="1"/>
  <c r="AQ1014" i="2"/>
  <c r="AS1013" i="2"/>
  <c r="AR1013" i="2"/>
  <c r="AT1013" i="2" l="1"/>
  <c r="AU1013" i="2" s="1"/>
  <c r="AV1013" i="2" s="1"/>
  <c r="AQ1015" i="2"/>
  <c r="AR1014" i="2"/>
  <c r="AS1014" i="2"/>
  <c r="AT1014" i="2" l="1"/>
  <c r="AU1014" i="2" s="1"/>
  <c r="AV1014" i="2" s="1"/>
  <c r="AS1015" i="2"/>
  <c r="AQ1016" i="2"/>
  <c r="AR1015" i="2"/>
  <c r="AT1015" i="2" l="1"/>
  <c r="AU1015" i="2" s="1"/>
  <c r="AV1015" i="2" s="1"/>
  <c r="AQ1017" i="2"/>
  <c r="AS1016" i="2"/>
  <c r="AR1016" i="2"/>
  <c r="AT1016" i="2" l="1"/>
  <c r="AU1016" i="2" s="1"/>
  <c r="AV1016" i="2" s="1"/>
  <c r="AS1017" i="2"/>
  <c r="AQ1018" i="2"/>
  <c r="AR1017" i="2"/>
  <c r="AT1017" i="2" l="1"/>
  <c r="AU1017" i="2" s="1"/>
  <c r="AV1017" i="2" s="1"/>
  <c r="AS1018" i="2"/>
  <c r="AR1018" i="2"/>
  <c r="AQ1019" i="2"/>
  <c r="AT1018" i="2" l="1"/>
  <c r="AU1018" i="2" s="1"/>
  <c r="AV1018" i="2" s="1"/>
  <c r="AS1019" i="2"/>
  <c r="AQ1020" i="2"/>
  <c r="AR1019" i="2"/>
  <c r="AT1019" i="2" l="1"/>
  <c r="AU1019" i="2" s="1"/>
  <c r="AV1019" i="2" s="1"/>
  <c r="AR1020" i="2"/>
  <c r="AQ1021" i="2"/>
  <c r="AS1020" i="2"/>
  <c r="AT1020" i="2" s="1"/>
  <c r="AU1020" i="2" s="1"/>
  <c r="AV1020" i="2" s="1"/>
  <c r="AR1021" i="2" l="1"/>
  <c r="AS1021" i="2"/>
  <c r="AT1021" i="2" s="1"/>
  <c r="AU1021" i="2" s="1"/>
  <c r="AV1021" i="2" s="1"/>
  <c r="AQ1022" i="2"/>
  <c r="AR1022" i="2" l="1"/>
  <c r="AQ1023" i="2"/>
  <c r="AS1022" i="2"/>
  <c r="AT1022" i="2" s="1"/>
  <c r="AU1022" i="2" s="1"/>
  <c r="AV1022" i="2" s="1"/>
  <c r="AQ1024" i="2" l="1"/>
  <c r="AS1023" i="2"/>
  <c r="AR1023" i="2"/>
  <c r="AT1023" i="2" l="1"/>
  <c r="AU1023" i="2" s="1"/>
  <c r="AV1023" i="2" s="1"/>
  <c r="AQ1025" i="2"/>
  <c r="AS1024" i="2"/>
  <c r="AR1024" i="2"/>
  <c r="AT1024" i="2" l="1"/>
  <c r="AU1024" i="2" s="1"/>
  <c r="AV1024" i="2" s="1"/>
  <c r="AQ1026" i="2"/>
  <c r="AS1025" i="2"/>
  <c r="AR1025" i="2"/>
  <c r="AT1025" i="2" l="1"/>
  <c r="AU1025" i="2" s="1"/>
  <c r="AV1025" i="2" s="1"/>
  <c r="AR1026" i="2"/>
  <c r="AQ1027" i="2"/>
  <c r="AS1026" i="2"/>
  <c r="AT1026" i="2" s="1"/>
  <c r="AU1026" i="2" s="1"/>
  <c r="AV1026" i="2" s="1"/>
  <c r="AS1027" i="2" l="1"/>
  <c r="AQ1028" i="2"/>
  <c r="AR1027" i="2"/>
  <c r="AT1027" i="2" l="1"/>
  <c r="AU1027" i="2" s="1"/>
  <c r="AV1027" i="2" s="1"/>
  <c r="AQ1029" i="2"/>
  <c r="AS1028" i="2"/>
  <c r="AR1028" i="2"/>
  <c r="AT1028" i="2" l="1"/>
  <c r="AU1028" i="2" s="1"/>
  <c r="AV1028" i="2" s="1"/>
  <c r="AS1029" i="2"/>
  <c r="AR1029" i="2"/>
  <c r="AQ1030" i="2"/>
  <c r="AT1029" i="2" l="1"/>
  <c r="AU1029" i="2" s="1"/>
  <c r="AV1029" i="2" s="1"/>
  <c r="AS1030" i="2"/>
  <c r="AQ1031" i="2"/>
  <c r="AR1030" i="2"/>
  <c r="AT1030" i="2" l="1"/>
  <c r="AU1030" i="2" s="1"/>
  <c r="AV1030" i="2" s="1"/>
  <c r="AS1031" i="2"/>
  <c r="AQ1032" i="2"/>
  <c r="AR1031" i="2"/>
  <c r="AT1031" i="2" l="1"/>
  <c r="AU1031" i="2" s="1"/>
  <c r="AV1031" i="2" s="1"/>
  <c r="AQ1033" i="2"/>
  <c r="AR1032" i="2"/>
  <c r="AS1032" i="2"/>
  <c r="AT1032" i="2" l="1"/>
  <c r="AU1032" i="2" s="1"/>
  <c r="AV1032" i="2" s="1"/>
  <c r="AS1033" i="2"/>
  <c r="AQ1034" i="2"/>
  <c r="AR1033" i="2"/>
  <c r="AT1033" i="2" l="1"/>
  <c r="AU1033" i="2" s="1"/>
  <c r="AV1033" i="2" s="1"/>
  <c r="AS1034" i="2"/>
  <c r="AQ1035" i="2"/>
  <c r="AR1034" i="2"/>
  <c r="AT1034" i="2" l="1"/>
  <c r="AU1034" i="2" s="1"/>
  <c r="AV1034" i="2" s="1"/>
  <c r="AQ1036" i="2"/>
  <c r="AR1035" i="2"/>
  <c r="AS1035" i="2"/>
  <c r="AT1035" i="2" l="1"/>
  <c r="AU1035" i="2" s="1"/>
  <c r="AV1035" i="2" s="1"/>
  <c r="AQ1037" i="2"/>
  <c r="AR1036" i="2"/>
  <c r="AS1036" i="2"/>
  <c r="AT1036" i="2" s="1"/>
  <c r="AU1036" i="2" s="1"/>
  <c r="AV1036" i="2" s="1"/>
  <c r="AQ1038" i="2" l="1"/>
  <c r="AR1037" i="2"/>
  <c r="AS1037" i="2"/>
  <c r="AT1037" i="2" s="1"/>
  <c r="AU1037" i="2" s="1"/>
  <c r="AV1037" i="2" s="1"/>
  <c r="AQ1039" i="2" l="1"/>
  <c r="AS1038" i="2"/>
  <c r="AR1038" i="2"/>
  <c r="AT1038" i="2" l="1"/>
  <c r="AU1038" i="2" s="1"/>
  <c r="AV1038" i="2" s="1"/>
  <c r="AR1039" i="2"/>
  <c r="AS1039" i="2"/>
  <c r="AT1039" i="2" s="1"/>
  <c r="AU1039" i="2" s="1"/>
  <c r="AV1039" i="2" s="1"/>
  <c r="AQ1040" i="2"/>
  <c r="AS1040" i="2" l="1"/>
  <c r="AR1040" i="2"/>
  <c r="AQ1041" i="2"/>
  <c r="AT1040" i="2" l="1"/>
  <c r="AU1040" i="2" s="1"/>
  <c r="AV1040" i="2" s="1"/>
  <c r="AR1041" i="2"/>
  <c r="AS1041" i="2"/>
  <c r="AT1041" i="2" s="1"/>
  <c r="AU1041" i="2" s="1"/>
  <c r="AV1041" i="2" s="1"/>
  <c r="AQ1042" i="2"/>
  <c r="AQ1043" i="2" l="1"/>
  <c r="AS1042" i="2"/>
  <c r="AR1042" i="2"/>
  <c r="AT1042" i="2" l="1"/>
  <c r="AU1042" i="2" s="1"/>
  <c r="AV1042" i="2" s="1"/>
  <c r="AS1043" i="2"/>
  <c r="AR1043" i="2"/>
  <c r="AQ1044" i="2"/>
  <c r="AT1043" i="2" l="1"/>
  <c r="AU1043" i="2" s="1"/>
  <c r="AV1043" i="2" s="1"/>
  <c r="AS1044" i="2"/>
  <c r="AR1044" i="2"/>
  <c r="AQ1045" i="2"/>
  <c r="AQ1046" i="2" l="1"/>
  <c r="AR1045" i="2"/>
  <c r="AS1045" i="2"/>
  <c r="AT1045" i="2" s="1"/>
  <c r="AU1045" i="2" s="1"/>
  <c r="AV1045" i="2" s="1"/>
  <c r="AT1044" i="2"/>
  <c r="AU1044" i="2" s="1"/>
  <c r="AV1044" i="2" s="1"/>
  <c r="AR1046" i="2" l="1"/>
  <c r="AS1046" i="2"/>
  <c r="AT1046" i="2" s="1"/>
  <c r="AU1046" i="2" s="1"/>
  <c r="AV1046" i="2" s="1"/>
  <c r="AQ1047" i="2"/>
  <c r="AQ1048" i="2" l="1"/>
  <c r="AS1047" i="2"/>
  <c r="AR1047" i="2"/>
  <c r="AT1047" i="2" l="1"/>
  <c r="AU1047" i="2" s="1"/>
  <c r="AV1047" i="2" s="1"/>
  <c r="AR1048" i="2"/>
  <c r="AQ1049" i="2"/>
  <c r="AS1048" i="2"/>
  <c r="AR1049" i="2" l="1"/>
  <c r="AS1049" i="2"/>
  <c r="AQ1050" i="2"/>
  <c r="AT1048" i="2"/>
  <c r="AU1048" i="2" s="1"/>
  <c r="AV1048" i="2" s="1"/>
  <c r="AT1049" i="2" l="1"/>
  <c r="AU1049" i="2" s="1"/>
  <c r="AV1049" i="2" s="1"/>
  <c r="AR1050" i="2"/>
  <c r="AS1050" i="2"/>
  <c r="AT1050" i="2" s="1"/>
  <c r="AU1050" i="2" s="1"/>
  <c r="AV1050" i="2" s="1"/>
  <c r="AQ1051" i="2"/>
  <c r="AR1051" i="2" l="1"/>
  <c r="AQ1052" i="2"/>
  <c r="AS1051" i="2"/>
  <c r="AT1051" i="2" s="1"/>
  <c r="AU1051" i="2" s="1"/>
  <c r="AV1051" i="2" s="1"/>
  <c r="AQ1053" i="2" l="1"/>
  <c r="AS1052" i="2"/>
  <c r="AR1052" i="2"/>
  <c r="AT1052" i="2" l="1"/>
  <c r="AU1052" i="2" s="1"/>
  <c r="AV1052" i="2" s="1"/>
  <c r="AR1053" i="2"/>
  <c r="AS1053" i="2"/>
  <c r="AT1053" i="2" s="1"/>
  <c r="AU1053" i="2" s="1"/>
  <c r="AV1053" i="2" s="1"/>
  <c r="AQ1054" i="2"/>
  <c r="AR1054" i="2" l="1"/>
  <c r="AS1054" i="2"/>
  <c r="AT1054" i="2" s="1"/>
  <c r="AU1054" i="2" s="1"/>
  <c r="AV1054" i="2" s="1"/>
  <c r="AQ1055" i="2"/>
  <c r="AR1055" i="2" l="1"/>
  <c r="AS1055" i="2"/>
  <c r="AT1055" i="2" s="1"/>
  <c r="AU1055" i="2" s="1"/>
  <c r="AV1055" i="2" s="1"/>
  <c r="AQ1056" i="2"/>
  <c r="AS1056" i="2" l="1"/>
  <c r="AR1056" i="2"/>
  <c r="AQ1057" i="2"/>
  <c r="AS1057" i="2" l="1"/>
  <c r="AQ1058" i="2"/>
  <c r="AR1057" i="2"/>
  <c r="AT1056" i="2"/>
  <c r="AU1056" i="2" s="1"/>
  <c r="AV1056" i="2" s="1"/>
  <c r="AT1057" i="2" l="1"/>
  <c r="AU1057" i="2" s="1"/>
  <c r="AV1057" i="2" s="1"/>
  <c r="AR1058" i="2"/>
  <c r="AS1058" i="2"/>
  <c r="AQ1059" i="2"/>
  <c r="AR1059" i="2" l="1"/>
  <c r="AS1059" i="2"/>
  <c r="AT1059" i="2" s="1"/>
  <c r="AU1059" i="2" s="1"/>
  <c r="AV1059" i="2" s="1"/>
  <c r="AQ1060" i="2"/>
  <c r="AT1058" i="2"/>
  <c r="AU1058" i="2" s="1"/>
  <c r="AV1058" i="2" s="1"/>
  <c r="AS1060" i="2" l="1"/>
  <c r="AR1060" i="2"/>
  <c r="AQ1061" i="2"/>
  <c r="AT1060" i="2" l="1"/>
  <c r="AU1060" i="2" s="1"/>
  <c r="AV1060" i="2" s="1"/>
  <c r="AS1061" i="2"/>
  <c r="AR1061" i="2"/>
  <c r="AQ1062" i="2"/>
  <c r="AT1061" i="2" l="1"/>
  <c r="AU1061" i="2" s="1"/>
  <c r="AV1061" i="2" s="1"/>
  <c r="AQ1063" i="2"/>
  <c r="AS1062" i="2"/>
  <c r="AR1062" i="2"/>
  <c r="AT1062" i="2" l="1"/>
  <c r="AU1062" i="2" s="1"/>
  <c r="AV1062" i="2" s="1"/>
  <c r="AR1063" i="2"/>
  <c r="AS1063" i="2"/>
  <c r="AQ1064" i="2"/>
  <c r="AT1063" i="2" l="1"/>
  <c r="AU1063" i="2" s="1"/>
  <c r="AV1063" i="2" s="1"/>
  <c r="AS1064" i="2"/>
  <c r="AR1064" i="2"/>
  <c r="AQ1065" i="2"/>
  <c r="AT1064" i="2" l="1"/>
  <c r="AU1064" i="2" s="1"/>
  <c r="AV1064" i="2" s="1"/>
  <c r="AQ1066" i="2"/>
  <c r="AR1065" i="2"/>
  <c r="AS1065" i="2"/>
  <c r="AT1065" i="2" s="1"/>
  <c r="AU1065" i="2" s="1"/>
  <c r="AV1065" i="2" s="1"/>
  <c r="AR1066" i="2" l="1"/>
  <c r="AQ1067" i="2"/>
  <c r="AS1066" i="2"/>
  <c r="AT1066" i="2" s="1"/>
  <c r="AU1066" i="2" s="1"/>
  <c r="AV1066" i="2" s="1"/>
  <c r="AQ1068" i="2" l="1"/>
  <c r="AS1067" i="2"/>
  <c r="AR1067" i="2"/>
  <c r="AT1067" i="2" l="1"/>
  <c r="AU1067" i="2" s="1"/>
  <c r="AV1067" i="2" s="1"/>
  <c r="AR1068" i="2"/>
  <c r="AQ1069" i="2"/>
  <c r="AS1068" i="2"/>
  <c r="AQ1070" i="2" l="1"/>
  <c r="AS1069" i="2"/>
  <c r="AR1069" i="2"/>
  <c r="AT1068" i="2"/>
  <c r="AU1068" i="2" s="1"/>
  <c r="AV1068" i="2" s="1"/>
  <c r="AT1069" i="2" l="1"/>
  <c r="AU1069" i="2" s="1"/>
  <c r="AV1069" i="2" s="1"/>
  <c r="AS1070" i="2"/>
  <c r="AQ1071" i="2"/>
  <c r="AR1070" i="2"/>
  <c r="AT1070" i="2" l="1"/>
  <c r="AU1070" i="2" s="1"/>
  <c r="AV1070" i="2" s="1"/>
  <c r="AQ1072" i="2"/>
  <c r="AS1071" i="2"/>
  <c r="AR1071" i="2"/>
  <c r="AT1071" i="2" l="1"/>
  <c r="AU1071" i="2" s="1"/>
  <c r="AV1071" i="2" s="1"/>
  <c r="AS1072" i="2"/>
  <c r="AQ1073" i="2"/>
  <c r="AR1072" i="2"/>
  <c r="AT1072" i="2" l="1"/>
  <c r="AU1072" i="2" s="1"/>
  <c r="AV1072" i="2" s="1"/>
  <c r="AQ1074" i="2"/>
  <c r="AR1073" i="2"/>
  <c r="AS1073" i="2"/>
  <c r="AT1073" i="2" l="1"/>
  <c r="AU1073" i="2" s="1"/>
  <c r="AV1073" i="2" s="1"/>
  <c r="AS1074" i="2"/>
  <c r="AR1074" i="2"/>
  <c r="AQ1075" i="2"/>
  <c r="AT1074" i="2" l="1"/>
  <c r="AU1074" i="2" s="1"/>
  <c r="AV1074" i="2" s="1"/>
  <c r="AR1075" i="2"/>
  <c r="AS1075" i="2"/>
  <c r="AT1075" i="2" s="1"/>
  <c r="AU1075" i="2" s="1"/>
  <c r="AV1075" i="2" s="1"/>
  <c r="AQ1076" i="2"/>
  <c r="AQ1077" i="2" l="1"/>
  <c r="AR1076" i="2"/>
  <c r="AS1076" i="2"/>
  <c r="AT1076" i="2" s="1"/>
  <c r="AU1076" i="2" s="1"/>
  <c r="AV1076" i="2" s="1"/>
  <c r="AS1077" i="2" l="1"/>
  <c r="AQ1078" i="2"/>
  <c r="AR1077" i="2"/>
  <c r="AT1077" i="2" l="1"/>
  <c r="AU1077" i="2" s="1"/>
  <c r="AV1077" i="2" s="1"/>
  <c r="AR1078" i="2"/>
  <c r="AQ1079" i="2"/>
  <c r="AS1078" i="2"/>
  <c r="AT1078" i="2" s="1"/>
  <c r="AU1078" i="2" s="1"/>
  <c r="AV1078" i="2" s="1"/>
  <c r="AR1079" i="2" l="1"/>
  <c r="AQ1080" i="2"/>
  <c r="AS1079" i="2"/>
  <c r="AT1079" i="2" s="1"/>
  <c r="AU1079" i="2" s="1"/>
  <c r="AV1079" i="2" s="1"/>
  <c r="AQ1081" i="2" l="1"/>
  <c r="AR1080" i="2"/>
  <c r="AS1080" i="2"/>
  <c r="AT1080" i="2" l="1"/>
  <c r="AU1080" i="2" s="1"/>
  <c r="AV1080" i="2" s="1"/>
  <c r="AR1081" i="2"/>
  <c r="AQ1082" i="2"/>
  <c r="AS1081" i="2"/>
  <c r="AT1081" i="2" s="1"/>
  <c r="AU1081" i="2" s="1"/>
  <c r="AV1081" i="2" s="1"/>
  <c r="AQ1083" i="2" l="1"/>
  <c r="AS1082" i="2"/>
  <c r="AR1082" i="2"/>
  <c r="AT1082" i="2" l="1"/>
  <c r="AU1082" i="2" s="1"/>
  <c r="AV1082" i="2" s="1"/>
  <c r="AQ1084" i="2"/>
  <c r="AR1083" i="2"/>
  <c r="AS1083" i="2"/>
  <c r="AT1083" i="2" l="1"/>
  <c r="AU1083" i="2" s="1"/>
  <c r="AV1083" i="2" s="1"/>
  <c r="AR1084" i="2"/>
  <c r="AS1084" i="2"/>
  <c r="AQ1085" i="2"/>
  <c r="AT1084" i="2" l="1"/>
  <c r="AU1084" i="2" s="1"/>
  <c r="AV1084" i="2" s="1"/>
  <c r="AR1085" i="2"/>
  <c r="AQ1086" i="2"/>
  <c r="AS1085" i="2"/>
  <c r="AQ1087" i="2" l="1"/>
  <c r="AR1086" i="2"/>
  <c r="AS1086" i="2"/>
  <c r="AT1086" i="2" s="1"/>
  <c r="AU1086" i="2" s="1"/>
  <c r="AV1086" i="2" s="1"/>
  <c r="AT1085" i="2"/>
  <c r="AU1085" i="2" s="1"/>
  <c r="AV1085" i="2" s="1"/>
  <c r="AR1087" i="2" l="1"/>
  <c r="AS1087" i="2"/>
  <c r="AT1087" i="2" s="1"/>
  <c r="AU1087" i="2" s="1"/>
  <c r="AV1087" i="2" s="1"/>
  <c r="AQ1088" i="2"/>
  <c r="AR1088" i="2" l="1"/>
  <c r="AS1088" i="2"/>
  <c r="AT1088" i="2" s="1"/>
  <c r="AU1088" i="2" s="1"/>
  <c r="AV1088" i="2" s="1"/>
  <c r="AQ1089" i="2"/>
  <c r="AR1089" i="2" l="1"/>
  <c r="AS1089" i="2"/>
  <c r="AT1089" i="2" s="1"/>
  <c r="AU1089" i="2" s="1"/>
  <c r="AV1089" i="2" s="1"/>
  <c r="AQ1090" i="2"/>
  <c r="AQ1091" i="2" l="1"/>
  <c r="AS1090" i="2"/>
  <c r="AR1090" i="2"/>
  <c r="AT1090" i="2" l="1"/>
  <c r="AU1090" i="2" s="1"/>
  <c r="AV1090" i="2" s="1"/>
  <c r="AQ1092" i="2"/>
  <c r="AS1091" i="2"/>
  <c r="AR1091" i="2"/>
  <c r="AT1091" i="2" l="1"/>
  <c r="AU1091" i="2" s="1"/>
  <c r="AV1091" i="2" s="1"/>
  <c r="AR1092" i="2"/>
  <c r="AS1092" i="2"/>
  <c r="AQ1093" i="2"/>
  <c r="AT1092" i="2" l="1"/>
  <c r="AU1092" i="2" s="1"/>
  <c r="AV1092" i="2" s="1"/>
  <c r="AS1093" i="2"/>
  <c r="AQ1094" i="2"/>
  <c r="AR1093" i="2"/>
  <c r="AT1093" i="2" l="1"/>
  <c r="AU1093" i="2" s="1"/>
  <c r="AV1093" i="2" s="1"/>
  <c r="AR1094" i="2"/>
  <c r="AQ1095" i="2"/>
  <c r="AS1094" i="2"/>
  <c r="AT1094" i="2" l="1"/>
  <c r="AU1094" i="2" s="1"/>
  <c r="AV1094" i="2" s="1"/>
  <c r="AS1095" i="2"/>
  <c r="AQ1096" i="2"/>
  <c r="AR1095" i="2"/>
  <c r="AT1095" i="2" l="1"/>
  <c r="AU1095" i="2" s="1"/>
  <c r="AV1095" i="2" s="1"/>
  <c r="AQ1097" i="2"/>
  <c r="AS1096" i="2"/>
  <c r="AR1096" i="2"/>
  <c r="AT1096" i="2" l="1"/>
  <c r="AU1096" i="2" s="1"/>
  <c r="AV1096" i="2" s="1"/>
  <c r="AS1097" i="2"/>
  <c r="AR1097" i="2"/>
  <c r="AQ1098" i="2"/>
  <c r="AT1097" i="2" l="1"/>
  <c r="AU1097" i="2" s="1"/>
  <c r="AV1097" i="2" s="1"/>
  <c r="AR1098" i="2"/>
  <c r="AQ1099" i="2"/>
  <c r="AS1098" i="2"/>
  <c r="AT1098" i="2" s="1"/>
  <c r="AU1098" i="2" s="1"/>
  <c r="AV1098" i="2" s="1"/>
  <c r="AQ1100" i="2" l="1"/>
  <c r="AR1099" i="2"/>
  <c r="AS1099" i="2"/>
  <c r="AT1099" i="2" l="1"/>
  <c r="AU1099" i="2" s="1"/>
  <c r="AV1099" i="2" s="1"/>
  <c r="AR1100" i="2"/>
  <c r="AS1100" i="2"/>
  <c r="AT1100" i="2" s="1"/>
  <c r="AU1100" i="2" s="1"/>
  <c r="AV1100" i="2" s="1"/>
  <c r="AQ1101" i="2"/>
  <c r="AQ1102" i="2" l="1"/>
  <c r="AS1101" i="2"/>
  <c r="AR1101" i="2"/>
  <c r="AT1101" i="2" l="1"/>
  <c r="AU1101" i="2" s="1"/>
  <c r="AV1101" i="2" s="1"/>
  <c r="AQ1103" i="2"/>
  <c r="AR1102" i="2"/>
  <c r="AS1102" i="2"/>
  <c r="AT1102" i="2" l="1"/>
  <c r="AU1102" i="2" s="1"/>
  <c r="AV1102" i="2" s="1"/>
  <c r="AR1103" i="2"/>
  <c r="AQ1104" i="2"/>
  <c r="AS1103" i="2"/>
  <c r="AT1103" i="2" s="1"/>
  <c r="AU1103" i="2" s="1"/>
  <c r="AV1103" i="2" s="1"/>
  <c r="AS1104" i="2" l="1"/>
  <c r="AR1104" i="2"/>
  <c r="AQ1105" i="2"/>
  <c r="AT1104" i="2" l="1"/>
  <c r="AU1104" i="2" s="1"/>
  <c r="AV1104" i="2" s="1"/>
  <c r="AQ1106" i="2"/>
  <c r="AR1105" i="2"/>
  <c r="AS1105" i="2"/>
  <c r="AT1105" i="2" l="1"/>
  <c r="AU1105" i="2" s="1"/>
  <c r="AV1105" i="2" s="1"/>
  <c r="AQ1107" i="2"/>
  <c r="AS1106" i="2"/>
  <c r="AR1106" i="2"/>
  <c r="AT1106" i="2" l="1"/>
  <c r="AU1106" i="2" s="1"/>
  <c r="AV1106" i="2" s="1"/>
  <c r="AQ1108" i="2"/>
  <c r="AR1107" i="2"/>
  <c r="AS1107" i="2"/>
  <c r="AT1107" i="2" l="1"/>
  <c r="AU1107" i="2" s="1"/>
  <c r="AV1107" i="2" s="1"/>
  <c r="AQ1109" i="2"/>
  <c r="AS1108" i="2"/>
  <c r="AR1108" i="2"/>
  <c r="AT1108" i="2" l="1"/>
  <c r="AU1108" i="2" s="1"/>
  <c r="AV1108" i="2" s="1"/>
  <c r="AS1109" i="2"/>
  <c r="AQ1110" i="2"/>
  <c r="AR1109" i="2"/>
  <c r="AT1109" i="2" l="1"/>
  <c r="AU1109" i="2" s="1"/>
  <c r="AV1109" i="2" s="1"/>
  <c r="AR1110" i="2"/>
  <c r="AS1110" i="2"/>
  <c r="AQ1111" i="2"/>
  <c r="AT1110" i="2" l="1"/>
  <c r="AU1110" i="2" s="1"/>
  <c r="AV1110" i="2" s="1"/>
  <c r="AR1111" i="2"/>
  <c r="AS1111" i="2"/>
  <c r="AT1111" i="2" s="1"/>
  <c r="AU1111" i="2" s="1"/>
  <c r="AV1111" i="2" s="1"/>
  <c r="AQ1112" i="2"/>
  <c r="AQ1113" i="2" l="1"/>
  <c r="AS1112" i="2"/>
  <c r="AR1112" i="2"/>
  <c r="AT1112" i="2" l="1"/>
  <c r="AU1112" i="2" s="1"/>
  <c r="AV1112" i="2" s="1"/>
  <c r="AR1113" i="2"/>
  <c r="AS1113" i="2"/>
  <c r="AT1113" i="2" s="1"/>
  <c r="AU1113" i="2" s="1"/>
  <c r="AV1113" i="2" s="1"/>
  <c r="AQ1114" i="2"/>
  <c r="AS1114" i="2" l="1"/>
  <c r="AQ1115" i="2"/>
  <c r="AR1114" i="2"/>
  <c r="AT1114" i="2" l="1"/>
  <c r="AU1114" i="2" s="1"/>
  <c r="AV1114" i="2" s="1"/>
  <c r="AR1115" i="2"/>
  <c r="AQ1116" i="2"/>
  <c r="AS1115" i="2"/>
  <c r="AT1115" i="2" s="1"/>
  <c r="AU1115" i="2" s="1"/>
  <c r="AV1115" i="2" s="1"/>
  <c r="AQ1117" i="2" l="1"/>
  <c r="AR1116" i="2"/>
  <c r="AS1116" i="2"/>
  <c r="AT1116" i="2" l="1"/>
  <c r="AU1116" i="2" s="1"/>
  <c r="AV1116" i="2" s="1"/>
  <c r="AR1117" i="2"/>
  <c r="AS1117" i="2"/>
  <c r="AT1117" i="2" s="1"/>
  <c r="AU1117" i="2" s="1"/>
  <c r="AV1117" i="2" s="1"/>
  <c r="AQ1118" i="2"/>
  <c r="AS1118" i="2" l="1"/>
  <c r="AQ1119" i="2"/>
  <c r="AR1118" i="2"/>
  <c r="AS1119" i="2" l="1"/>
  <c r="AR1119" i="2"/>
  <c r="AQ1120" i="2"/>
  <c r="AT1118" i="2"/>
  <c r="AU1118" i="2" s="1"/>
  <c r="AV1118" i="2" s="1"/>
  <c r="AT1119" i="2" l="1"/>
  <c r="AU1119" i="2" s="1"/>
  <c r="AV1119" i="2" s="1"/>
  <c r="AR1120" i="2"/>
  <c r="AS1120" i="2"/>
  <c r="AT1120" i="2" s="1"/>
  <c r="AU1120" i="2" s="1"/>
  <c r="AV1120" i="2" s="1"/>
  <c r="AQ1121" i="2"/>
  <c r="AS1121" i="2" l="1"/>
  <c r="AQ1122" i="2"/>
  <c r="AR1121" i="2"/>
  <c r="AT1121" i="2" l="1"/>
  <c r="AU1121" i="2" s="1"/>
  <c r="AV1121" i="2" s="1"/>
  <c r="AR1122" i="2"/>
  <c r="AQ1123" i="2"/>
  <c r="AS1122" i="2"/>
  <c r="AT1122" i="2" s="1"/>
  <c r="AU1122" i="2" s="1"/>
  <c r="AV1122" i="2" s="1"/>
  <c r="AQ1124" i="2" l="1"/>
  <c r="AR1123" i="2"/>
  <c r="AS1123" i="2"/>
  <c r="AT1123" i="2" l="1"/>
  <c r="AU1123" i="2" s="1"/>
  <c r="AV1123" i="2" s="1"/>
  <c r="AS1124" i="2"/>
  <c r="AR1124" i="2"/>
  <c r="AQ1125" i="2"/>
  <c r="AT1124" i="2" l="1"/>
  <c r="AU1124" i="2" s="1"/>
  <c r="AV1124" i="2" s="1"/>
  <c r="AS1125" i="2"/>
  <c r="AQ1126" i="2"/>
  <c r="AR1125" i="2"/>
  <c r="AT1125" i="2" l="1"/>
  <c r="AU1125" i="2" s="1"/>
  <c r="AV1125" i="2" s="1"/>
  <c r="AQ1127" i="2"/>
  <c r="AR1126" i="2"/>
  <c r="AS1126" i="2"/>
  <c r="AT1126" i="2" s="1"/>
  <c r="AU1126" i="2" s="1"/>
  <c r="AV1126" i="2" s="1"/>
  <c r="AR1127" i="2" l="1"/>
  <c r="AQ1128" i="2"/>
  <c r="AS1127" i="2"/>
  <c r="AT1127" i="2" s="1"/>
  <c r="AU1127" i="2" s="1"/>
  <c r="AV1127" i="2" s="1"/>
  <c r="AS1128" i="2" l="1"/>
  <c r="AR1128" i="2"/>
  <c r="AQ1129" i="2"/>
  <c r="AT1128" i="2" l="1"/>
  <c r="AU1128" i="2" s="1"/>
  <c r="AV1128" i="2" s="1"/>
  <c r="AR1129" i="2"/>
  <c r="AS1129" i="2"/>
  <c r="AT1129" i="2" s="1"/>
  <c r="AU1129" i="2" s="1"/>
  <c r="AV1129" i="2" s="1"/>
  <c r="AQ1130" i="2"/>
  <c r="AS1130" i="2" l="1"/>
  <c r="AQ1131" i="2"/>
  <c r="AR1130" i="2"/>
  <c r="AQ1132" i="2" l="1"/>
  <c r="AR1131" i="2"/>
  <c r="AS1131" i="2"/>
  <c r="AT1130" i="2"/>
  <c r="AU1130" i="2" s="1"/>
  <c r="AV1130" i="2" s="1"/>
  <c r="AT1131" i="2" l="1"/>
  <c r="AU1131" i="2" s="1"/>
  <c r="AV1131" i="2" s="1"/>
  <c r="AR1132" i="2"/>
  <c r="AQ1133" i="2"/>
  <c r="AS1132" i="2"/>
  <c r="AT1132" i="2" s="1"/>
  <c r="AU1132" i="2" s="1"/>
  <c r="AV1132" i="2" s="1"/>
  <c r="AS1133" i="2" l="1"/>
  <c r="AR1133" i="2"/>
  <c r="AQ1134" i="2"/>
  <c r="AT1133" i="2" l="1"/>
  <c r="AU1133" i="2" s="1"/>
  <c r="AV1133" i="2" s="1"/>
  <c r="AS1134" i="2"/>
  <c r="AR1134" i="2"/>
  <c r="AQ1135" i="2"/>
  <c r="AT1134" i="2" l="1"/>
  <c r="AU1134" i="2" s="1"/>
  <c r="AV1134" i="2" s="1"/>
  <c r="AR1135" i="2"/>
  <c r="AS1135" i="2"/>
  <c r="AT1135" i="2" s="1"/>
  <c r="AU1135" i="2" s="1"/>
  <c r="AV1135" i="2" s="1"/>
  <c r="AQ1136" i="2"/>
  <c r="AS1136" i="2" l="1"/>
  <c r="AQ1137" i="2"/>
  <c r="AR1136" i="2"/>
  <c r="AT1136" i="2" l="1"/>
  <c r="AU1136" i="2" s="1"/>
  <c r="AV1136" i="2" s="1"/>
  <c r="AS1137" i="2"/>
  <c r="AR1137" i="2"/>
  <c r="AQ1138" i="2"/>
  <c r="AT1137" i="2" l="1"/>
  <c r="AU1137" i="2" s="1"/>
  <c r="AV1137" i="2" s="1"/>
  <c r="AQ1139" i="2"/>
  <c r="AS1138" i="2"/>
  <c r="AR1138" i="2"/>
  <c r="AT1138" i="2" l="1"/>
  <c r="AU1138" i="2" s="1"/>
  <c r="AV1138" i="2" s="1"/>
  <c r="AQ1140" i="2"/>
  <c r="AR1139" i="2"/>
  <c r="AS1139" i="2"/>
  <c r="AT1139" i="2" s="1"/>
  <c r="AU1139" i="2" s="1"/>
  <c r="AV1139" i="2" s="1"/>
  <c r="AR1140" i="2" l="1"/>
  <c r="AS1140" i="2"/>
  <c r="AQ1141" i="2"/>
  <c r="AT1140" i="2" l="1"/>
  <c r="AU1140" i="2" s="1"/>
  <c r="AV1140" i="2" s="1"/>
  <c r="AQ1142" i="2"/>
  <c r="AR1141" i="2"/>
  <c r="AS1141" i="2"/>
  <c r="AT1141" i="2" l="1"/>
  <c r="AU1141" i="2" s="1"/>
  <c r="AV1141" i="2" s="1"/>
  <c r="AS1142" i="2"/>
  <c r="AQ1143" i="2"/>
  <c r="AR1142" i="2"/>
  <c r="AT1142" i="2" l="1"/>
  <c r="AU1142" i="2" s="1"/>
  <c r="AV1142" i="2" s="1"/>
  <c r="AS1143" i="2"/>
  <c r="AR1143" i="2"/>
  <c r="AQ1144" i="2"/>
  <c r="AT1143" i="2" l="1"/>
  <c r="AU1143" i="2" s="1"/>
  <c r="AV1143" i="2" s="1"/>
  <c r="AR1144" i="2"/>
  <c r="AQ1145" i="2"/>
  <c r="AS1144" i="2"/>
  <c r="AT1144" i="2" s="1"/>
  <c r="AU1144" i="2" s="1"/>
  <c r="AV1144" i="2" s="1"/>
  <c r="AQ1146" i="2" l="1"/>
  <c r="AS1145" i="2"/>
  <c r="AR1145" i="2"/>
  <c r="AT1145" i="2" l="1"/>
  <c r="AU1145" i="2" s="1"/>
  <c r="AV1145" i="2" s="1"/>
  <c r="AQ1147" i="2"/>
  <c r="AS1146" i="2"/>
  <c r="AR1146" i="2"/>
  <c r="AT1146" i="2" l="1"/>
  <c r="AU1146" i="2" s="1"/>
  <c r="AV1146" i="2" s="1"/>
  <c r="AQ1148" i="2"/>
  <c r="AS1147" i="2"/>
  <c r="AR1147" i="2"/>
  <c r="AT1147" i="2" l="1"/>
  <c r="AU1147" i="2" s="1"/>
  <c r="AV1147" i="2" s="1"/>
  <c r="AR1148" i="2"/>
  <c r="AS1148" i="2"/>
  <c r="AT1148" i="2" s="1"/>
  <c r="AU1148" i="2" s="1"/>
  <c r="AV1148" i="2" s="1"/>
  <c r="AQ1149" i="2"/>
  <c r="AS1149" i="2" l="1"/>
  <c r="AQ1150" i="2"/>
  <c r="AR1149" i="2"/>
  <c r="AT1149" i="2" l="1"/>
  <c r="AU1149" i="2" s="1"/>
  <c r="AV1149" i="2" s="1"/>
  <c r="AR1150" i="2"/>
  <c r="AQ1151" i="2"/>
  <c r="AS1150" i="2"/>
  <c r="AT1150" i="2" s="1"/>
  <c r="AU1150" i="2" s="1"/>
  <c r="AV1150" i="2" s="1"/>
  <c r="AR1151" i="2" l="1"/>
  <c r="AS1151" i="2"/>
  <c r="AT1151" i="2" s="1"/>
  <c r="AU1151" i="2" s="1"/>
  <c r="AV1151" i="2" s="1"/>
  <c r="AQ1152" i="2"/>
  <c r="AS1152" i="2" l="1"/>
  <c r="AQ1153" i="2"/>
  <c r="AR1152" i="2"/>
  <c r="AT1152" i="2" l="1"/>
  <c r="AU1152" i="2" s="1"/>
  <c r="AV1152" i="2" s="1"/>
  <c r="AS1153" i="2"/>
  <c r="AQ1154" i="2"/>
  <c r="AR1153" i="2"/>
  <c r="AT1153" i="2" l="1"/>
  <c r="AU1153" i="2" s="1"/>
  <c r="AV1153" i="2" s="1"/>
  <c r="AS1154" i="2"/>
  <c r="AR1154" i="2"/>
  <c r="AQ1155" i="2"/>
  <c r="AT1154" i="2" l="1"/>
  <c r="AU1154" i="2" s="1"/>
  <c r="AV1154" i="2" s="1"/>
  <c r="AQ1156" i="2"/>
  <c r="AR1155" i="2"/>
  <c r="AS1155" i="2"/>
  <c r="AT1155" i="2" s="1"/>
  <c r="AU1155" i="2" s="1"/>
  <c r="AV1155" i="2" s="1"/>
  <c r="AS1156" i="2" l="1"/>
  <c r="AQ1157" i="2"/>
  <c r="AR1156" i="2"/>
  <c r="AT1156" i="2" l="1"/>
  <c r="AU1156" i="2" s="1"/>
  <c r="AV1156" i="2" s="1"/>
  <c r="AR1157" i="2"/>
  <c r="AS1157" i="2"/>
  <c r="AT1157" i="2" s="1"/>
  <c r="AU1157" i="2" s="1"/>
  <c r="AV1157" i="2" s="1"/>
  <c r="AQ1158" i="2"/>
  <c r="AR1158" i="2" l="1"/>
  <c r="AS1158" i="2"/>
  <c r="AT1158" i="2" s="1"/>
  <c r="AU1158" i="2" s="1"/>
  <c r="AV1158" i="2" s="1"/>
  <c r="AQ1159" i="2"/>
  <c r="AQ1160" i="2" l="1"/>
  <c r="AR1159" i="2"/>
  <c r="AS1159" i="2"/>
  <c r="AT1159" i="2" s="1"/>
  <c r="AU1159" i="2" s="1"/>
  <c r="AV1159" i="2" s="1"/>
  <c r="AS1160" i="2" l="1"/>
  <c r="AR1160" i="2"/>
  <c r="AQ1161" i="2"/>
  <c r="AT1160" i="2" l="1"/>
  <c r="AU1160" i="2" s="1"/>
  <c r="AV1160" i="2" s="1"/>
  <c r="AR1161" i="2"/>
  <c r="AS1161" i="2"/>
  <c r="AQ1162" i="2"/>
  <c r="AR1162" i="2" l="1"/>
  <c r="AQ1163" i="2"/>
  <c r="AS1162" i="2"/>
  <c r="AT1162" i="2" s="1"/>
  <c r="AU1162" i="2" s="1"/>
  <c r="AV1162" i="2" s="1"/>
  <c r="AT1161" i="2"/>
  <c r="AU1161" i="2" s="1"/>
  <c r="AV1161" i="2" s="1"/>
  <c r="AQ1164" i="2" l="1"/>
  <c r="AS1163" i="2"/>
  <c r="AR1163" i="2"/>
  <c r="AT1163" i="2" l="1"/>
  <c r="AU1163" i="2" s="1"/>
  <c r="AV1163" i="2" s="1"/>
  <c r="AR1164" i="2"/>
  <c r="AQ1165" i="2"/>
  <c r="AS1164" i="2"/>
  <c r="AT1164" i="2" s="1"/>
  <c r="AU1164" i="2" s="1"/>
  <c r="AV1164" i="2" s="1"/>
  <c r="AS1165" i="2" l="1"/>
  <c r="AR1165" i="2"/>
  <c r="AQ1166" i="2"/>
  <c r="AQ1167" i="2" l="1"/>
  <c r="AR1166" i="2"/>
  <c r="AS1166" i="2"/>
  <c r="AT1165" i="2"/>
  <c r="AU1165" i="2" s="1"/>
  <c r="AV1165" i="2" s="1"/>
  <c r="AT1166" i="2" l="1"/>
  <c r="AU1166" i="2" s="1"/>
  <c r="AV1166" i="2" s="1"/>
  <c r="AQ1168" i="2"/>
  <c r="AR1167" i="2"/>
  <c r="AS1167" i="2"/>
  <c r="AT1167" i="2" s="1"/>
  <c r="AU1167" i="2" s="1"/>
  <c r="AV1167" i="2" s="1"/>
  <c r="AR1168" i="2" l="1"/>
  <c r="AS1168" i="2"/>
  <c r="AT1168" i="2" s="1"/>
  <c r="AU1168" i="2" s="1"/>
  <c r="AV1168" i="2" s="1"/>
  <c r="AQ1169" i="2"/>
  <c r="AQ1170" i="2" l="1"/>
  <c r="AS1169" i="2"/>
  <c r="AR1169" i="2"/>
  <c r="AT1169" i="2" l="1"/>
  <c r="AU1169" i="2" s="1"/>
  <c r="AV1169" i="2" s="1"/>
  <c r="AS1170" i="2"/>
  <c r="AR1170" i="2"/>
  <c r="AQ1171" i="2"/>
  <c r="AT1170" i="2" l="1"/>
  <c r="AU1170" i="2" s="1"/>
  <c r="AV1170" i="2" s="1"/>
  <c r="AS1171" i="2"/>
  <c r="AR1171" i="2"/>
  <c r="AQ1172" i="2"/>
  <c r="AT1171" i="2" l="1"/>
  <c r="AU1171" i="2" s="1"/>
  <c r="AV1171" i="2" s="1"/>
  <c r="AQ1173" i="2"/>
  <c r="AS1172" i="2"/>
  <c r="AR1172" i="2"/>
  <c r="AT1172" i="2" l="1"/>
  <c r="AU1172" i="2" s="1"/>
  <c r="AV1172" i="2" s="1"/>
  <c r="AR1173" i="2"/>
  <c r="AS1173" i="2"/>
  <c r="AQ1174" i="2"/>
  <c r="AT1173" i="2" l="1"/>
  <c r="AU1173" i="2" s="1"/>
  <c r="AV1173" i="2" s="1"/>
  <c r="AR1174" i="2"/>
  <c r="AQ1175" i="2"/>
  <c r="AS1174" i="2"/>
  <c r="AT1174" i="2" l="1"/>
  <c r="AU1174" i="2" s="1"/>
  <c r="AV1174" i="2" s="1"/>
  <c r="AS1175" i="2"/>
  <c r="AR1175" i="2"/>
  <c r="AQ1176" i="2"/>
  <c r="AT1175" i="2" l="1"/>
  <c r="AU1175" i="2" s="1"/>
  <c r="AV1175" i="2" s="1"/>
  <c r="AQ1177" i="2"/>
  <c r="AR1176" i="2"/>
  <c r="AS1176" i="2"/>
  <c r="AT1176" i="2" l="1"/>
  <c r="AU1176" i="2" s="1"/>
  <c r="AV1176" i="2" s="1"/>
  <c r="AR1177" i="2"/>
  <c r="AQ1178" i="2"/>
  <c r="AS1177" i="2"/>
  <c r="AT1177" i="2" s="1"/>
  <c r="AU1177" i="2" s="1"/>
  <c r="AV1177" i="2" s="1"/>
  <c r="AR1178" i="2" l="1"/>
  <c r="AS1178" i="2"/>
  <c r="AT1178" i="2" s="1"/>
  <c r="AU1178" i="2" s="1"/>
  <c r="AV1178" i="2" s="1"/>
  <c r="AQ1179" i="2"/>
  <c r="AQ1180" i="2" l="1"/>
  <c r="AR1179" i="2"/>
  <c r="AS1179" i="2"/>
  <c r="AT1179" i="2" s="1"/>
  <c r="AU1179" i="2" s="1"/>
  <c r="AV1179" i="2" s="1"/>
  <c r="AS1180" i="2" l="1"/>
  <c r="AR1180" i="2"/>
  <c r="AQ1181" i="2"/>
  <c r="AT1180" i="2" l="1"/>
  <c r="AU1180" i="2" s="1"/>
  <c r="AV1180" i="2" s="1"/>
  <c r="AR1181" i="2"/>
  <c r="AQ1182" i="2"/>
  <c r="AS1181" i="2"/>
  <c r="AT1181" i="2" l="1"/>
  <c r="AU1181" i="2" s="1"/>
  <c r="AV1181" i="2" s="1"/>
  <c r="AS1182" i="2"/>
  <c r="AR1182" i="2"/>
  <c r="AQ1183" i="2"/>
  <c r="AR1183" i="2" l="1"/>
  <c r="AS1183" i="2"/>
  <c r="AT1183" i="2" s="1"/>
  <c r="AU1183" i="2" s="1"/>
  <c r="AV1183" i="2" s="1"/>
  <c r="AQ1184" i="2"/>
  <c r="AT1182" i="2"/>
  <c r="AU1182" i="2" s="1"/>
  <c r="AV1182" i="2" s="1"/>
  <c r="AS1184" i="2" l="1"/>
  <c r="AQ1185" i="2"/>
  <c r="AR1184" i="2"/>
  <c r="AR1185" i="2" l="1"/>
  <c r="AQ1186" i="2"/>
  <c r="AS1185" i="2"/>
  <c r="AT1185" i="2" s="1"/>
  <c r="AU1185" i="2" s="1"/>
  <c r="AV1185" i="2" s="1"/>
  <c r="AT1184" i="2"/>
  <c r="AU1184" i="2" s="1"/>
  <c r="AV1184" i="2" s="1"/>
  <c r="AS1186" i="2" l="1"/>
  <c r="AQ1187" i="2"/>
  <c r="AR1186" i="2"/>
  <c r="AT1186" i="2" l="1"/>
  <c r="AU1186" i="2" s="1"/>
  <c r="AV1186" i="2" s="1"/>
  <c r="AR1187" i="2"/>
  <c r="AQ1188" i="2"/>
  <c r="AS1187" i="2"/>
  <c r="AT1187" i="2" s="1"/>
  <c r="AU1187" i="2" s="1"/>
  <c r="AV1187" i="2" s="1"/>
  <c r="AQ1189" i="2" l="1"/>
  <c r="AS1188" i="2"/>
  <c r="AR1188" i="2"/>
  <c r="AT1188" i="2" l="1"/>
  <c r="AU1188" i="2" s="1"/>
  <c r="AV1188" i="2" s="1"/>
  <c r="AR1189" i="2"/>
  <c r="AS1189" i="2"/>
  <c r="AT1189" i="2" s="1"/>
  <c r="AU1189" i="2" s="1"/>
  <c r="AV1189" i="2" s="1"/>
  <c r="AQ1190" i="2"/>
  <c r="AS1190" i="2" l="1"/>
  <c r="AQ1191" i="2"/>
  <c r="AR1190" i="2"/>
  <c r="AT1190" i="2" l="1"/>
  <c r="AU1190" i="2" s="1"/>
  <c r="AV1190" i="2" s="1"/>
  <c r="AS1191" i="2"/>
  <c r="AQ1192" i="2"/>
  <c r="AR1191" i="2"/>
  <c r="AS1192" i="2" l="1"/>
  <c r="AR1192" i="2"/>
  <c r="AQ1193" i="2"/>
  <c r="AT1191" i="2"/>
  <c r="AU1191" i="2" s="1"/>
  <c r="AV1191" i="2" s="1"/>
  <c r="AR1193" i="2" l="1"/>
  <c r="AQ1194" i="2"/>
  <c r="AS1193" i="2"/>
  <c r="AT1192" i="2"/>
  <c r="AU1192" i="2" s="1"/>
  <c r="AV1192" i="2" s="1"/>
  <c r="AQ1195" i="2" l="1"/>
  <c r="AS1194" i="2"/>
  <c r="AR1194" i="2"/>
  <c r="AT1193" i="2"/>
  <c r="AU1193" i="2" s="1"/>
  <c r="AV1193" i="2" s="1"/>
  <c r="AT1194" i="2" l="1"/>
  <c r="AU1194" i="2" s="1"/>
  <c r="AV1194" i="2" s="1"/>
  <c r="AR1195" i="2"/>
  <c r="AS1195" i="2"/>
  <c r="AT1195" i="2" s="1"/>
  <c r="AU1195" i="2" s="1"/>
  <c r="AV1195" i="2" s="1"/>
  <c r="AQ1196" i="2"/>
  <c r="AR1196" i="2" l="1"/>
  <c r="AS1196" i="2"/>
  <c r="AT1196" i="2" s="1"/>
  <c r="AU1196" i="2" s="1"/>
  <c r="AV1196" i="2" s="1"/>
  <c r="AQ1197" i="2"/>
  <c r="AS1197" i="2" l="1"/>
  <c r="AQ1198" i="2"/>
  <c r="AR1197" i="2"/>
  <c r="AT1197" i="2" l="1"/>
  <c r="AU1197" i="2" s="1"/>
  <c r="AV1197" i="2" s="1"/>
  <c r="AQ1199" i="2"/>
  <c r="AR1198" i="2"/>
  <c r="AS1198" i="2"/>
  <c r="AT1198" i="2" s="1"/>
  <c r="AU1198" i="2" s="1"/>
  <c r="AV1198" i="2" s="1"/>
  <c r="AS1199" i="2" l="1"/>
  <c r="AR1199" i="2"/>
  <c r="AQ1200" i="2"/>
  <c r="AT1199" i="2" l="1"/>
  <c r="AU1199" i="2" s="1"/>
  <c r="AV1199" i="2" s="1"/>
  <c r="AS1200" i="2"/>
  <c r="AQ1201" i="2"/>
  <c r="AR1200" i="2"/>
  <c r="AS1201" i="2" l="1"/>
  <c r="AR1201" i="2"/>
  <c r="AQ1202" i="2"/>
  <c r="AT1200" i="2"/>
  <c r="AU1200" i="2" s="1"/>
  <c r="AV1200" i="2" s="1"/>
  <c r="AT1201" i="2" l="1"/>
  <c r="AU1201" i="2" s="1"/>
  <c r="AV1201" i="2" s="1"/>
  <c r="AQ1203" i="2"/>
  <c r="AS1202" i="2"/>
  <c r="AR1202" i="2"/>
  <c r="AT1202" i="2" l="1"/>
  <c r="AU1202" i="2" s="1"/>
  <c r="AV1202" i="2" s="1"/>
  <c r="AS1203" i="2"/>
  <c r="AR1203" i="2"/>
  <c r="AQ1204" i="2"/>
  <c r="AT1203" i="2" l="1"/>
  <c r="AU1203" i="2" s="1"/>
  <c r="AV1203" i="2" s="1"/>
  <c r="AR1204" i="2"/>
  <c r="AS1204" i="2"/>
  <c r="AT1204" i="2" s="1"/>
  <c r="AU1204" i="2" s="1"/>
  <c r="AV1204" i="2" s="1"/>
  <c r="AQ1205" i="2"/>
  <c r="AS1205" i="2" l="1"/>
  <c r="AQ1206" i="2"/>
  <c r="AR1205" i="2"/>
  <c r="AT1205" i="2" l="1"/>
  <c r="AU1205" i="2" s="1"/>
  <c r="AV1205" i="2" s="1"/>
  <c r="AR1206" i="2"/>
  <c r="AS1206" i="2"/>
  <c r="AT1206" i="2" s="1"/>
  <c r="AU1206" i="2" s="1"/>
  <c r="AV1206" i="2" s="1"/>
  <c r="AQ1207" i="2"/>
  <c r="AQ1208" i="2" l="1"/>
  <c r="AS1207" i="2"/>
  <c r="AR1207" i="2"/>
  <c r="AT1207" i="2" l="1"/>
  <c r="AU1207" i="2" s="1"/>
  <c r="AV1207" i="2" s="1"/>
  <c r="AS1208" i="2"/>
  <c r="AR1208" i="2"/>
  <c r="AQ1209" i="2"/>
  <c r="AT1208" i="2" l="1"/>
  <c r="AU1208" i="2" s="1"/>
  <c r="AV1208" i="2" s="1"/>
  <c r="AS1209" i="2"/>
  <c r="AQ1210" i="2"/>
  <c r="AR1209" i="2"/>
  <c r="AT1209" i="2" l="1"/>
  <c r="AU1209" i="2" s="1"/>
  <c r="AV1209" i="2" s="1"/>
  <c r="AQ1211" i="2"/>
  <c r="AR1210" i="2"/>
  <c r="AS1210" i="2"/>
  <c r="AT1210" i="2" l="1"/>
  <c r="AU1210" i="2" s="1"/>
  <c r="AV1210" i="2" s="1"/>
  <c r="AR1211" i="2"/>
  <c r="AS1211" i="2"/>
  <c r="AT1211" i="2" s="1"/>
  <c r="AU1211" i="2" s="1"/>
  <c r="AV1211" i="2" s="1"/>
  <c r="AQ1212" i="2"/>
  <c r="AS1212" i="2" l="1"/>
  <c r="AR1212" i="2"/>
  <c r="AQ1213" i="2"/>
  <c r="AT1212" i="2" l="1"/>
  <c r="AU1212" i="2" s="1"/>
  <c r="AV1212" i="2" s="1"/>
  <c r="AS1213" i="2"/>
  <c r="AR1213" i="2"/>
  <c r="AQ1214" i="2"/>
  <c r="AT1213" i="2" l="1"/>
  <c r="AU1213" i="2" s="1"/>
  <c r="AV1213" i="2" s="1"/>
  <c r="AR1214" i="2"/>
  <c r="AS1214" i="2"/>
  <c r="AT1214" i="2" s="1"/>
  <c r="AU1214" i="2" s="1"/>
  <c r="AV1214" i="2" s="1"/>
  <c r="AQ1215" i="2"/>
  <c r="AS1215" i="2" l="1"/>
  <c r="AR1215" i="2"/>
  <c r="AQ1216" i="2"/>
  <c r="AT1215" i="2" l="1"/>
  <c r="AU1215" i="2" s="1"/>
  <c r="AV1215" i="2" s="1"/>
  <c r="AQ1217" i="2"/>
  <c r="AR1216" i="2"/>
  <c r="AS1216" i="2"/>
  <c r="AT1216" i="2" l="1"/>
  <c r="AU1216" i="2" s="1"/>
  <c r="AV1216" i="2" s="1"/>
  <c r="AR1217" i="2"/>
  <c r="AS1217" i="2"/>
  <c r="AQ1218" i="2"/>
  <c r="AT1217" i="2" l="1"/>
  <c r="AU1217" i="2" s="1"/>
  <c r="AV1217" i="2" s="1"/>
  <c r="AQ1219" i="2"/>
  <c r="AR1218" i="2"/>
  <c r="AS1218" i="2"/>
  <c r="AT1218" i="2" s="1"/>
  <c r="AU1218" i="2" s="1"/>
  <c r="AV1218" i="2" s="1"/>
  <c r="AR1219" i="2" l="1"/>
  <c r="AS1219" i="2"/>
  <c r="AT1219" i="2" s="1"/>
  <c r="AU1219" i="2" s="1"/>
  <c r="AV1219" i="2" s="1"/>
  <c r="AQ1220" i="2"/>
  <c r="AQ1221" i="2" l="1"/>
  <c r="AR1220" i="2"/>
  <c r="AS1220" i="2"/>
  <c r="AT1220" i="2" s="1"/>
  <c r="AU1220" i="2" s="1"/>
  <c r="AV1220" i="2" s="1"/>
  <c r="AS1221" i="2" l="1"/>
  <c r="AQ1222" i="2"/>
  <c r="AR1221" i="2"/>
  <c r="AT1221" i="2" l="1"/>
  <c r="AU1221" i="2" s="1"/>
  <c r="AV1221" i="2" s="1"/>
  <c r="AR1222" i="2"/>
  <c r="AS1222" i="2"/>
  <c r="AQ1223" i="2"/>
  <c r="AT1222" i="2" l="1"/>
  <c r="AU1222" i="2" s="1"/>
  <c r="AV1222" i="2" s="1"/>
  <c r="AR1223" i="2"/>
  <c r="AS1223" i="2"/>
  <c r="AT1223" i="2" s="1"/>
  <c r="AU1223" i="2" s="1"/>
  <c r="AV1223" i="2" s="1"/>
  <c r="AQ1224" i="2"/>
  <c r="AQ1225" i="2" l="1"/>
  <c r="AR1224" i="2"/>
  <c r="AS1224" i="2"/>
  <c r="AT1224" i="2" s="1"/>
  <c r="AU1224" i="2" s="1"/>
  <c r="AV1224" i="2" s="1"/>
  <c r="AQ1226" i="2" l="1"/>
  <c r="AS1225" i="2"/>
  <c r="AR1225" i="2"/>
  <c r="AT1225" i="2" l="1"/>
  <c r="AU1225" i="2" s="1"/>
  <c r="AV1225" i="2" s="1"/>
  <c r="AR1226" i="2"/>
  <c r="AQ1227" i="2"/>
  <c r="AS1226" i="2"/>
  <c r="AT1226" i="2" l="1"/>
  <c r="AU1226" i="2" s="1"/>
  <c r="AV1226" i="2" s="1"/>
  <c r="AR1227" i="2"/>
  <c r="AS1227" i="2"/>
  <c r="AT1227" i="2" s="1"/>
  <c r="AU1227" i="2" s="1"/>
  <c r="AV1227" i="2" s="1"/>
  <c r="AQ1228" i="2"/>
  <c r="AR1228" i="2" l="1"/>
  <c r="AS1228" i="2"/>
  <c r="AQ1229" i="2"/>
  <c r="AT1228" i="2" l="1"/>
  <c r="AU1228" i="2" s="1"/>
  <c r="AV1228" i="2" s="1"/>
  <c r="AQ1230" i="2"/>
  <c r="AS1229" i="2"/>
  <c r="AR1229" i="2"/>
  <c r="AT1229" i="2" l="1"/>
  <c r="AU1229" i="2" s="1"/>
  <c r="AV1229" i="2" s="1"/>
  <c r="AS1230" i="2"/>
  <c r="AR1230" i="2"/>
  <c r="AQ1231" i="2"/>
  <c r="AR1231" i="2" l="1"/>
  <c r="AS1231" i="2"/>
  <c r="AT1231" i="2" s="1"/>
  <c r="AU1231" i="2" s="1"/>
  <c r="AV1231" i="2" s="1"/>
  <c r="AQ1232" i="2"/>
  <c r="AT1230" i="2"/>
  <c r="AU1230" i="2" s="1"/>
  <c r="AV1230" i="2" s="1"/>
  <c r="AS1232" i="2" l="1"/>
  <c r="AQ1233" i="2"/>
  <c r="AR1232" i="2"/>
  <c r="AT1232" i="2" l="1"/>
  <c r="AU1232" i="2" s="1"/>
  <c r="AV1232" i="2" s="1"/>
  <c r="AQ1234" i="2"/>
  <c r="AR1233" i="2"/>
  <c r="AS1233" i="2"/>
  <c r="AT1233" i="2" l="1"/>
  <c r="AU1233" i="2" s="1"/>
  <c r="AV1233" i="2" s="1"/>
  <c r="AR1234" i="2"/>
  <c r="AS1234" i="2"/>
  <c r="AQ1235" i="2"/>
  <c r="AT1234" i="2" l="1"/>
  <c r="AU1234" i="2" s="1"/>
  <c r="AV1234" i="2" s="1"/>
  <c r="AS1235" i="2"/>
  <c r="AR1235" i="2"/>
  <c r="AQ1236" i="2"/>
  <c r="AQ1237" i="2" l="1"/>
  <c r="AS1236" i="2"/>
  <c r="AR1236" i="2"/>
  <c r="AT1235" i="2"/>
  <c r="AU1235" i="2" s="1"/>
  <c r="AV1235" i="2" s="1"/>
  <c r="AT1236" i="2" l="1"/>
  <c r="AU1236" i="2" s="1"/>
  <c r="AV1236" i="2" s="1"/>
  <c r="AS1237" i="2"/>
  <c r="AQ1238" i="2"/>
  <c r="AR1237" i="2"/>
  <c r="AT1237" i="2" l="1"/>
  <c r="AU1237" i="2" s="1"/>
  <c r="AV1237" i="2" s="1"/>
  <c r="AQ1239" i="2"/>
  <c r="AR1238" i="2"/>
  <c r="AS1238" i="2"/>
  <c r="AT1238" i="2" l="1"/>
  <c r="AU1238" i="2" s="1"/>
  <c r="AV1238" i="2" s="1"/>
  <c r="AS1239" i="2"/>
  <c r="AR1239" i="2"/>
  <c r="AQ1240" i="2"/>
  <c r="AQ1241" i="2" l="1"/>
  <c r="AR1240" i="2"/>
  <c r="AS1240" i="2"/>
  <c r="AT1239" i="2"/>
  <c r="AU1239" i="2" s="1"/>
  <c r="AV1239" i="2" s="1"/>
  <c r="AT1240" i="2" l="1"/>
  <c r="AU1240" i="2" s="1"/>
  <c r="AV1240" i="2" s="1"/>
  <c r="AQ1242" i="2"/>
  <c r="AR1241" i="2"/>
  <c r="AS1241" i="2"/>
  <c r="AT1241" i="2" s="1"/>
  <c r="AU1241" i="2" s="1"/>
  <c r="AV1241" i="2" s="1"/>
  <c r="AQ1243" i="2" l="1"/>
  <c r="AR1242" i="2"/>
  <c r="AS1242" i="2"/>
  <c r="AT1242" i="2" s="1"/>
  <c r="AU1242" i="2" s="1"/>
  <c r="AV1242" i="2" s="1"/>
  <c r="AQ1244" i="2" l="1"/>
  <c r="AS1243" i="2"/>
  <c r="AR1243" i="2"/>
  <c r="AT1243" i="2" l="1"/>
  <c r="AU1243" i="2" s="1"/>
  <c r="AV1243" i="2" s="1"/>
  <c r="AQ1245" i="2"/>
  <c r="AR1244" i="2"/>
  <c r="AS1244" i="2"/>
  <c r="AT1244" i="2" l="1"/>
  <c r="AU1244" i="2" s="1"/>
  <c r="AV1244" i="2" s="1"/>
  <c r="AS1245" i="2"/>
  <c r="AR1245" i="2"/>
  <c r="AQ1246" i="2"/>
  <c r="AT1245" i="2" l="1"/>
  <c r="AU1245" i="2" s="1"/>
  <c r="AV1245" i="2" s="1"/>
  <c r="AS1246" i="2"/>
  <c r="AQ1247" i="2"/>
  <c r="AR1246" i="2"/>
  <c r="AR1247" i="2" l="1"/>
  <c r="AS1247" i="2"/>
  <c r="AT1247" i="2" s="1"/>
  <c r="AU1247" i="2" s="1"/>
  <c r="AV1247" i="2" s="1"/>
  <c r="AQ1248" i="2"/>
  <c r="AT1246" i="2"/>
  <c r="AU1246" i="2" s="1"/>
  <c r="AV1246" i="2" s="1"/>
  <c r="AQ1249" i="2" l="1"/>
  <c r="AR1248" i="2"/>
  <c r="AS1248" i="2"/>
  <c r="AT1248" i="2" s="1"/>
  <c r="AU1248" i="2" s="1"/>
  <c r="AV1248" i="2" s="1"/>
  <c r="AQ1250" i="2" l="1"/>
  <c r="AS1249" i="2"/>
  <c r="AR1249" i="2"/>
  <c r="AT1249" i="2" l="1"/>
  <c r="AU1249" i="2" s="1"/>
  <c r="AV1249" i="2" s="1"/>
  <c r="AQ1251" i="2"/>
  <c r="AS1250" i="2"/>
  <c r="AR1250" i="2"/>
  <c r="AT1250" i="2" l="1"/>
  <c r="AU1250" i="2" s="1"/>
  <c r="AV1250" i="2" s="1"/>
  <c r="AR1251" i="2"/>
  <c r="AQ1252" i="2"/>
  <c r="AS1251" i="2"/>
  <c r="AS1252" i="2" l="1"/>
  <c r="AR1252" i="2"/>
  <c r="AQ1253" i="2"/>
  <c r="AT1251" i="2"/>
  <c r="AU1251" i="2" s="1"/>
  <c r="AV1251" i="2" s="1"/>
  <c r="AT1252" i="2" l="1"/>
  <c r="AU1252" i="2" s="1"/>
  <c r="AV1252" i="2" s="1"/>
  <c r="AS1253" i="2"/>
  <c r="AR1253" i="2"/>
  <c r="AQ1254" i="2"/>
  <c r="AT1253" i="2" l="1"/>
  <c r="AU1253" i="2" s="1"/>
  <c r="AV1253" i="2" s="1"/>
  <c r="AR1254" i="2"/>
  <c r="AS1254" i="2"/>
  <c r="AQ1255" i="2"/>
  <c r="AT1254" i="2" l="1"/>
  <c r="AU1254" i="2" s="1"/>
  <c r="AV1254" i="2" s="1"/>
  <c r="AR1255" i="2"/>
  <c r="AS1255" i="2"/>
  <c r="AT1255" i="2" s="1"/>
  <c r="AU1255" i="2" s="1"/>
  <c r="AV1255" i="2" s="1"/>
  <c r="AQ1256" i="2"/>
  <c r="AQ1257" i="2" l="1"/>
  <c r="AS1256" i="2"/>
  <c r="AR1256" i="2"/>
  <c r="AT1256" i="2" l="1"/>
  <c r="AU1256" i="2" s="1"/>
  <c r="AV1256" i="2" s="1"/>
  <c r="AQ1258" i="2"/>
  <c r="AS1257" i="2"/>
  <c r="AR1257" i="2"/>
  <c r="AT1257" i="2" l="1"/>
  <c r="AU1257" i="2" s="1"/>
  <c r="AV1257" i="2" s="1"/>
  <c r="AS1258" i="2"/>
  <c r="AQ1259" i="2"/>
  <c r="AR1258" i="2"/>
  <c r="AT1258" i="2" l="1"/>
  <c r="AU1258" i="2" s="1"/>
  <c r="AV1258" i="2" s="1"/>
  <c r="AQ1260" i="2"/>
  <c r="AR1259" i="2"/>
  <c r="AS1259" i="2"/>
  <c r="AT1259" i="2" s="1"/>
  <c r="AU1259" i="2" s="1"/>
  <c r="AV1259" i="2" s="1"/>
  <c r="AS1260" i="2" l="1"/>
  <c r="AR1260" i="2"/>
  <c r="AQ1261" i="2"/>
  <c r="AT1260" i="2" l="1"/>
  <c r="AU1260" i="2" s="1"/>
  <c r="AV1260" i="2" s="1"/>
  <c r="AR1261" i="2"/>
  <c r="AS1261" i="2"/>
  <c r="AT1261" i="2" s="1"/>
  <c r="AU1261" i="2" s="1"/>
  <c r="AV1261" i="2" s="1"/>
  <c r="AQ1262" i="2"/>
  <c r="AR1262" i="2" l="1"/>
  <c r="AS1262" i="2"/>
  <c r="AQ1263" i="2"/>
  <c r="AT1262" i="2" l="1"/>
  <c r="AU1262" i="2" s="1"/>
  <c r="AV1262" i="2" s="1"/>
  <c r="AR1263" i="2"/>
  <c r="AQ1264" i="2"/>
  <c r="AS1263" i="2"/>
  <c r="AT1263" i="2" s="1"/>
  <c r="AU1263" i="2" s="1"/>
  <c r="AV1263" i="2" s="1"/>
  <c r="AQ1265" i="2" l="1"/>
  <c r="AR1264" i="2"/>
  <c r="AS1264" i="2"/>
  <c r="AT1264" i="2" s="1"/>
  <c r="AU1264" i="2" s="1"/>
  <c r="AV1264" i="2" s="1"/>
  <c r="AQ1266" i="2" l="1"/>
  <c r="AS1265" i="2"/>
  <c r="AR1265" i="2"/>
  <c r="AT1265" i="2" l="1"/>
  <c r="AU1265" i="2" s="1"/>
  <c r="AV1265" i="2" s="1"/>
  <c r="AR1266" i="2"/>
  <c r="AQ1267" i="2"/>
  <c r="AS1266" i="2"/>
  <c r="AT1266" i="2" s="1"/>
  <c r="AU1266" i="2" s="1"/>
  <c r="AV1266" i="2" s="1"/>
  <c r="AR1267" i="2" l="1"/>
  <c r="AQ1268" i="2"/>
  <c r="AS1267" i="2"/>
  <c r="AT1267" i="2" s="1"/>
  <c r="AU1267" i="2" s="1"/>
  <c r="AV1267" i="2" s="1"/>
  <c r="AR1268" i="2" l="1"/>
  <c r="AQ1269" i="2"/>
  <c r="AS1268" i="2"/>
  <c r="AT1268" i="2" s="1"/>
  <c r="AU1268" i="2" s="1"/>
  <c r="AV1268" i="2" s="1"/>
  <c r="AS1269" i="2" l="1"/>
  <c r="AQ1270" i="2"/>
  <c r="AR1269" i="2"/>
  <c r="AT1269" i="2" l="1"/>
  <c r="AU1269" i="2" s="1"/>
  <c r="AV1269" i="2" s="1"/>
  <c r="AS1270" i="2"/>
  <c r="AQ1271" i="2"/>
  <c r="AR1270" i="2"/>
  <c r="AT1270" i="2" l="1"/>
  <c r="AU1270" i="2" s="1"/>
  <c r="AV1270" i="2" s="1"/>
  <c r="AQ1272" i="2"/>
  <c r="AR1271" i="2"/>
  <c r="AS1271" i="2"/>
  <c r="AT1271" i="2" l="1"/>
  <c r="AU1271" i="2" s="1"/>
  <c r="AV1271" i="2" s="1"/>
  <c r="AQ1273" i="2"/>
  <c r="AR1272" i="2"/>
  <c r="AS1272" i="2"/>
  <c r="AT1272" i="2" s="1"/>
  <c r="AU1272" i="2" s="1"/>
  <c r="AV1272" i="2" s="1"/>
  <c r="AQ1274" i="2" l="1"/>
  <c r="AR1273" i="2"/>
  <c r="AS1273" i="2"/>
  <c r="AT1273" i="2" s="1"/>
  <c r="AU1273" i="2" s="1"/>
  <c r="AV1273" i="2" s="1"/>
  <c r="AR1274" i="2" l="1"/>
  <c r="AQ1275" i="2"/>
  <c r="AS1274" i="2"/>
  <c r="AT1274" i="2" s="1"/>
  <c r="AU1274" i="2" s="1"/>
  <c r="AV1274" i="2" s="1"/>
  <c r="AS1275" i="2" l="1"/>
  <c r="AQ1276" i="2"/>
  <c r="AR1275" i="2"/>
  <c r="AT1275" i="2" l="1"/>
  <c r="AU1275" i="2" s="1"/>
  <c r="AV1275" i="2" s="1"/>
  <c r="AR1276" i="2"/>
  <c r="AS1276" i="2"/>
  <c r="AT1276" i="2" s="1"/>
  <c r="AU1276" i="2" s="1"/>
  <c r="AV1276" i="2" s="1"/>
  <c r="AQ1277" i="2"/>
  <c r="AR1277" i="2" l="1"/>
  <c r="AS1277" i="2"/>
  <c r="AT1277" i="2" s="1"/>
  <c r="AU1277" i="2" s="1"/>
  <c r="AV1277" i="2" s="1"/>
  <c r="AQ1278" i="2"/>
  <c r="AQ1279" i="2" l="1"/>
  <c r="AR1278" i="2"/>
  <c r="AS1278" i="2"/>
  <c r="AT1278" i="2" s="1"/>
  <c r="AU1278" i="2" s="1"/>
  <c r="AV1278" i="2" s="1"/>
  <c r="AR1279" i="2" l="1"/>
  <c r="AS1279" i="2"/>
  <c r="AT1279" i="2" s="1"/>
  <c r="AU1279" i="2" s="1"/>
  <c r="AV1279" i="2" s="1"/>
  <c r="AQ1280" i="2"/>
  <c r="AS1280" i="2" l="1"/>
  <c r="AQ1281" i="2"/>
  <c r="AR1280" i="2"/>
  <c r="AT1280" i="2" l="1"/>
  <c r="AU1280" i="2" s="1"/>
  <c r="AV1280" i="2" s="1"/>
  <c r="AQ1282" i="2"/>
  <c r="AS1281" i="2"/>
  <c r="AR1281" i="2"/>
  <c r="AT1281" i="2" l="1"/>
  <c r="AU1281" i="2" s="1"/>
  <c r="AV1281" i="2" s="1"/>
  <c r="AQ1283" i="2"/>
  <c r="AS1282" i="2"/>
  <c r="AR1282" i="2"/>
  <c r="AT1282" i="2" l="1"/>
  <c r="AU1282" i="2" s="1"/>
  <c r="AV1282" i="2" s="1"/>
  <c r="AQ1284" i="2"/>
  <c r="AS1283" i="2"/>
  <c r="AR1283" i="2"/>
  <c r="AT1283" i="2" l="1"/>
  <c r="AU1283" i="2" s="1"/>
  <c r="AV1283" i="2" s="1"/>
  <c r="AQ1285" i="2"/>
  <c r="AR1284" i="2"/>
  <c r="AS1284" i="2"/>
  <c r="AT1284" i="2" l="1"/>
  <c r="AU1284" i="2" s="1"/>
  <c r="AV1284" i="2" s="1"/>
  <c r="AS1285" i="2"/>
  <c r="AR1285" i="2"/>
  <c r="AQ1286" i="2"/>
  <c r="AT1285" i="2" l="1"/>
  <c r="AU1285" i="2" s="1"/>
  <c r="AV1285" i="2" s="1"/>
  <c r="AS1286" i="2"/>
  <c r="AQ1287" i="2"/>
  <c r="AR1286" i="2"/>
  <c r="AT1286" i="2" l="1"/>
  <c r="AU1286" i="2" s="1"/>
  <c r="AV1286" i="2" s="1"/>
  <c r="AQ1288" i="2"/>
  <c r="AS1287" i="2"/>
  <c r="AR1287" i="2"/>
  <c r="AT1287" i="2" l="1"/>
  <c r="AU1287" i="2" s="1"/>
  <c r="AV1287" i="2" s="1"/>
  <c r="AQ1289" i="2"/>
  <c r="AS1288" i="2"/>
  <c r="AR1288" i="2"/>
  <c r="AT1288" i="2" l="1"/>
  <c r="AU1288" i="2" s="1"/>
  <c r="AV1288" i="2" s="1"/>
  <c r="AR1289" i="2"/>
  <c r="AQ1290" i="2"/>
  <c r="AS1289" i="2"/>
  <c r="AT1289" i="2" s="1"/>
  <c r="AU1289" i="2" s="1"/>
  <c r="AV1289" i="2" s="1"/>
  <c r="AS1290" i="2" l="1"/>
  <c r="AR1290" i="2"/>
  <c r="AQ1291" i="2"/>
  <c r="AT1290" i="2" l="1"/>
  <c r="AU1290" i="2" s="1"/>
  <c r="AV1290" i="2" s="1"/>
  <c r="AR1291" i="2"/>
  <c r="AS1291" i="2"/>
  <c r="AQ1292" i="2"/>
  <c r="AT1291" i="2" l="1"/>
  <c r="AU1291" i="2" s="1"/>
  <c r="AV1291" i="2" s="1"/>
  <c r="AS1292" i="2"/>
  <c r="AQ1293" i="2"/>
  <c r="AR1292" i="2"/>
  <c r="AT1292" i="2" l="1"/>
  <c r="AU1292" i="2" s="1"/>
  <c r="AV1292" i="2" s="1"/>
  <c r="AQ1294" i="2"/>
  <c r="AR1293" i="2"/>
  <c r="AS1293" i="2"/>
  <c r="AT1293" i="2" l="1"/>
  <c r="AU1293" i="2" s="1"/>
  <c r="AV1293" i="2" s="1"/>
  <c r="AS1294" i="2"/>
  <c r="AR1294" i="2"/>
  <c r="AQ1295" i="2"/>
  <c r="AT1294" i="2" l="1"/>
  <c r="AU1294" i="2" s="1"/>
  <c r="AV1294" i="2" s="1"/>
  <c r="AS1295" i="2"/>
  <c r="AR1295" i="2"/>
  <c r="AQ1296" i="2"/>
  <c r="AT1295" i="2" l="1"/>
  <c r="AU1295" i="2" s="1"/>
  <c r="AV1295" i="2" s="1"/>
  <c r="AR1296" i="2"/>
  <c r="AS1296" i="2"/>
  <c r="AT1296" i="2" s="1"/>
  <c r="AU1296" i="2" s="1"/>
  <c r="AV1296" i="2" s="1"/>
  <c r="AQ1297" i="2"/>
  <c r="AR1297" i="2" l="1"/>
  <c r="AS1297" i="2"/>
  <c r="AQ1298" i="2"/>
  <c r="AT1297" i="2" l="1"/>
  <c r="AU1297" i="2" s="1"/>
  <c r="AV1297" i="2" s="1"/>
  <c r="AR1298" i="2"/>
  <c r="AS1298" i="2"/>
  <c r="AT1298" i="2" s="1"/>
  <c r="AU1298" i="2" s="1"/>
  <c r="AV1298" i="2" s="1"/>
  <c r="AQ1299" i="2"/>
  <c r="AQ1300" i="2" l="1"/>
  <c r="AR1299" i="2"/>
  <c r="AS1299" i="2"/>
  <c r="AT1299" i="2" l="1"/>
  <c r="AU1299" i="2" s="1"/>
  <c r="AV1299" i="2" s="1"/>
  <c r="AQ1301" i="2"/>
  <c r="AR1300" i="2"/>
  <c r="AS1300" i="2"/>
  <c r="AT1300" i="2" l="1"/>
  <c r="AU1300" i="2" s="1"/>
  <c r="AV1300" i="2" s="1"/>
  <c r="AQ1302" i="2"/>
  <c r="AR1301" i="2"/>
  <c r="AS1301" i="2"/>
  <c r="AT1301" i="2" l="1"/>
  <c r="AU1301" i="2" s="1"/>
  <c r="AV1301" i="2" s="1"/>
  <c r="AS1302" i="2"/>
  <c r="AQ1303" i="2"/>
  <c r="AR1302" i="2"/>
  <c r="AT1302" i="2" l="1"/>
  <c r="AU1302" i="2" s="1"/>
  <c r="AV1302" i="2" s="1"/>
  <c r="AR1303" i="2"/>
  <c r="AS1303" i="2"/>
  <c r="AQ1304" i="2"/>
  <c r="AQ1305" i="2" l="1"/>
  <c r="AR1304" i="2"/>
  <c r="AS1304" i="2"/>
  <c r="AT1304" i="2" s="1"/>
  <c r="AU1304" i="2" s="1"/>
  <c r="AV1304" i="2" s="1"/>
  <c r="AT1303" i="2"/>
  <c r="AU1303" i="2" s="1"/>
  <c r="AV1303" i="2" s="1"/>
  <c r="AR1305" i="2" l="1"/>
  <c r="AS1305" i="2"/>
  <c r="AT1305" i="2" s="1"/>
  <c r="AU1305" i="2" s="1"/>
  <c r="AV1305" i="2" s="1"/>
  <c r="AQ1306" i="2"/>
  <c r="AQ1307" i="2" l="1"/>
  <c r="AR1306" i="2"/>
  <c r="AS1306" i="2"/>
  <c r="AT1306" i="2" s="1"/>
  <c r="AU1306" i="2" s="1"/>
  <c r="AV1306" i="2" s="1"/>
  <c r="AQ1308" i="2" l="1"/>
  <c r="AR1307" i="2"/>
  <c r="AS1307" i="2"/>
  <c r="AT1307" i="2" s="1"/>
  <c r="AU1307" i="2" s="1"/>
  <c r="AV1307" i="2" s="1"/>
  <c r="AS1308" i="2" l="1"/>
  <c r="AR1308" i="2"/>
  <c r="AQ1309" i="2"/>
  <c r="AT1308" i="2" l="1"/>
  <c r="AU1308" i="2" s="1"/>
  <c r="AV1308" i="2" s="1"/>
  <c r="AR1309" i="2"/>
  <c r="AS1309" i="2"/>
  <c r="AQ1310" i="2"/>
  <c r="AR1310" i="2" l="1"/>
  <c r="AS1310" i="2"/>
  <c r="AT1310" i="2" s="1"/>
  <c r="AU1310" i="2" s="1"/>
  <c r="AV1310" i="2" s="1"/>
  <c r="AQ1311" i="2"/>
  <c r="AT1309" i="2"/>
  <c r="AU1309" i="2" s="1"/>
  <c r="AV1309" i="2" s="1"/>
  <c r="AQ1312" i="2" l="1"/>
  <c r="AR1311" i="2"/>
  <c r="AS1311" i="2"/>
  <c r="AT1311" i="2" s="1"/>
  <c r="AU1311" i="2" s="1"/>
  <c r="AV1311" i="2" s="1"/>
  <c r="AS1312" i="2" l="1"/>
  <c r="AR1312" i="2"/>
  <c r="AQ1313" i="2"/>
  <c r="AT1312" i="2" l="1"/>
  <c r="AU1312" i="2" s="1"/>
  <c r="AV1312" i="2" s="1"/>
  <c r="AQ1314" i="2"/>
  <c r="AS1313" i="2"/>
  <c r="AR1313" i="2"/>
  <c r="AT1313" i="2" l="1"/>
  <c r="AU1313" i="2" s="1"/>
  <c r="AV1313" i="2" s="1"/>
  <c r="AQ1315" i="2"/>
  <c r="AS1314" i="2"/>
  <c r="AR1314" i="2"/>
  <c r="AT1314" i="2" l="1"/>
  <c r="AU1314" i="2" s="1"/>
  <c r="AV1314" i="2" s="1"/>
  <c r="AS1315" i="2"/>
  <c r="AR1315" i="2"/>
  <c r="AQ1316" i="2"/>
  <c r="AT1315" i="2" l="1"/>
  <c r="AU1315" i="2" s="1"/>
  <c r="AV1315" i="2" s="1"/>
  <c r="AQ1317" i="2"/>
  <c r="AS1316" i="2"/>
  <c r="AR1316" i="2"/>
  <c r="AT1316" i="2" l="1"/>
  <c r="AU1316" i="2" s="1"/>
  <c r="AV1316" i="2" s="1"/>
  <c r="AR1317" i="2"/>
  <c r="AQ1318" i="2"/>
  <c r="AS1317" i="2"/>
  <c r="AT1317" i="2" l="1"/>
  <c r="AU1317" i="2" s="1"/>
  <c r="AV1317" i="2" s="1"/>
  <c r="AQ1319" i="2"/>
  <c r="AR1318" i="2"/>
  <c r="AS1318" i="2"/>
  <c r="AT1318" i="2" l="1"/>
  <c r="AU1318" i="2" s="1"/>
  <c r="AV1318" i="2" s="1"/>
  <c r="AQ1320" i="2"/>
  <c r="AS1319" i="2"/>
  <c r="AR1319" i="2"/>
  <c r="AT1319" i="2" l="1"/>
  <c r="AU1319" i="2" s="1"/>
  <c r="AV1319" i="2" s="1"/>
  <c r="AQ1321" i="2"/>
  <c r="AS1320" i="2"/>
  <c r="AR1320" i="2"/>
  <c r="AT1320" i="2" l="1"/>
  <c r="AU1320" i="2" s="1"/>
  <c r="AV1320" i="2" s="1"/>
  <c r="AR1321" i="2"/>
  <c r="AS1321" i="2"/>
  <c r="AT1321" i="2" s="1"/>
  <c r="AU1321" i="2" s="1"/>
  <c r="AV1321" i="2" s="1"/>
  <c r="AQ1322" i="2"/>
  <c r="AR1322" i="2" l="1"/>
  <c r="AQ1323" i="2"/>
  <c r="AS1322" i="2"/>
  <c r="AT1322" i="2" s="1"/>
  <c r="AU1322" i="2" s="1"/>
  <c r="AV1322" i="2" s="1"/>
  <c r="AS1323" i="2" l="1"/>
  <c r="AQ1324" i="2"/>
  <c r="AR1323" i="2"/>
  <c r="AT1323" i="2" l="1"/>
  <c r="AU1323" i="2" s="1"/>
  <c r="AV1323" i="2" s="1"/>
  <c r="AS1324" i="2"/>
  <c r="AR1324" i="2"/>
  <c r="AQ1325" i="2"/>
  <c r="AT1324" i="2" l="1"/>
  <c r="AU1324" i="2" s="1"/>
  <c r="AV1324" i="2" s="1"/>
  <c r="AS1325" i="2"/>
  <c r="AR1325" i="2"/>
  <c r="AQ1326" i="2"/>
  <c r="AT1325" i="2" l="1"/>
  <c r="AU1325" i="2" s="1"/>
  <c r="AV1325" i="2" s="1"/>
  <c r="AS1326" i="2"/>
  <c r="AR1326" i="2"/>
  <c r="AQ1327" i="2"/>
  <c r="AT1326" i="2" l="1"/>
  <c r="AU1326" i="2" s="1"/>
  <c r="AV1326" i="2" s="1"/>
  <c r="AQ1328" i="2"/>
  <c r="AS1327" i="2"/>
  <c r="AR1327" i="2"/>
  <c r="AT1327" i="2" l="1"/>
  <c r="AU1327" i="2" s="1"/>
  <c r="AV1327" i="2" s="1"/>
  <c r="AR1328" i="2"/>
  <c r="AQ1329" i="2"/>
  <c r="AS1328" i="2"/>
  <c r="AT1328" i="2" s="1"/>
  <c r="AU1328" i="2" s="1"/>
  <c r="AV1328" i="2" s="1"/>
  <c r="AS1329" i="2" l="1"/>
  <c r="AR1329" i="2"/>
  <c r="AQ1330" i="2"/>
  <c r="AT1329" i="2" l="1"/>
  <c r="AU1329" i="2" s="1"/>
  <c r="AV1329" i="2" s="1"/>
  <c r="AR1330" i="2"/>
  <c r="AQ1331" i="2"/>
  <c r="AS1330" i="2"/>
  <c r="AT1330" i="2" s="1"/>
  <c r="AU1330" i="2" s="1"/>
  <c r="AV1330" i="2" s="1"/>
  <c r="AQ1332" i="2" l="1"/>
  <c r="AR1331" i="2"/>
  <c r="AS1331" i="2"/>
  <c r="AT1331" i="2" s="1"/>
  <c r="AU1331" i="2" s="1"/>
  <c r="AV1331" i="2" s="1"/>
  <c r="AS1332" i="2" l="1"/>
  <c r="AR1332" i="2"/>
  <c r="AQ1333" i="2"/>
  <c r="AT1332" i="2" l="1"/>
  <c r="AU1332" i="2" s="1"/>
  <c r="AV1332" i="2" s="1"/>
  <c r="AR1333" i="2"/>
  <c r="AQ1334" i="2"/>
  <c r="AS1333" i="2"/>
  <c r="AT1333" i="2" s="1"/>
  <c r="AU1333" i="2" s="1"/>
  <c r="AV1333" i="2" s="1"/>
  <c r="AS1334" i="2" l="1"/>
  <c r="AQ1335" i="2"/>
  <c r="AR1334" i="2"/>
  <c r="AQ1336" i="2" l="1"/>
  <c r="AS1335" i="2"/>
  <c r="AR1335" i="2"/>
  <c r="AT1334" i="2"/>
  <c r="AU1334" i="2" s="1"/>
  <c r="AV1334" i="2" s="1"/>
  <c r="AT1335" i="2" l="1"/>
  <c r="AU1335" i="2" s="1"/>
  <c r="AV1335" i="2" s="1"/>
  <c r="AR1336" i="2"/>
  <c r="AQ1337" i="2"/>
  <c r="AS1336" i="2"/>
  <c r="AT1336" i="2" s="1"/>
  <c r="AU1336" i="2" s="1"/>
  <c r="AV1336" i="2" s="1"/>
  <c r="AS1337" i="2" l="1"/>
  <c r="AR1337" i="2"/>
  <c r="AQ1338" i="2"/>
  <c r="AT1337" i="2" l="1"/>
  <c r="AU1337" i="2" s="1"/>
  <c r="AV1337" i="2" s="1"/>
  <c r="AS1338" i="2"/>
  <c r="AR1338" i="2"/>
  <c r="AQ1339" i="2"/>
  <c r="AT1338" i="2" l="1"/>
  <c r="AU1338" i="2" s="1"/>
  <c r="AV1338" i="2" s="1"/>
  <c r="AQ1340" i="2"/>
  <c r="AS1339" i="2"/>
  <c r="AR1339" i="2"/>
  <c r="AT1339" i="2" l="1"/>
  <c r="AU1339" i="2" s="1"/>
  <c r="AV1339" i="2" s="1"/>
  <c r="AS1340" i="2"/>
  <c r="AQ1341" i="2"/>
  <c r="AR1340" i="2"/>
  <c r="AT1340" i="2" l="1"/>
  <c r="AU1340" i="2" s="1"/>
  <c r="AV1340" i="2" s="1"/>
  <c r="AS1341" i="2"/>
  <c r="AQ1342" i="2"/>
  <c r="AR1341" i="2"/>
  <c r="AT1341" i="2" l="1"/>
  <c r="AU1341" i="2" s="1"/>
  <c r="AV1341" i="2" s="1"/>
  <c r="AQ1343" i="2"/>
  <c r="AS1342" i="2"/>
  <c r="AR1342" i="2"/>
  <c r="AT1342" i="2" l="1"/>
  <c r="AU1342" i="2" s="1"/>
  <c r="AV1342" i="2" s="1"/>
  <c r="AQ1344" i="2"/>
  <c r="AS1343" i="2"/>
  <c r="AR1343" i="2"/>
  <c r="AT1343" i="2" l="1"/>
  <c r="AU1343" i="2" s="1"/>
  <c r="AV1343" i="2" s="1"/>
  <c r="AS1344" i="2"/>
  <c r="AR1344" i="2"/>
  <c r="AQ1345" i="2"/>
  <c r="AT1344" i="2" l="1"/>
  <c r="AU1344" i="2" s="1"/>
  <c r="AV1344" i="2" s="1"/>
  <c r="AR1345" i="2"/>
  <c r="AS1345" i="2"/>
  <c r="AT1345" i="2" s="1"/>
  <c r="AU1345" i="2" s="1"/>
  <c r="AV1345" i="2" s="1"/>
  <c r="AQ1346" i="2"/>
  <c r="AS1346" i="2" l="1"/>
  <c r="AQ1347" i="2"/>
  <c r="AR1346" i="2"/>
  <c r="AR1347" i="2" l="1"/>
  <c r="AQ1348" i="2"/>
  <c r="AS1347" i="2"/>
  <c r="AT1347" i="2" s="1"/>
  <c r="AU1347" i="2" s="1"/>
  <c r="AV1347" i="2" s="1"/>
  <c r="AT1346" i="2"/>
  <c r="AU1346" i="2" s="1"/>
  <c r="AV1346" i="2" s="1"/>
  <c r="AS1348" i="2" l="1"/>
  <c r="AR1348" i="2"/>
  <c r="AQ1349" i="2"/>
  <c r="AS1349" i="2" l="1"/>
  <c r="AQ1350" i="2"/>
  <c r="AR1349" i="2"/>
  <c r="AT1348" i="2"/>
  <c r="AU1348" i="2" s="1"/>
  <c r="AV1348" i="2" s="1"/>
  <c r="AT1349" i="2" l="1"/>
  <c r="AU1349" i="2" s="1"/>
  <c r="AV1349" i="2" s="1"/>
  <c r="AR1350" i="2"/>
  <c r="AS1350" i="2"/>
  <c r="AT1350" i="2" s="1"/>
  <c r="AU1350" i="2" s="1"/>
  <c r="AV1350" i="2" s="1"/>
  <c r="AQ1351" i="2"/>
  <c r="AR1351" i="2" l="1"/>
  <c r="AQ1352" i="2"/>
  <c r="AS1351" i="2"/>
  <c r="AT1351" i="2" s="1"/>
  <c r="AU1351" i="2" s="1"/>
  <c r="AV1351" i="2" s="1"/>
  <c r="AQ1353" i="2" l="1"/>
  <c r="AS1352" i="2"/>
  <c r="AR1352" i="2"/>
  <c r="AT1352" i="2" l="1"/>
  <c r="AU1352" i="2" s="1"/>
  <c r="AV1352" i="2" s="1"/>
  <c r="AS1353" i="2"/>
  <c r="AR1353" i="2"/>
  <c r="AQ1354" i="2"/>
  <c r="AT1353" i="2" l="1"/>
  <c r="AU1353" i="2" s="1"/>
  <c r="AV1353" i="2" s="1"/>
  <c r="AR1354" i="2"/>
  <c r="AQ1355" i="2"/>
  <c r="AS1354" i="2"/>
  <c r="AT1354" i="2" s="1"/>
  <c r="AU1354" i="2" s="1"/>
  <c r="AV1354" i="2" s="1"/>
  <c r="AQ1356" i="2" l="1"/>
  <c r="AS1355" i="2"/>
  <c r="AR1355" i="2"/>
  <c r="AT1355" i="2" l="1"/>
  <c r="AU1355" i="2" s="1"/>
  <c r="AV1355" i="2" s="1"/>
  <c r="AS1356" i="2"/>
  <c r="AR1356" i="2"/>
  <c r="AQ1357" i="2"/>
  <c r="AT1356" i="2" l="1"/>
  <c r="AU1356" i="2" s="1"/>
  <c r="AV1356" i="2" s="1"/>
  <c r="AQ1358" i="2"/>
  <c r="AR1357" i="2"/>
  <c r="AS1357" i="2"/>
  <c r="AT1357" i="2" l="1"/>
  <c r="AU1357" i="2" s="1"/>
  <c r="AV1357" i="2" s="1"/>
  <c r="AR1358" i="2"/>
  <c r="AQ1359" i="2"/>
  <c r="AS1358" i="2"/>
  <c r="AT1358" i="2" s="1"/>
  <c r="AU1358" i="2" s="1"/>
  <c r="AV1358" i="2" s="1"/>
  <c r="AQ1360" i="2" l="1"/>
  <c r="AS1359" i="2"/>
  <c r="AR1359" i="2"/>
  <c r="AT1359" i="2" l="1"/>
  <c r="AU1359" i="2" s="1"/>
  <c r="AV1359" i="2" s="1"/>
  <c r="AS1360" i="2"/>
  <c r="AR1360" i="2"/>
  <c r="AQ1361" i="2"/>
  <c r="AT1360" i="2" l="1"/>
  <c r="AU1360" i="2" s="1"/>
  <c r="AV1360" i="2" s="1"/>
  <c r="AR1361" i="2"/>
  <c r="AQ1362" i="2"/>
  <c r="AS1361" i="2"/>
  <c r="AS1362" i="2" l="1"/>
  <c r="AQ1363" i="2"/>
  <c r="AR1362" i="2"/>
  <c r="AT1361" i="2"/>
  <c r="AU1361" i="2" s="1"/>
  <c r="AV1361" i="2" s="1"/>
  <c r="AQ1364" i="2" l="1"/>
  <c r="AR1363" i="2"/>
  <c r="AS1363" i="2"/>
  <c r="AT1363" i="2" s="1"/>
  <c r="AU1363" i="2" s="1"/>
  <c r="AV1363" i="2" s="1"/>
  <c r="AT1362" i="2"/>
  <c r="AU1362" i="2" s="1"/>
  <c r="AV1362" i="2" s="1"/>
  <c r="AR1364" i="2" l="1"/>
  <c r="AS1364" i="2"/>
  <c r="AT1364" i="2" s="1"/>
  <c r="AU1364" i="2" s="1"/>
  <c r="AV1364" i="2" s="1"/>
  <c r="AQ1365" i="2"/>
  <c r="AR1365" i="2" l="1"/>
  <c r="AQ1366" i="2"/>
  <c r="AS1365" i="2"/>
  <c r="AT1365" i="2" l="1"/>
  <c r="AU1365" i="2" s="1"/>
  <c r="AV1365" i="2" s="1"/>
  <c r="AR1366" i="2"/>
  <c r="AS1366" i="2"/>
  <c r="AT1366" i="2" s="1"/>
  <c r="AU1366" i="2" s="1"/>
  <c r="AV1366" i="2" s="1"/>
  <c r="AQ1367" i="2"/>
  <c r="AR1367" i="2" l="1"/>
  <c r="AS1367" i="2"/>
  <c r="AQ1368" i="2"/>
  <c r="AT1367" i="2" l="1"/>
  <c r="AU1367" i="2" s="1"/>
  <c r="AV1367" i="2" s="1"/>
  <c r="AR1368" i="2"/>
  <c r="AQ1369" i="2"/>
  <c r="AS1368" i="2"/>
  <c r="AT1368" i="2" s="1"/>
  <c r="AU1368" i="2" s="1"/>
  <c r="AV1368" i="2" s="1"/>
  <c r="AQ1370" i="2" l="1"/>
  <c r="AS1369" i="2"/>
  <c r="AR1369" i="2"/>
  <c r="AT1369" i="2" l="1"/>
  <c r="AU1369" i="2" s="1"/>
  <c r="AV1369" i="2" s="1"/>
  <c r="AS1370" i="2"/>
  <c r="AQ1371" i="2"/>
  <c r="AR1370" i="2"/>
  <c r="AR1371" i="2" l="1"/>
  <c r="AQ1372" i="2"/>
  <c r="AS1371" i="2"/>
  <c r="AT1371" i="2" s="1"/>
  <c r="AU1371" i="2" s="1"/>
  <c r="AV1371" i="2" s="1"/>
  <c r="AT1370" i="2"/>
  <c r="AU1370" i="2" s="1"/>
  <c r="AV1370" i="2" s="1"/>
  <c r="AS1372" i="2" l="1"/>
  <c r="AQ1373" i="2"/>
  <c r="AR1372" i="2"/>
  <c r="AT1372" i="2" l="1"/>
  <c r="AU1372" i="2" s="1"/>
  <c r="AV1372" i="2" s="1"/>
  <c r="AQ1374" i="2"/>
  <c r="AR1373" i="2"/>
  <c r="AS1373" i="2"/>
  <c r="AT1373" i="2" s="1"/>
  <c r="AU1373" i="2" s="1"/>
  <c r="AV1373" i="2" s="1"/>
  <c r="AS1374" i="2" l="1"/>
  <c r="AQ1375" i="2"/>
  <c r="AR1374" i="2"/>
  <c r="AT1374" i="2" l="1"/>
  <c r="AU1374" i="2" s="1"/>
  <c r="AV1374" i="2" s="1"/>
  <c r="AS1375" i="2"/>
  <c r="AR1375" i="2"/>
  <c r="AQ1376" i="2"/>
  <c r="AQ1377" i="2" l="1"/>
  <c r="AR1376" i="2"/>
  <c r="AS1376" i="2"/>
  <c r="AT1376" i="2" s="1"/>
  <c r="AU1376" i="2" s="1"/>
  <c r="AV1376" i="2" s="1"/>
  <c r="AT1375" i="2"/>
  <c r="AU1375" i="2" s="1"/>
  <c r="AV1375" i="2" s="1"/>
  <c r="AR1377" i="2" l="1"/>
  <c r="AQ1378" i="2"/>
  <c r="AS1377" i="2"/>
  <c r="AT1377" i="2" s="1"/>
  <c r="AU1377" i="2" s="1"/>
  <c r="AV1377" i="2" s="1"/>
  <c r="AR1378" i="2" l="1"/>
  <c r="AS1378" i="2"/>
  <c r="AT1378" i="2" s="1"/>
  <c r="AU1378" i="2" s="1"/>
  <c r="AV1378" i="2" s="1"/>
  <c r="AQ1379" i="2"/>
  <c r="AR1379" i="2" l="1"/>
  <c r="AQ1380" i="2"/>
  <c r="AS1379" i="2"/>
  <c r="AT1379" i="2" s="1"/>
  <c r="AU1379" i="2" s="1"/>
  <c r="AV1379" i="2" s="1"/>
  <c r="AS1380" i="2" l="1"/>
  <c r="AR1380" i="2"/>
  <c r="AQ1381" i="2"/>
  <c r="AT1380" i="2" l="1"/>
  <c r="AU1380" i="2" s="1"/>
  <c r="AV1380" i="2" s="1"/>
  <c r="AS1381" i="2"/>
  <c r="AR1381" i="2"/>
  <c r="AQ1382" i="2"/>
  <c r="AT1381" i="2" l="1"/>
  <c r="AU1381" i="2" s="1"/>
  <c r="AV1381" i="2" s="1"/>
  <c r="AS1382" i="2"/>
  <c r="AR1382" i="2"/>
  <c r="AQ1383" i="2"/>
  <c r="AT1382" i="2" l="1"/>
  <c r="AU1382" i="2" s="1"/>
  <c r="AV1382" i="2" s="1"/>
  <c r="AS1383" i="2"/>
  <c r="AR1383" i="2"/>
  <c r="AQ1384" i="2"/>
  <c r="AT1383" i="2" l="1"/>
  <c r="AU1383" i="2" s="1"/>
  <c r="AV1383" i="2" s="1"/>
  <c r="AR1384" i="2"/>
  <c r="AS1384" i="2"/>
  <c r="AT1384" i="2" s="1"/>
  <c r="AU1384" i="2" s="1"/>
  <c r="AV1384" i="2" s="1"/>
  <c r="AQ1385" i="2"/>
  <c r="AR1385" i="2" l="1"/>
  <c r="AQ1386" i="2"/>
  <c r="AS1385" i="2"/>
  <c r="AT1385" i="2" s="1"/>
  <c r="AU1385" i="2" s="1"/>
  <c r="AV1385" i="2" s="1"/>
  <c r="AS1386" i="2" l="1"/>
  <c r="AR1386" i="2"/>
  <c r="AQ1387" i="2"/>
  <c r="AR1387" i="2" l="1"/>
  <c r="AQ1388" i="2"/>
  <c r="AS1387" i="2"/>
  <c r="AT1387" i="2" s="1"/>
  <c r="AU1387" i="2" s="1"/>
  <c r="AV1387" i="2" s="1"/>
  <c r="AT1386" i="2"/>
  <c r="AU1386" i="2" s="1"/>
  <c r="AV1386" i="2" s="1"/>
  <c r="AQ1389" i="2" l="1"/>
  <c r="AR1388" i="2"/>
  <c r="AS1388" i="2"/>
  <c r="AT1388" i="2" s="1"/>
  <c r="AU1388" i="2" s="1"/>
  <c r="AV1388" i="2" s="1"/>
  <c r="AQ1390" i="2" l="1"/>
  <c r="AR1389" i="2"/>
  <c r="AS1389" i="2"/>
  <c r="AT1389" i="2" s="1"/>
  <c r="AU1389" i="2" s="1"/>
  <c r="AV1389" i="2" s="1"/>
  <c r="AR1390" i="2" l="1"/>
  <c r="AS1390" i="2"/>
  <c r="AT1390" i="2" s="1"/>
  <c r="AU1390" i="2" s="1"/>
  <c r="AV1390" i="2" s="1"/>
  <c r="AQ1391" i="2"/>
  <c r="AQ1392" i="2" l="1"/>
  <c r="AS1391" i="2"/>
  <c r="AR1391" i="2"/>
  <c r="AT1391" i="2" l="1"/>
  <c r="AU1391" i="2" s="1"/>
  <c r="AV1391" i="2" s="1"/>
  <c r="AR1392" i="2"/>
  <c r="AS1392" i="2"/>
  <c r="AT1392" i="2" s="1"/>
  <c r="AU1392" i="2" s="1"/>
  <c r="AV1392" i="2" s="1"/>
  <c r="AQ1393" i="2"/>
  <c r="AS1393" i="2" l="1"/>
  <c r="AR1393" i="2"/>
  <c r="AQ1394" i="2"/>
  <c r="AT1393" i="2" l="1"/>
  <c r="AU1393" i="2" s="1"/>
  <c r="AV1393" i="2" s="1"/>
  <c r="AQ1395" i="2"/>
  <c r="AR1394" i="2"/>
  <c r="AS1394" i="2"/>
  <c r="AT1394" i="2" l="1"/>
  <c r="AU1394" i="2" s="1"/>
  <c r="AV1394" i="2" s="1"/>
  <c r="AQ1396" i="2"/>
  <c r="AR1395" i="2"/>
  <c r="AS1395" i="2"/>
  <c r="AT1395" i="2" l="1"/>
  <c r="AU1395" i="2" s="1"/>
  <c r="AV1395" i="2" s="1"/>
  <c r="AS1396" i="2"/>
  <c r="AQ1397" i="2"/>
  <c r="AR1396" i="2"/>
  <c r="AS1397" i="2" l="1"/>
  <c r="AR1397" i="2"/>
  <c r="AQ1398" i="2"/>
  <c r="AT1396" i="2"/>
  <c r="AU1396" i="2" s="1"/>
  <c r="AV1396" i="2" s="1"/>
  <c r="AT1397" i="2" l="1"/>
  <c r="AU1397" i="2" s="1"/>
  <c r="AV1397" i="2" s="1"/>
  <c r="AS1398" i="2"/>
  <c r="AR1398" i="2"/>
  <c r="AQ1399" i="2"/>
  <c r="AT1398" i="2" l="1"/>
  <c r="AU1398" i="2" s="1"/>
  <c r="AV1398" i="2" s="1"/>
  <c r="AR1399" i="2"/>
  <c r="AS1399" i="2"/>
  <c r="AT1399" i="2" s="1"/>
  <c r="AU1399" i="2" s="1"/>
  <c r="AV1399" i="2" s="1"/>
  <c r="AQ1400" i="2"/>
  <c r="AR1400" i="2" l="1"/>
  <c r="AQ1401" i="2"/>
  <c r="AS1400" i="2"/>
  <c r="AT1400" i="2" s="1"/>
  <c r="AU1400" i="2" s="1"/>
  <c r="AV1400" i="2" s="1"/>
  <c r="AQ1402" i="2" l="1"/>
  <c r="AS1401" i="2"/>
  <c r="AR1401" i="2"/>
  <c r="AT1401" i="2" l="1"/>
  <c r="AU1401" i="2" s="1"/>
  <c r="AV1401" i="2" s="1"/>
  <c r="AR1402" i="2"/>
  <c r="AQ1403" i="2"/>
  <c r="AS1402" i="2"/>
  <c r="AT1402" i="2" s="1"/>
  <c r="AU1402" i="2" s="1"/>
  <c r="AV1402" i="2" s="1"/>
  <c r="AS1403" i="2" l="1"/>
  <c r="AR1403" i="2"/>
  <c r="AQ1404" i="2"/>
  <c r="AT1403" i="2" l="1"/>
  <c r="AU1403" i="2" s="1"/>
  <c r="AV1403" i="2" s="1"/>
  <c r="AS1404" i="2"/>
  <c r="AQ1405" i="2"/>
  <c r="AR1404" i="2"/>
  <c r="AT1404" i="2" l="1"/>
  <c r="AU1404" i="2" s="1"/>
  <c r="AV1404" i="2" s="1"/>
  <c r="AQ1406" i="2"/>
  <c r="AS1405" i="2"/>
  <c r="AR1405" i="2"/>
  <c r="AT1405" i="2" l="1"/>
  <c r="AU1405" i="2" s="1"/>
  <c r="AV1405" i="2" s="1"/>
  <c r="AS1406" i="2"/>
  <c r="AQ1407" i="2"/>
  <c r="AR1406" i="2"/>
  <c r="AT1406" i="2" l="1"/>
  <c r="AU1406" i="2" s="1"/>
  <c r="AV1406" i="2" s="1"/>
  <c r="AS1407" i="2"/>
  <c r="AR1407" i="2"/>
  <c r="AQ1408" i="2"/>
  <c r="AS1408" i="2" l="1"/>
  <c r="AR1408" i="2"/>
  <c r="AQ1409" i="2"/>
  <c r="AT1407" i="2"/>
  <c r="AU1407" i="2" s="1"/>
  <c r="AV1407" i="2" s="1"/>
  <c r="AT1408" i="2" l="1"/>
  <c r="AU1408" i="2" s="1"/>
  <c r="AV1408" i="2" s="1"/>
  <c r="AR1409" i="2"/>
  <c r="AQ1410" i="2"/>
  <c r="AS1409" i="2"/>
  <c r="AT1409" i="2" s="1"/>
  <c r="AU1409" i="2" s="1"/>
  <c r="AV1409" i="2" s="1"/>
  <c r="AQ1411" i="2" l="1"/>
  <c r="AR1410" i="2"/>
  <c r="AS1410" i="2"/>
  <c r="AT1410" i="2" s="1"/>
  <c r="AU1410" i="2" s="1"/>
  <c r="AV1410" i="2" s="1"/>
  <c r="AR1411" i="2" l="1"/>
  <c r="AS1411" i="2"/>
  <c r="AT1411" i="2" s="1"/>
  <c r="AU1411" i="2" s="1"/>
  <c r="AV1411" i="2" s="1"/>
  <c r="AQ1412" i="2"/>
  <c r="AQ1413" i="2" l="1"/>
  <c r="AS1412" i="2"/>
  <c r="AR1412" i="2"/>
  <c r="AT1412" i="2" l="1"/>
  <c r="AU1412" i="2" s="1"/>
  <c r="AV1412" i="2" s="1"/>
  <c r="AS1413" i="2"/>
  <c r="AQ1414" i="2"/>
  <c r="AR1413" i="2"/>
  <c r="AT1413" i="2" l="1"/>
  <c r="AU1413" i="2" s="1"/>
  <c r="AV1413" i="2" s="1"/>
  <c r="AR1414" i="2"/>
  <c r="AQ1415" i="2"/>
  <c r="AS1414" i="2"/>
  <c r="AT1414" i="2" s="1"/>
  <c r="AU1414" i="2" s="1"/>
  <c r="AV1414" i="2" s="1"/>
  <c r="AR1415" i="2" l="1"/>
  <c r="AQ1416" i="2"/>
  <c r="AS1415" i="2"/>
  <c r="AT1415" i="2" s="1"/>
  <c r="AU1415" i="2" s="1"/>
  <c r="AV1415" i="2" s="1"/>
  <c r="AR1416" i="2" l="1"/>
  <c r="AS1416" i="2"/>
  <c r="AQ1417" i="2"/>
  <c r="AT1416" i="2" l="1"/>
  <c r="AU1416" i="2" s="1"/>
  <c r="AV1416" i="2" s="1"/>
  <c r="AS1417" i="2"/>
  <c r="AQ1418" i="2"/>
  <c r="AR1417" i="2"/>
  <c r="AR1418" i="2" l="1"/>
  <c r="AQ1419" i="2"/>
  <c r="AS1418" i="2"/>
  <c r="AT1417" i="2"/>
  <c r="AU1417" i="2" s="1"/>
  <c r="AV1417" i="2" s="1"/>
  <c r="AT1418" i="2" l="1"/>
  <c r="AU1418" i="2" s="1"/>
  <c r="AV1418" i="2" s="1"/>
  <c r="AS1419" i="2"/>
  <c r="AQ1420" i="2"/>
  <c r="AR1419" i="2"/>
  <c r="AT1419" i="2" l="1"/>
  <c r="AU1419" i="2" s="1"/>
  <c r="AV1419" i="2" s="1"/>
  <c r="AQ1421" i="2"/>
  <c r="AS1420" i="2"/>
  <c r="AR1420" i="2"/>
  <c r="AT1420" i="2" l="1"/>
  <c r="AU1420" i="2" s="1"/>
  <c r="AV1420" i="2" s="1"/>
  <c r="AR1421" i="2"/>
  <c r="AS1421" i="2"/>
  <c r="AQ1422" i="2"/>
  <c r="AT1421" i="2" l="1"/>
  <c r="AU1421" i="2" s="1"/>
  <c r="AV1421" i="2" s="1"/>
  <c r="AQ1423" i="2"/>
  <c r="AS1422" i="2"/>
  <c r="AR1422" i="2"/>
  <c r="AT1422" i="2" l="1"/>
  <c r="AU1422" i="2" s="1"/>
  <c r="AV1422" i="2" s="1"/>
  <c r="AR1423" i="2"/>
  <c r="AQ1424" i="2"/>
  <c r="AS1423" i="2"/>
  <c r="AR1424" i="2" l="1"/>
  <c r="AS1424" i="2"/>
  <c r="AT1424" i="2" s="1"/>
  <c r="AU1424" i="2" s="1"/>
  <c r="AV1424" i="2" s="1"/>
  <c r="AQ1425" i="2"/>
  <c r="AT1423" i="2"/>
  <c r="AU1423" i="2" s="1"/>
  <c r="AV1423" i="2" s="1"/>
  <c r="AR1425" i="2" l="1"/>
  <c r="AQ1426" i="2"/>
  <c r="AS1425" i="2"/>
  <c r="AT1425" i="2" s="1"/>
  <c r="AU1425" i="2" s="1"/>
  <c r="AV1425" i="2" s="1"/>
  <c r="AQ1427" i="2" l="1"/>
  <c r="AR1426" i="2"/>
  <c r="AS1426" i="2"/>
  <c r="AT1426" i="2" s="1"/>
  <c r="AU1426" i="2" s="1"/>
  <c r="AV1426" i="2" s="1"/>
  <c r="AQ1428" i="2" l="1"/>
  <c r="AR1427" i="2"/>
  <c r="AS1427" i="2"/>
  <c r="AT1427" i="2" l="1"/>
  <c r="AU1427" i="2" s="1"/>
  <c r="AV1427" i="2" s="1"/>
  <c r="AR1428" i="2"/>
  <c r="AQ1429" i="2"/>
  <c r="AS1428" i="2"/>
  <c r="AT1428" i="2" s="1"/>
  <c r="AU1428" i="2" s="1"/>
  <c r="AV1428" i="2" s="1"/>
  <c r="AR1429" i="2" l="1"/>
  <c r="AS1429" i="2"/>
  <c r="AT1429" i="2" s="1"/>
  <c r="AU1429" i="2" s="1"/>
  <c r="AV1429" i="2" s="1"/>
  <c r="AQ1430" i="2"/>
  <c r="AS1430" i="2" l="1"/>
  <c r="AR1430" i="2"/>
  <c r="AQ1431" i="2"/>
  <c r="AT1430" i="2" l="1"/>
  <c r="AU1430" i="2" s="1"/>
  <c r="AV1430" i="2" s="1"/>
  <c r="AQ1432" i="2"/>
  <c r="AS1431" i="2"/>
  <c r="AR1431" i="2"/>
  <c r="AT1431" i="2" l="1"/>
  <c r="AU1431" i="2" s="1"/>
  <c r="AV1431" i="2" s="1"/>
  <c r="AR1432" i="2"/>
  <c r="AQ1433" i="2"/>
  <c r="AS1432" i="2"/>
  <c r="AT1432" i="2" s="1"/>
  <c r="AU1432" i="2" s="1"/>
  <c r="AV1432" i="2" s="1"/>
  <c r="AR1433" i="2" l="1"/>
  <c r="AQ1434" i="2"/>
  <c r="AS1433" i="2"/>
  <c r="AT1433" i="2" s="1"/>
  <c r="AU1433" i="2" s="1"/>
  <c r="AV1433" i="2" s="1"/>
  <c r="AQ1435" i="2" l="1"/>
  <c r="AR1434" i="2"/>
  <c r="AS1434" i="2"/>
  <c r="AT1434" i="2" l="1"/>
  <c r="AU1434" i="2" s="1"/>
  <c r="AV1434" i="2" s="1"/>
  <c r="AQ1436" i="2"/>
  <c r="AS1435" i="2"/>
  <c r="AR1435" i="2"/>
  <c r="AT1435" i="2" l="1"/>
  <c r="AU1435" i="2" s="1"/>
  <c r="AV1435" i="2" s="1"/>
  <c r="AR1436" i="2"/>
  <c r="AQ1437" i="2"/>
  <c r="AS1436" i="2"/>
  <c r="AS1437" i="2" l="1"/>
  <c r="AR1437" i="2"/>
  <c r="AQ1438" i="2"/>
  <c r="AT1436" i="2"/>
  <c r="AU1436" i="2" s="1"/>
  <c r="AV1436" i="2" s="1"/>
  <c r="AT1437" i="2" l="1"/>
  <c r="AU1437" i="2" s="1"/>
  <c r="AV1437" i="2" s="1"/>
  <c r="AS1438" i="2"/>
  <c r="AR1438" i="2"/>
  <c r="AQ1439" i="2"/>
  <c r="AT1438" i="2" l="1"/>
  <c r="AU1438" i="2" s="1"/>
  <c r="AV1438" i="2" s="1"/>
  <c r="AS1439" i="2"/>
  <c r="AR1439" i="2"/>
  <c r="AQ1440" i="2"/>
  <c r="AT1439" i="2" l="1"/>
  <c r="AU1439" i="2" s="1"/>
  <c r="AV1439" i="2" s="1"/>
  <c r="AQ1441" i="2"/>
  <c r="AS1440" i="2"/>
  <c r="AR1440" i="2"/>
  <c r="AT1440" i="2" l="1"/>
  <c r="AU1440" i="2" s="1"/>
  <c r="AV1440" i="2" s="1"/>
  <c r="AQ1442" i="2"/>
  <c r="AS1441" i="2"/>
  <c r="AR1441" i="2"/>
  <c r="AT1441" i="2" l="1"/>
  <c r="AU1441" i="2" s="1"/>
  <c r="AV1441" i="2" s="1"/>
  <c r="AQ1443" i="2"/>
  <c r="AR1442" i="2"/>
  <c r="AS1442" i="2"/>
  <c r="AT1442" i="2" l="1"/>
  <c r="AU1442" i="2" s="1"/>
  <c r="AV1442" i="2" s="1"/>
  <c r="AQ1444" i="2"/>
  <c r="AR1443" i="2"/>
  <c r="AS1443" i="2"/>
  <c r="AT1443" i="2" l="1"/>
  <c r="AU1443" i="2" s="1"/>
  <c r="AV1443" i="2" s="1"/>
  <c r="AR1444" i="2"/>
  <c r="AS1444" i="2"/>
  <c r="AT1444" i="2" s="1"/>
  <c r="AU1444" i="2" s="1"/>
  <c r="AV1444" i="2" s="1"/>
  <c r="AQ1445" i="2"/>
  <c r="AS1445" i="2" l="1"/>
  <c r="AQ1446" i="2"/>
  <c r="AR1445" i="2"/>
  <c r="AT1445" i="2" l="1"/>
  <c r="AU1445" i="2" s="1"/>
  <c r="AV1445" i="2" s="1"/>
  <c r="AQ1447" i="2"/>
  <c r="AS1446" i="2"/>
  <c r="AR1446" i="2"/>
  <c r="AT1446" i="2" l="1"/>
  <c r="AU1446" i="2" s="1"/>
  <c r="AV1446" i="2" s="1"/>
  <c r="AQ1448" i="2"/>
  <c r="AR1447" i="2"/>
  <c r="AS1447" i="2"/>
  <c r="AT1447" i="2" l="1"/>
  <c r="AU1447" i="2" s="1"/>
  <c r="AV1447" i="2" s="1"/>
  <c r="AS1448" i="2"/>
  <c r="AR1448" i="2"/>
  <c r="AQ1449" i="2"/>
  <c r="AS1449" i="2" l="1"/>
  <c r="AQ1450" i="2"/>
  <c r="AR1449" i="2"/>
  <c r="AT1448" i="2"/>
  <c r="AU1448" i="2" s="1"/>
  <c r="AV1448" i="2" s="1"/>
  <c r="AT1449" i="2" l="1"/>
  <c r="AU1449" i="2" s="1"/>
  <c r="AV1449" i="2" s="1"/>
  <c r="AS1450" i="2"/>
  <c r="AR1450" i="2"/>
  <c r="AQ1451" i="2"/>
  <c r="AT1450" i="2" l="1"/>
  <c r="AU1450" i="2" s="1"/>
  <c r="AV1450" i="2" s="1"/>
  <c r="AS1451" i="2"/>
  <c r="AR1451" i="2"/>
  <c r="AQ1452" i="2"/>
  <c r="AT1451" i="2" l="1"/>
  <c r="AU1451" i="2" s="1"/>
  <c r="AV1451" i="2" s="1"/>
  <c r="AQ1453" i="2"/>
  <c r="AS1452" i="2"/>
  <c r="AR1452" i="2"/>
  <c r="AT1452" i="2" l="1"/>
  <c r="AU1452" i="2" s="1"/>
  <c r="AV1452" i="2" s="1"/>
  <c r="AR1453" i="2"/>
  <c r="AS1453" i="2"/>
  <c r="AT1453" i="2" s="1"/>
  <c r="AU1453" i="2" s="1"/>
  <c r="AV1453" i="2" s="1"/>
  <c r="AQ1454" i="2"/>
  <c r="AQ1455" i="2" l="1"/>
  <c r="AS1454" i="2"/>
  <c r="AR1454" i="2"/>
  <c r="AT1454" i="2" l="1"/>
  <c r="AU1454" i="2" s="1"/>
  <c r="AV1454" i="2" s="1"/>
  <c r="AQ1456" i="2"/>
  <c r="AS1455" i="2"/>
  <c r="AR1455" i="2"/>
  <c r="AT1455" i="2" l="1"/>
  <c r="AU1455" i="2" s="1"/>
  <c r="AV1455" i="2" s="1"/>
  <c r="AQ1457" i="2"/>
  <c r="AR1456" i="2"/>
  <c r="AS1456" i="2"/>
  <c r="AT1456" i="2" l="1"/>
  <c r="AU1456" i="2" s="1"/>
  <c r="AV1456" i="2" s="1"/>
  <c r="AR1457" i="2"/>
  <c r="AS1457" i="2"/>
  <c r="AT1457" i="2" s="1"/>
  <c r="AU1457" i="2" s="1"/>
  <c r="AV1457" i="2" s="1"/>
  <c r="AQ1458" i="2"/>
  <c r="AS1458" i="2" l="1"/>
  <c r="AQ1459" i="2"/>
  <c r="AR1458" i="2"/>
  <c r="AT1458" i="2" l="1"/>
  <c r="AU1458" i="2" s="1"/>
  <c r="AV1458" i="2" s="1"/>
  <c r="AQ1460" i="2"/>
  <c r="AR1459" i="2"/>
  <c r="AS1459" i="2"/>
  <c r="AT1459" i="2" l="1"/>
  <c r="AU1459" i="2" s="1"/>
  <c r="AV1459" i="2" s="1"/>
  <c r="AQ1461" i="2"/>
  <c r="AR1460" i="2"/>
  <c r="AS1460" i="2"/>
  <c r="AT1460" i="2" l="1"/>
  <c r="AU1460" i="2" s="1"/>
  <c r="AV1460" i="2" s="1"/>
  <c r="AS1461" i="2"/>
  <c r="AR1461" i="2"/>
  <c r="AQ1462" i="2"/>
  <c r="AT1461" i="2" l="1"/>
  <c r="AU1461" i="2" s="1"/>
  <c r="AV1461" i="2" s="1"/>
  <c r="AS1462" i="2"/>
  <c r="AR1462" i="2"/>
  <c r="AQ1463" i="2"/>
  <c r="AT1462" i="2" l="1"/>
  <c r="AU1462" i="2" s="1"/>
  <c r="AV1462" i="2" s="1"/>
  <c r="AS1463" i="2"/>
  <c r="AR1463" i="2"/>
  <c r="AQ1464" i="2"/>
  <c r="AT1463" i="2" l="1"/>
  <c r="AU1463" i="2" s="1"/>
  <c r="AV1463" i="2" s="1"/>
  <c r="AQ1465" i="2"/>
  <c r="AS1464" i="2"/>
  <c r="AR1464" i="2"/>
  <c r="AT1464" i="2" l="1"/>
  <c r="AU1464" i="2" s="1"/>
  <c r="AV1464" i="2" s="1"/>
  <c r="AR1465" i="2"/>
  <c r="AS1465" i="2"/>
  <c r="AQ1466" i="2"/>
  <c r="AT1465" i="2" l="1"/>
  <c r="AU1465" i="2" s="1"/>
  <c r="AV1465" i="2" s="1"/>
  <c r="AQ1467" i="2"/>
  <c r="AR1466" i="2"/>
  <c r="AS1466" i="2"/>
  <c r="AT1466" i="2" s="1"/>
  <c r="AU1466" i="2" s="1"/>
  <c r="AV1466" i="2" s="1"/>
  <c r="AQ1468" i="2" l="1"/>
  <c r="AS1467" i="2"/>
  <c r="AR1467" i="2"/>
  <c r="AT1467" i="2" l="1"/>
  <c r="AU1467" i="2" s="1"/>
  <c r="AV1467" i="2" s="1"/>
  <c r="AQ1469" i="2"/>
  <c r="AS1468" i="2"/>
  <c r="AR1468" i="2"/>
  <c r="AT1468" i="2" l="1"/>
  <c r="AU1468" i="2" s="1"/>
  <c r="AV1468" i="2" s="1"/>
  <c r="AS1469" i="2"/>
  <c r="AR1469" i="2"/>
  <c r="AQ1470" i="2"/>
  <c r="AR1470" i="2" l="1"/>
  <c r="AS1470" i="2"/>
  <c r="AT1470" i="2" s="1"/>
  <c r="AU1470" i="2" s="1"/>
  <c r="AV1470" i="2" s="1"/>
  <c r="AQ1471" i="2"/>
  <c r="AT1469" i="2"/>
  <c r="AU1469" i="2" s="1"/>
  <c r="AV1469" i="2" s="1"/>
  <c r="AS1471" i="2" l="1"/>
  <c r="AQ1472" i="2"/>
  <c r="AR1471" i="2"/>
  <c r="AT1471" i="2" l="1"/>
  <c r="AU1471" i="2" s="1"/>
  <c r="AV1471" i="2" s="1"/>
  <c r="AQ1473" i="2"/>
  <c r="AR1472" i="2"/>
  <c r="AS1472" i="2"/>
  <c r="AT1472" i="2" l="1"/>
  <c r="AU1472" i="2" s="1"/>
  <c r="AV1472" i="2" s="1"/>
  <c r="AS1473" i="2"/>
  <c r="AR1473" i="2"/>
  <c r="AQ1474" i="2"/>
  <c r="AS1474" i="2" l="1"/>
  <c r="AQ1475" i="2"/>
  <c r="AR1474" i="2"/>
  <c r="AT1473" i="2"/>
  <c r="AU1473" i="2" s="1"/>
  <c r="AV1473" i="2" s="1"/>
  <c r="AT1474" i="2" l="1"/>
  <c r="AU1474" i="2" s="1"/>
  <c r="AV1474" i="2" s="1"/>
  <c r="AR1475" i="2"/>
  <c r="AQ1476" i="2"/>
  <c r="AS1475" i="2"/>
  <c r="AQ1477" i="2" l="1"/>
  <c r="AS1476" i="2"/>
  <c r="AR1476" i="2"/>
  <c r="AT1475" i="2"/>
  <c r="AU1475" i="2" s="1"/>
  <c r="AV1475" i="2" s="1"/>
  <c r="AT1476" i="2" l="1"/>
  <c r="AU1476" i="2" s="1"/>
  <c r="AV1476" i="2" s="1"/>
  <c r="AR1477" i="2"/>
  <c r="AS1477" i="2"/>
  <c r="AT1477" i="2" s="1"/>
  <c r="AU1477" i="2" s="1"/>
  <c r="AV1477" i="2" s="1"/>
  <c r="AQ1478" i="2"/>
  <c r="AR1478" i="2" l="1"/>
  <c r="AQ1479" i="2"/>
  <c r="AS1478" i="2"/>
  <c r="AT1478" i="2" s="1"/>
  <c r="AU1478" i="2" s="1"/>
  <c r="AV1478" i="2" s="1"/>
  <c r="AQ1480" i="2" l="1"/>
  <c r="AS1479" i="2"/>
  <c r="AR1479" i="2"/>
  <c r="AT1479" i="2" l="1"/>
  <c r="AU1479" i="2" s="1"/>
  <c r="AV1479" i="2" s="1"/>
  <c r="AR1480" i="2"/>
  <c r="AS1480" i="2"/>
  <c r="AT1480" i="2" s="1"/>
  <c r="AU1480" i="2" s="1"/>
  <c r="AV1480" i="2" s="1"/>
  <c r="AQ1481" i="2"/>
  <c r="AQ1482" i="2" l="1"/>
  <c r="AR1481" i="2"/>
  <c r="AS1481" i="2"/>
  <c r="AT1481" i="2" l="1"/>
  <c r="AU1481" i="2" s="1"/>
  <c r="AV1481" i="2" s="1"/>
  <c r="AQ1483" i="2"/>
  <c r="AS1482" i="2"/>
  <c r="AR1482" i="2"/>
  <c r="AT1482" i="2" l="1"/>
  <c r="AU1482" i="2" s="1"/>
  <c r="AV1482" i="2" s="1"/>
  <c r="AR1483" i="2"/>
  <c r="AS1483" i="2"/>
  <c r="AT1483" i="2" s="1"/>
  <c r="AU1483" i="2" s="1"/>
  <c r="AV1483" i="2" s="1"/>
  <c r="AQ1484" i="2"/>
  <c r="AQ1485" i="2" l="1"/>
  <c r="AR1484" i="2"/>
  <c r="AS1484" i="2"/>
  <c r="AT1484" i="2" l="1"/>
  <c r="AU1484" i="2" s="1"/>
  <c r="AV1484" i="2" s="1"/>
  <c r="AR1485" i="2"/>
  <c r="AS1485" i="2"/>
  <c r="AQ1486" i="2"/>
  <c r="AT1485" i="2" l="1"/>
  <c r="AU1485" i="2" s="1"/>
  <c r="AV1485" i="2" s="1"/>
  <c r="AR1486" i="2"/>
  <c r="AQ1487" i="2"/>
  <c r="AS1486" i="2"/>
  <c r="AT1486" i="2" l="1"/>
  <c r="AU1486" i="2" s="1"/>
  <c r="AV1486" i="2" s="1"/>
  <c r="AR1487" i="2"/>
  <c r="AQ1488" i="2"/>
  <c r="AS1487" i="2"/>
  <c r="AT1487" i="2" l="1"/>
  <c r="AU1487" i="2" s="1"/>
  <c r="AV1487" i="2" s="1"/>
  <c r="AS1488" i="2"/>
  <c r="AQ1489" i="2"/>
  <c r="AR1488" i="2"/>
  <c r="AT1488" i="2" l="1"/>
  <c r="AU1488" i="2" s="1"/>
  <c r="AV1488" i="2" s="1"/>
  <c r="AR1489" i="2"/>
  <c r="AV1489" i="2"/>
  <c r="AU1489" i="2"/>
  <c r="AS1489" i="2"/>
  <c r="AQ1490" i="2"/>
  <c r="AT1489" i="2"/>
  <c r="AQ1491" i="2" l="1"/>
  <c r="AT1490" i="2"/>
  <c r="AU1490" i="2"/>
  <c r="AS1490" i="2"/>
  <c r="AV1490" i="2"/>
  <c r="AR1490" i="2"/>
  <c r="AQ1492" i="2" l="1"/>
  <c r="AV1491" i="2"/>
  <c r="AR1491" i="2"/>
  <c r="AS1491" i="2"/>
  <c r="AT1491" i="2"/>
  <c r="AU1491" i="2"/>
  <c r="AS1492" i="2" l="1"/>
  <c r="AQ1493" i="2"/>
  <c r="AU1492" i="2"/>
  <c r="AT1492" i="2"/>
  <c r="AV1492" i="2"/>
  <c r="AR1492" i="2"/>
  <c r="AS1493" i="2" l="1"/>
  <c r="AQ1494" i="2"/>
  <c r="AT1493" i="2"/>
  <c r="AR1493" i="2"/>
  <c r="AV1493" i="2"/>
  <c r="AU1493" i="2"/>
  <c r="AQ1495" i="2" l="1"/>
  <c r="AS1494" i="2"/>
  <c r="AV1494" i="2"/>
  <c r="AR1494" i="2"/>
  <c r="AT1494" i="2"/>
  <c r="AU1494" i="2"/>
  <c r="AT1495" i="2" l="1"/>
  <c r="AR1495" i="2"/>
  <c r="AU1495" i="2"/>
  <c r="AQ1496" i="2"/>
  <c r="AV1495" i="2"/>
  <c r="AS1495" i="2"/>
  <c r="AQ1497" i="2" l="1"/>
  <c r="AV1496" i="2"/>
  <c r="AR1496" i="2"/>
  <c r="AT1496" i="2"/>
  <c r="AU1496" i="2"/>
  <c r="AS1496" i="2"/>
  <c r="AQ1498" i="2" l="1"/>
  <c r="AV1497" i="2"/>
  <c r="AU1497" i="2"/>
  <c r="AR1497" i="2"/>
  <c r="AT1497" i="2"/>
  <c r="AS1497" i="2"/>
  <c r="AT1498" i="2" l="1"/>
  <c r="AQ1499" i="2"/>
  <c r="AV1498" i="2"/>
  <c r="AU1498" i="2"/>
  <c r="AS1498" i="2"/>
  <c r="AR1498" i="2"/>
  <c r="AS1499" i="2" l="1"/>
  <c r="AU1499" i="2"/>
  <c r="AT1499" i="2"/>
  <c r="AV1499" i="2"/>
  <c r="AQ1500" i="2"/>
  <c r="AR1499" i="2"/>
  <c r="AS1500" i="2" l="1"/>
  <c r="AQ1501" i="2"/>
  <c r="AU1500" i="2"/>
  <c r="AT1500" i="2"/>
  <c r="AV1500" i="2"/>
  <c r="AR1500" i="2"/>
  <c r="AT1501" i="2" l="1"/>
  <c r="AV1501" i="2"/>
  <c r="AS1501" i="2"/>
  <c r="AR1501" i="2"/>
  <c r="AQ1502" i="2"/>
  <c r="AU1501" i="2"/>
  <c r="AV1502" i="2" l="1"/>
  <c r="AT1502" i="2"/>
  <c r="AQ1503" i="2"/>
  <c r="AR1502" i="2"/>
  <c r="AU1502" i="2"/>
  <c r="AS1502" i="2"/>
  <c r="AQ1504" i="2" l="1"/>
  <c r="AV1503" i="2"/>
  <c r="AS1503" i="2"/>
  <c r="AT1503" i="2"/>
  <c r="AU1503" i="2"/>
  <c r="AR1503" i="2"/>
  <c r="AS1504" i="2" l="1"/>
  <c r="AU1504" i="2"/>
  <c r="AV1504" i="2"/>
  <c r="AQ1505" i="2"/>
  <c r="AT1504" i="2"/>
  <c r="AR1504" i="2"/>
  <c r="AT1505" i="2" l="1"/>
  <c r="AU1505" i="2"/>
  <c r="AQ1506" i="2"/>
  <c r="AR1505" i="2"/>
  <c r="AS1505" i="2"/>
  <c r="AV1505" i="2"/>
  <c r="AV1506" i="2" l="1"/>
  <c r="AS1506" i="2"/>
  <c r="AU1506" i="2"/>
  <c r="AR1506" i="2"/>
  <c r="AT1506" i="2"/>
  <c r="AQ1507" i="2"/>
  <c r="AT1507" i="2" l="1"/>
  <c r="AU1507" i="2"/>
  <c r="AR1507" i="2"/>
  <c r="AQ1508" i="2"/>
  <c r="AS1507" i="2"/>
  <c r="AV1507" i="2"/>
  <c r="AV1508" i="2" l="1"/>
  <c r="AS1508" i="2"/>
  <c r="AR1508" i="2"/>
  <c r="AQ1509" i="2"/>
  <c r="AU1508" i="2"/>
  <c r="AT1508" i="2"/>
  <c r="AR1509" i="2" l="1"/>
  <c r="AT1509" i="2"/>
  <c r="AS1509" i="2"/>
  <c r="AV1509" i="2"/>
  <c r="AQ1510" i="2"/>
  <c r="AU1509" i="2"/>
  <c r="AV1510" i="2" l="1"/>
  <c r="AU1510" i="2"/>
  <c r="AT1510" i="2"/>
  <c r="AR1510" i="2"/>
  <c r="AQ1511" i="2"/>
  <c r="AS1510" i="2"/>
  <c r="AR1511" i="2" l="1"/>
  <c r="AU1511" i="2"/>
  <c r="AS1511" i="2"/>
  <c r="AV1511" i="2"/>
  <c r="AT1511" i="2"/>
  <c r="AQ1512" i="2"/>
  <c r="AQ1513" i="2" l="1"/>
  <c r="AT1512" i="2"/>
  <c r="AU1512" i="2"/>
  <c r="AS1512" i="2"/>
  <c r="AV1512" i="2"/>
  <c r="AR1512" i="2"/>
  <c r="AV1513" i="2" l="1"/>
  <c r="AU1513" i="2"/>
  <c r="AS1513" i="2"/>
  <c r="AQ1514" i="2"/>
  <c r="AR1513" i="2"/>
  <c r="AT1513" i="2"/>
  <c r="AV1514" i="2" l="1"/>
  <c r="AQ1515" i="2"/>
  <c r="AS1514" i="2"/>
  <c r="AU1514" i="2"/>
  <c r="AT1514" i="2"/>
  <c r="AR1514" i="2"/>
  <c r="AV1515" i="2" l="1"/>
  <c r="AS1515" i="2"/>
  <c r="AT1515" i="2"/>
  <c r="AU1515" i="2"/>
  <c r="AR1515" i="2"/>
  <c r="AQ1516" i="2"/>
  <c r="AV1516" i="2" l="1"/>
  <c r="AR1516" i="2"/>
  <c r="AU1516" i="2"/>
  <c r="AS1516" i="2"/>
  <c r="AT1516" i="2"/>
  <c r="AQ1517" i="2"/>
  <c r="AQ1518" i="2" l="1"/>
  <c r="AU1517" i="2"/>
  <c r="AV1517" i="2"/>
  <c r="AR1517" i="2"/>
  <c r="AT1517" i="2"/>
  <c r="AS1517" i="2"/>
  <c r="AQ1519" i="2" l="1"/>
  <c r="AV1518" i="2"/>
  <c r="AT1518" i="2"/>
  <c r="AS1518" i="2"/>
  <c r="AU1518" i="2"/>
  <c r="AR1518" i="2"/>
  <c r="AQ1520" i="2" l="1"/>
  <c r="AU1519" i="2"/>
  <c r="AT1519" i="2"/>
  <c r="AR1519" i="2"/>
  <c r="AS1519" i="2"/>
  <c r="AV1519" i="2"/>
  <c r="AR1520" i="2" l="1"/>
  <c r="AU1520" i="2"/>
  <c r="AS1520" i="2"/>
  <c r="AQ1521" i="2"/>
  <c r="AT1520" i="2"/>
  <c r="AV1520" i="2"/>
  <c r="AT1521" i="2" l="1"/>
  <c r="AS1521" i="2"/>
  <c r="AU1521" i="2"/>
  <c r="AQ1522" i="2"/>
  <c r="AR1521" i="2"/>
  <c r="AV1521" i="2"/>
  <c r="AS1522" i="2" l="1"/>
  <c r="AT1522" i="2"/>
  <c r="AU1522" i="2"/>
  <c r="AQ1523" i="2"/>
  <c r="AV1522" i="2"/>
  <c r="AR1522" i="2"/>
  <c r="AT1523" i="2" l="1"/>
  <c r="AQ1524" i="2"/>
  <c r="AS1523" i="2"/>
  <c r="AV1523" i="2"/>
  <c r="AR1523" i="2"/>
  <c r="AU1523" i="2"/>
  <c r="AU1524" i="2" l="1"/>
  <c r="AT1524" i="2"/>
  <c r="AQ1525" i="2"/>
  <c r="AS1524" i="2"/>
  <c r="AV1524" i="2"/>
  <c r="AR1524" i="2"/>
  <c r="AR1525" i="2" l="1"/>
  <c r="AQ1526" i="2"/>
  <c r="AV1525" i="2"/>
  <c r="AT1525" i="2"/>
  <c r="AU1525" i="2"/>
  <c r="AS1525" i="2"/>
  <c r="AT1526" i="2" l="1"/>
  <c r="AS1526" i="2"/>
  <c r="AU1526" i="2"/>
  <c r="AR1526" i="2"/>
  <c r="AQ1527" i="2"/>
  <c r="AV1526" i="2"/>
  <c r="AV1527" i="2" l="1"/>
  <c r="AQ1528" i="2"/>
  <c r="AT1527" i="2"/>
  <c r="AR1527" i="2"/>
  <c r="AS1527" i="2"/>
  <c r="AU1527" i="2"/>
  <c r="AV1528" i="2" l="1"/>
  <c r="AU1528" i="2"/>
  <c r="AQ1529" i="2"/>
  <c r="AT1528" i="2"/>
  <c r="AS1528" i="2"/>
  <c r="AR1528" i="2"/>
  <c r="AR1529" i="2" l="1"/>
  <c r="AV1529" i="2"/>
  <c r="AT1529" i="2"/>
  <c r="AS1529" i="2"/>
  <c r="AQ1530" i="2"/>
  <c r="AU1529" i="2"/>
  <c r="AV1530" i="2" l="1"/>
  <c r="AS1530" i="2"/>
  <c r="AQ1531" i="2"/>
  <c r="AR1530" i="2"/>
  <c r="AT1530" i="2"/>
  <c r="AU1530" i="2"/>
  <c r="AT1531" i="2" l="1"/>
  <c r="AQ1532" i="2"/>
  <c r="AV1531" i="2"/>
  <c r="AR1531" i="2"/>
  <c r="AU1531" i="2"/>
  <c r="AS1531" i="2"/>
  <c r="AS1532" i="2" l="1"/>
  <c r="AV1532" i="2"/>
  <c r="AT1532" i="2"/>
  <c r="AR1532" i="2"/>
  <c r="AQ1533" i="2"/>
  <c r="AU1532" i="2"/>
  <c r="AV1533" i="2" l="1"/>
  <c r="AU1533" i="2"/>
  <c r="AQ1534" i="2"/>
  <c r="AT1533" i="2"/>
  <c r="AS1533" i="2"/>
  <c r="AR1533" i="2"/>
  <c r="AU1534" i="2" l="1"/>
  <c r="AV1534" i="2"/>
  <c r="AR1534" i="2"/>
  <c r="AQ1535" i="2"/>
  <c r="AS1534" i="2"/>
  <c r="AT1534" i="2"/>
  <c r="AQ1536" i="2" l="1"/>
  <c r="AU1535" i="2"/>
  <c r="AV1535" i="2"/>
  <c r="AR1535" i="2"/>
  <c r="AS1535" i="2"/>
  <c r="AT1535" i="2"/>
  <c r="AS1536" i="2" l="1"/>
  <c r="AR1536" i="2"/>
  <c r="AT1536" i="2"/>
  <c r="AU1536" i="2"/>
  <c r="AV1536" i="2"/>
  <c r="AQ1537" i="2"/>
  <c r="AQ1538" i="2" l="1"/>
  <c r="AU1537" i="2"/>
  <c r="AV1537" i="2"/>
  <c r="AR1537" i="2"/>
  <c r="AT1537" i="2"/>
  <c r="AS1537" i="2"/>
  <c r="AS1538" i="2" l="1"/>
  <c r="AV1538" i="2"/>
  <c r="AQ1539" i="2"/>
  <c r="AT1538" i="2"/>
  <c r="AR1538" i="2"/>
  <c r="AU1538" i="2"/>
  <c r="AT1539" i="2" l="1"/>
  <c r="AQ1540" i="2"/>
  <c r="AS1539" i="2"/>
  <c r="AV1539" i="2"/>
  <c r="AR1539" i="2"/>
  <c r="AU1539" i="2"/>
  <c r="AR1540" i="2" l="1"/>
  <c r="AV1540" i="2"/>
  <c r="AU1540" i="2"/>
  <c r="AT1540" i="2"/>
  <c r="AS1540" i="2"/>
  <c r="AQ1541" i="2"/>
  <c r="AS1541" i="2" l="1"/>
  <c r="AQ1542" i="2"/>
  <c r="AU1541" i="2"/>
  <c r="AT1541" i="2"/>
  <c r="AR1541" i="2"/>
  <c r="AV1541" i="2"/>
  <c r="AQ1543" i="2" l="1"/>
  <c r="AR1542" i="2"/>
  <c r="AU1542" i="2"/>
  <c r="AV1542" i="2"/>
  <c r="AS1542" i="2"/>
  <c r="AT1542" i="2"/>
  <c r="AV1543" i="2" l="1"/>
  <c r="AQ1544" i="2"/>
  <c r="AR1543" i="2"/>
  <c r="AT1543" i="2"/>
  <c r="AU1543" i="2"/>
  <c r="AS1543" i="2"/>
  <c r="AS1544" i="2" l="1"/>
  <c r="AR1544" i="2"/>
  <c r="AU1544" i="2"/>
  <c r="AQ1545" i="2"/>
  <c r="AT1544" i="2"/>
  <c r="AV1544" i="2"/>
  <c r="AU1545" i="2" l="1"/>
  <c r="AT1545" i="2"/>
  <c r="AQ1546" i="2"/>
  <c r="AV1545" i="2"/>
  <c r="AR1545" i="2"/>
  <c r="AS1545" i="2"/>
  <c r="AV1546" i="2" l="1"/>
  <c r="AT1546" i="2"/>
  <c r="AU1546" i="2"/>
  <c r="AR1546" i="2"/>
  <c r="AS1546" i="2"/>
  <c r="AQ1547" i="2"/>
  <c r="AV1547" i="2" l="1"/>
  <c r="AR1547" i="2"/>
  <c r="AQ1548" i="2"/>
  <c r="AU1547" i="2"/>
  <c r="AS1547" i="2"/>
  <c r="AT1547" i="2"/>
  <c r="AS1548" i="2" l="1"/>
  <c r="AT1548" i="2"/>
  <c r="AR1548" i="2"/>
  <c r="AV1548" i="2"/>
  <c r="AQ1549" i="2"/>
  <c r="AU1548" i="2"/>
  <c r="AU1549" i="2" l="1"/>
  <c r="AQ1550" i="2"/>
  <c r="AV1549" i="2"/>
  <c r="AR1549" i="2"/>
  <c r="AS1549" i="2"/>
  <c r="AT1549" i="2"/>
  <c r="AQ1551" i="2" l="1"/>
  <c r="AS1550" i="2"/>
  <c r="AT1550" i="2"/>
  <c r="AV1550" i="2"/>
  <c r="AR1550" i="2"/>
  <c r="AU1550" i="2"/>
  <c r="AV1551" i="2" l="1"/>
  <c r="AT1551" i="2"/>
  <c r="AR1551" i="2"/>
  <c r="AQ1552" i="2"/>
  <c r="AS1551" i="2"/>
  <c r="AU1551" i="2"/>
  <c r="AR1552" i="2" l="1"/>
  <c r="AQ1553" i="2"/>
  <c r="AS1552" i="2"/>
  <c r="AU1552" i="2"/>
  <c r="AT1552" i="2"/>
  <c r="AV1552" i="2"/>
  <c r="AQ1554" i="2" l="1"/>
  <c r="AU1553" i="2"/>
  <c r="AS1553" i="2"/>
  <c r="AV1553" i="2"/>
  <c r="AR1553" i="2"/>
  <c r="AT1553" i="2"/>
  <c r="AQ1555" i="2" l="1"/>
  <c r="AV1554" i="2"/>
  <c r="AS1554" i="2"/>
  <c r="AU1554" i="2"/>
  <c r="AT1554" i="2"/>
  <c r="AR1554" i="2"/>
  <c r="AR1555" i="2" l="1"/>
  <c r="AV1555" i="2"/>
  <c r="AQ1556" i="2"/>
  <c r="AT1555" i="2"/>
  <c r="AS1555" i="2"/>
  <c r="AU1555" i="2"/>
  <c r="AR1556" i="2" l="1"/>
  <c r="AV1556" i="2"/>
  <c r="AT1556" i="2"/>
  <c r="AS1556" i="2"/>
  <c r="AQ1557" i="2"/>
  <c r="AU1556" i="2"/>
  <c r="AT1557" i="2" l="1"/>
  <c r="AS1557" i="2"/>
  <c r="AQ1558" i="2"/>
  <c r="AU1557" i="2"/>
  <c r="AR1557" i="2"/>
  <c r="AV1557" i="2"/>
  <c r="AV1558" i="2" l="1"/>
  <c r="AU1558" i="2"/>
  <c r="AS1558" i="2"/>
  <c r="AQ1559" i="2"/>
  <c r="AT1558" i="2"/>
  <c r="AR1558" i="2"/>
  <c r="AQ1560" i="2" l="1"/>
  <c r="AR1559" i="2"/>
  <c r="AS1559" i="2"/>
  <c r="AV1559" i="2"/>
  <c r="AU1559" i="2"/>
  <c r="AT1559" i="2"/>
  <c r="AU1560" i="2" l="1"/>
  <c r="AV1560" i="2"/>
  <c r="AR1560" i="2"/>
  <c r="AT1560" i="2"/>
  <c r="AS1560" i="2"/>
  <c r="AQ1561" i="2"/>
  <c r="AT1561" i="2" l="1"/>
  <c r="AS1561" i="2"/>
  <c r="AV1561" i="2"/>
  <c r="AU1561" i="2"/>
  <c r="AQ1562" i="2"/>
  <c r="AR1561" i="2"/>
  <c r="AQ1563" i="2" l="1"/>
  <c r="AU1562" i="2"/>
  <c r="AT1562" i="2"/>
  <c r="AS1562" i="2"/>
  <c r="AV1562" i="2"/>
  <c r="AR1562" i="2"/>
  <c r="AV1563" i="2" l="1"/>
  <c r="AR1563" i="2"/>
  <c r="AU1563" i="2"/>
  <c r="AQ1564" i="2"/>
  <c r="AS1563" i="2"/>
  <c r="AT1563" i="2"/>
  <c r="AU1564" i="2" l="1"/>
  <c r="AQ1565" i="2"/>
  <c r="AR1564" i="2"/>
  <c r="AT1564" i="2"/>
  <c r="AS1564" i="2"/>
  <c r="AV1564" i="2"/>
  <c r="AT1565" i="2" l="1"/>
  <c r="AV1565" i="2"/>
  <c r="AU1565" i="2"/>
  <c r="AS1565" i="2"/>
  <c r="AQ1566" i="2"/>
  <c r="AR1565" i="2"/>
  <c r="AR1566" i="2" l="1"/>
  <c r="AQ1567" i="2"/>
  <c r="AU1566" i="2"/>
  <c r="AS1566" i="2"/>
  <c r="AV1566" i="2"/>
  <c r="AT1566" i="2"/>
  <c r="AU1567" i="2" l="1"/>
  <c r="AV1567" i="2"/>
  <c r="AQ1568" i="2"/>
  <c r="AT1567" i="2"/>
  <c r="AS1567" i="2"/>
  <c r="AR1567" i="2"/>
  <c r="AS1568" i="2" l="1"/>
  <c r="AU1568" i="2"/>
  <c r="AT1568" i="2"/>
  <c r="AR1568" i="2"/>
  <c r="AV1568" i="2"/>
  <c r="AQ1569" i="2"/>
  <c r="AU1569" i="2" l="1"/>
  <c r="AT1569" i="2"/>
  <c r="AR1569" i="2"/>
  <c r="AV1569" i="2"/>
  <c r="AQ1570" i="2"/>
  <c r="AS1569" i="2"/>
  <c r="AT1570" i="2" l="1"/>
  <c r="AS1570" i="2"/>
  <c r="AQ1571" i="2"/>
  <c r="AV1570" i="2"/>
  <c r="AU1570" i="2"/>
  <c r="AR1570" i="2"/>
  <c r="AR1571" i="2" l="1"/>
  <c r="AU1571" i="2"/>
  <c r="AV1571" i="2"/>
  <c r="AQ1572" i="2"/>
  <c r="AS1571" i="2"/>
  <c r="AT1571" i="2"/>
  <c r="AR1572" i="2" l="1"/>
  <c r="AS1572" i="2"/>
  <c r="AU1572" i="2"/>
  <c r="AQ1573" i="2"/>
  <c r="AV1572" i="2"/>
  <c r="AT1572" i="2"/>
  <c r="AV1573" i="2" l="1"/>
  <c r="AQ1574" i="2"/>
  <c r="AT1573" i="2"/>
  <c r="AU1573" i="2"/>
  <c r="AR1573" i="2"/>
  <c r="AS1573" i="2"/>
  <c r="AU1574" i="2" l="1"/>
  <c r="AT1574" i="2"/>
  <c r="AQ1575" i="2"/>
  <c r="AV1574" i="2"/>
  <c r="AR1574" i="2"/>
  <c r="AS1574" i="2"/>
  <c r="AT1575" i="2" l="1"/>
  <c r="AS1575" i="2"/>
  <c r="AR1575" i="2"/>
  <c r="AU1575" i="2"/>
  <c r="AV1575" i="2"/>
  <c r="AQ1576" i="2"/>
  <c r="AT1576" i="2" l="1"/>
  <c r="AS1576" i="2"/>
  <c r="AV1576" i="2"/>
  <c r="AU1576" i="2"/>
  <c r="AQ1577" i="2"/>
  <c r="AR1576" i="2"/>
  <c r="AR1577" i="2" l="1"/>
  <c r="AV1577" i="2"/>
  <c r="AU1577" i="2"/>
  <c r="AQ1578" i="2"/>
  <c r="AS1577" i="2"/>
  <c r="AT1577" i="2"/>
  <c r="AS1578" i="2" l="1"/>
  <c r="AQ1579" i="2"/>
  <c r="AV1578" i="2"/>
  <c r="AU1578" i="2"/>
  <c r="AT1578" i="2"/>
  <c r="AR1578" i="2"/>
  <c r="AS1579" i="2" l="1"/>
  <c r="AQ1580" i="2"/>
  <c r="AR1579" i="2"/>
  <c r="AT1579" i="2"/>
  <c r="AU1579" i="2"/>
  <c r="AV1579" i="2"/>
  <c r="AT1580" i="2" l="1"/>
  <c r="AU1580" i="2"/>
  <c r="AV1580" i="2"/>
  <c r="AQ1581" i="2"/>
  <c r="AS1580" i="2"/>
  <c r="AR1580" i="2"/>
  <c r="AS1581" i="2" l="1"/>
  <c r="AQ1582" i="2"/>
  <c r="AR1581" i="2"/>
  <c r="AT1581" i="2"/>
  <c r="AU1581" i="2"/>
  <c r="AV1581" i="2"/>
  <c r="AV1582" i="2" l="1"/>
  <c r="AS1582" i="2"/>
  <c r="AT1582" i="2"/>
  <c r="AR1582" i="2"/>
  <c r="AU1582" i="2"/>
  <c r="AQ1583" i="2"/>
  <c r="AS1583" i="2" l="1"/>
  <c r="AQ1584" i="2"/>
  <c r="AT1583" i="2"/>
  <c r="AV1583" i="2"/>
  <c r="AR1583" i="2"/>
  <c r="AU1583" i="2"/>
  <c r="AQ1585" i="2" l="1"/>
  <c r="AV1584" i="2"/>
  <c r="AS1584" i="2"/>
  <c r="AR1584" i="2"/>
  <c r="AU1584" i="2"/>
  <c r="AT1584" i="2"/>
  <c r="AV1585" i="2" l="1"/>
  <c r="AR1585" i="2"/>
  <c r="AS1585" i="2"/>
  <c r="AT1585" i="2"/>
  <c r="AU1585" i="2"/>
  <c r="AQ1586" i="2"/>
  <c r="AT1586" i="2" l="1"/>
  <c r="AS1586" i="2"/>
  <c r="AV1586" i="2"/>
  <c r="AQ1587" i="2"/>
  <c r="AR1586" i="2"/>
  <c r="AU1586" i="2"/>
  <c r="AR1587" i="2" l="1"/>
  <c r="AQ1588" i="2"/>
  <c r="AV1587" i="2"/>
  <c r="AU1587" i="2"/>
  <c r="AT1587" i="2"/>
  <c r="AS1587" i="2"/>
  <c r="AU1588" i="2" l="1"/>
  <c r="AS1588" i="2"/>
  <c r="AT1588" i="2"/>
  <c r="AQ1589" i="2"/>
  <c r="AV1588" i="2"/>
  <c r="AR1588" i="2"/>
  <c r="AU1589" i="2" l="1"/>
  <c r="AR1589" i="2"/>
  <c r="AT1589" i="2"/>
  <c r="AV1589" i="2"/>
  <c r="AQ1590" i="2"/>
  <c r="AS1589" i="2"/>
  <c r="AR1590" i="2" l="1"/>
  <c r="AT1590" i="2"/>
  <c r="AU1590" i="2"/>
  <c r="AV1590" i="2"/>
  <c r="AQ1591" i="2"/>
  <c r="AS1590" i="2"/>
  <c r="AV1591" i="2" l="1"/>
  <c r="AR1591" i="2"/>
  <c r="AT1591" i="2"/>
  <c r="AQ1592" i="2"/>
  <c r="AU1591" i="2"/>
  <c r="AS1591" i="2"/>
  <c r="AT1592" i="2" l="1"/>
  <c r="AV1592" i="2"/>
  <c r="AU1592" i="2"/>
  <c r="AS1592" i="2"/>
  <c r="AQ1593" i="2"/>
  <c r="AR1592" i="2"/>
  <c r="AR1593" i="2" l="1"/>
  <c r="AV1593" i="2"/>
  <c r="AU1593" i="2"/>
  <c r="AQ1594" i="2"/>
  <c r="AT1593" i="2"/>
  <c r="AS1593" i="2"/>
  <c r="AV1594" i="2" l="1"/>
  <c r="AQ1595" i="2"/>
  <c r="AT1594" i="2"/>
  <c r="AU1594" i="2"/>
  <c r="AR1594" i="2"/>
  <c r="AS1594" i="2"/>
  <c r="AT1595" i="2" l="1"/>
  <c r="AR1595" i="2"/>
  <c r="AQ1596" i="2"/>
  <c r="AU1595" i="2"/>
  <c r="AS1595" i="2"/>
  <c r="AV1595" i="2"/>
  <c r="AS1596" i="2" l="1"/>
  <c r="AU1596" i="2"/>
  <c r="AT1596" i="2"/>
  <c r="AV1596" i="2"/>
  <c r="AR1596" i="2"/>
  <c r="AQ1597" i="2"/>
  <c r="AQ1598" i="2" l="1"/>
  <c r="AU1597" i="2"/>
  <c r="AT1597" i="2"/>
  <c r="AV1597" i="2"/>
  <c r="AR1597" i="2"/>
  <c r="AS1597" i="2"/>
  <c r="AR1598" i="2" l="1"/>
  <c r="AS1598" i="2"/>
  <c r="AQ1599" i="2"/>
  <c r="AV1598" i="2"/>
  <c r="AU1598" i="2"/>
  <c r="AT1598" i="2"/>
  <c r="AS1599" i="2" l="1"/>
  <c r="AR1599" i="2"/>
  <c r="AQ1600" i="2"/>
  <c r="AV1599" i="2"/>
  <c r="AT1599" i="2"/>
  <c r="AU1599" i="2"/>
  <c r="AQ1601" i="2" l="1"/>
  <c r="AT1600" i="2"/>
  <c r="AS1600" i="2"/>
  <c r="AV1600" i="2"/>
  <c r="AU1600" i="2"/>
  <c r="AR1600" i="2"/>
  <c r="AQ1602" i="2" l="1"/>
  <c r="AR1601" i="2"/>
  <c r="AV1601" i="2"/>
  <c r="AU1601" i="2"/>
  <c r="AT1601" i="2"/>
  <c r="AS1601" i="2"/>
  <c r="AQ1603" i="2" l="1"/>
  <c r="AV1602" i="2"/>
  <c r="AT1602" i="2"/>
  <c r="AU1602" i="2"/>
  <c r="AS1602" i="2"/>
  <c r="AR1602" i="2"/>
  <c r="AU1603" i="2" l="1"/>
  <c r="AR1603" i="2"/>
  <c r="AV1603" i="2"/>
  <c r="AT1603" i="2"/>
  <c r="AS1603" i="2"/>
  <c r="AQ1604" i="2"/>
  <c r="AT1604" i="2" l="1"/>
  <c r="AS1604" i="2"/>
  <c r="AU1604" i="2"/>
  <c r="AQ1605" i="2"/>
  <c r="AR1604" i="2"/>
  <c r="AV1604" i="2"/>
  <c r="AV1605" i="2" l="1"/>
  <c r="AS1605" i="2"/>
  <c r="AQ1606" i="2"/>
  <c r="AT1605" i="2"/>
  <c r="AR1605" i="2"/>
  <c r="AU1605" i="2"/>
  <c r="AT1606" i="2" l="1"/>
  <c r="AR1606" i="2"/>
  <c r="AU1606" i="2"/>
  <c r="AS1606" i="2"/>
  <c r="AV1606" i="2"/>
  <c r="AQ1607" i="2"/>
  <c r="AS1607" i="2" l="1"/>
  <c r="AU1607" i="2"/>
  <c r="AV1607" i="2"/>
  <c r="AT1607" i="2"/>
  <c r="AQ1608" i="2"/>
  <c r="AR1607" i="2"/>
  <c r="AT1608" i="2" l="1"/>
  <c r="AU1608" i="2"/>
  <c r="AV1608" i="2"/>
  <c r="AS1608" i="2"/>
  <c r="AQ1609" i="2"/>
  <c r="AR1608" i="2"/>
  <c r="AR1609" i="2" l="1"/>
  <c r="AV1609" i="2"/>
  <c r="AQ1610" i="2"/>
  <c r="AS1609" i="2"/>
  <c r="AU1609" i="2"/>
  <c r="AT1609" i="2"/>
  <c r="AS1610" i="2" l="1"/>
  <c r="AU1610" i="2"/>
  <c r="AR1610" i="2"/>
  <c r="AT1610" i="2"/>
  <c r="AQ1611" i="2"/>
  <c r="AV1610" i="2"/>
  <c r="AR1611" i="2" l="1"/>
  <c r="AV1611" i="2"/>
  <c r="AU1611" i="2"/>
  <c r="AQ1612" i="2"/>
  <c r="AT1611" i="2"/>
  <c r="AS1611" i="2"/>
  <c r="AU1612" i="2" l="1"/>
  <c r="AR1612" i="2"/>
  <c r="AQ1613" i="2"/>
  <c r="AT1612" i="2"/>
  <c r="AV1612" i="2"/>
  <c r="AS1612" i="2"/>
  <c r="AR1613" i="2" l="1"/>
  <c r="AU1613" i="2"/>
  <c r="AV1613" i="2"/>
  <c r="AS1613" i="2"/>
  <c r="AT1613" i="2"/>
  <c r="AQ1614" i="2"/>
  <c r="AR1614" i="2" l="1"/>
  <c r="AQ1615" i="2"/>
  <c r="AS1614" i="2"/>
  <c r="AV1614" i="2"/>
  <c r="AU1614" i="2"/>
  <c r="AT1614" i="2"/>
  <c r="AT1615" i="2" l="1"/>
  <c r="AV1615" i="2"/>
  <c r="AS1615" i="2"/>
  <c r="AQ1616" i="2"/>
  <c r="AU1615" i="2"/>
  <c r="AR1615" i="2"/>
  <c r="AQ1617" i="2" l="1"/>
  <c r="AV1616" i="2"/>
  <c r="AS1616" i="2"/>
  <c r="AR1616" i="2"/>
  <c r="AT1616" i="2"/>
  <c r="AU1616" i="2"/>
  <c r="AV1617" i="2" l="1"/>
  <c r="AS1617" i="2"/>
  <c r="AQ1618" i="2"/>
  <c r="AT1617" i="2"/>
  <c r="AR1617" i="2"/>
  <c r="AU1617" i="2"/>
  <c r="AU1618" i="2" l="1"/>
  <c r="AR1618" i="2"/>
  <c r="AQ1619" i="2"/>
  <c r="AV1618" i="2"/>
  <c r="AS1618" i="2"/>
  <c r="AT1618" i="2"/>
  <c r="AS1619" i="2" l="1"/>
  <c r="AR1619" i="2"/>
  <c r="AV1619" i="2"/>
  <c r="AU1619" i="2"/>
  <c r="AT1619" i="2"/>
  <c r="AQ1620" i="2"/>
  <c r="AS1620" i="2" l="1"/>
  <c r="AR1620" i="2"/>
  <c r="AT1620" i="2"/>
  <c r="AV1620" i="2"/>
  <c r="AQ1621" i="2"/>
  <c r="AU1620" i="2"/>
  <c r="AV1621" i="2" l="1"/>
  <c r="AR1621" i="2"/>
  <c r="AU1621" i="2"/>
  <c r="AQ1622" i="2"/>
  <c r="AT1621" i="2"/>
  <c r="AS1621" i="2"/>
  <c r="AS1622" i="2" l="1"/>
  <c r="AV1622" i="2"/>
  <c r="AQ1623" i="2"/>
  <c r="AR1622" i="2"/>
  <c r="AU1622" i="2"/>
  <c r="AT1622" i="2"/>
  <c r="AR1623" i="2" l="1"/>
  <c r="AU1623" i="2"/>
  <c r="AT1623" i="2"/>
  <c r="AQ1624" i="2"/>
  <c r="AS1623" i="2"/>
  <c r="AV1623" i="2"/>
  <c r="AT1624" i="2" l="1"/>
  <c r="AS1624" i="2"/>
  <c r="AV1624" i="2"/>
  <c r="AR1624" i="2"/>
  <c r="AQ1625" i="2"/>
  <c r="AU1624" i="2"/>
  <c r="AQ1626" i="2" l="1"/>
  <c r="AT1625" i="2"/>
  <c r="AR1625" i="2"/>
  <c r="AU1625" i="2"/>
  <c r="AV1625" i="2"/>
  <c r="AS1625" i="2"/>
  <c r="AS1626" i="2" l="1"/>
  <c r="AQ1627" i="2"/>
  <c r="AR1626" i="2"/>
  <c r="AV1626" i="2"/>
  <c r="AU1626" i="2"/>
  <c r="AT1626" i="2"/>
  <c r="AT1627" i="2" l="1"/>
  <c r="AR1627" i="2"/>
  <c r="AS1627" i="2"/>
  <c r="AQ1628" i="2"/>
  <c r="AV1627" i="2"/>
  <c r="AU1627" i="2"/>
  <c r="AQ1629" i="2" l="1"/>
  <c r="AV1628" i="2"/>
  <c r="AT1628" i="2"/>
  <c r="AR1628" i="2"/>
  <c r="AU1628" i="2"/>
  <c r="AS1628" i="2"/>
  <c r="AU1629" i="2" l="1"/>
  <c r="AV1629" i="2"/>
  <c r="AR1629" i="2"/>
  <c r="AS1629" i="2"/>
  <c r="AT1629" i="2"/>
  <c r="AQ1630" i="2"/>
  <c r="AS1630" i="2" l="1"/>
  <c r="AQ1631" i="2"/>
  <c r="AU1630" i="2"/>
  <c r="AV1630" i="2"/>
  <c r="AR1630" i="2"/>
  <c r="AT1630" i="2"/>
  <c r="AR1631" i="2" l="1"/>
  <c r="AS1631" i="2"/>
  <c r="AT1631" i="2"/>
  <c r="AQ1632" i="2"/>
  <c r="AU1631" i="2"/>
  <c r="AV1631" i="2"/>
  <c r="AS1632" i="2" l="1"/>
  <c r="AT1632" i="2"/>
  <c r="AV1632" i="2"/>
  <c r="AQ1633" i="2"/>
  <c r="AU1632" i="2"/>
  <c r="AR1632" i="2"/>
  <c r="AU1633" i="2" l="1"/>
  <c r="AT1633" i="2"/>
  <c r="AR1633" i="2"/>
  <c r="AQ1634" i="2"/>
  <c r="AV1633" i="2"/>
  <c r="AS1633" i="2"/>
  <c r="AU1634" i="2" l="1"/>
  <c r="AR1634" i="2"/>
  <c r="AQ1635" i="2"/>
  <c r="AT1634" i="2"/>
  <c r="AS1634" i="2"/>
  <c r="AV1634" i="2"/>
  <c r="AV1635" i="2" l="1"/>
  <c r="AQ1636" i="2"/>
  <c r="AU1635" i="2"/>
  <c r="AS1635" i="2"/>
  <c r="AT1635" i="2"/>
  <c r="AR1635" i="2"/>
  <c r="AR1636" i="2" l="1"/>
  <c r="AQ1637" i="2"/>
  <c r="AU1636" i="2"/>
  <c r="AV1636" i="2"/>
  <c r="AS1636" i="2"/>
  <c r="AT1636" i="2"/>
  <c r="AS1637" i="2" l="1"/>
  <c r="AU1637" i="2"/>
  <c r="AV1637" i="2"/>
  <c r="AT1637" i="2"/>
  <c r="AQ1638" i="2"/>
  <c r="AR1637" i="2"/>
  <c r="AS1638" i="2" l="1"/>
  <c r="AV1638" i="2"/>
  <c r="AQ1639" i="2"/>
  <c r="AT1638" i="2"/>
  <c r="AR1638" i="2"/>
  <c r="AU1638" i="2"/>
  <c r="AT1639" i="2" l="1"/>
  <c r="AS1639" i="2"/>
  <c r="AQ1640" i="2"/>
  <c r="AU1639" i="2"/>
  <c r="AR1639" i="2"/>
  <c r="AV1639" i="2"/>
  <c r="AV1640" i="2" l="1"/>
  <c r="AT1640" i="2"/>
  <c r="AR1640" i="2"/>
  <c r="AQ1641" i="2"/>
  <c r="AS1640" i="2"/>
  <c r="AU1640" i="2"/>
  <c r="AQ1642" i="2" l="1"/>
  <c r="AS1641" i="2"/>
  <c r="AU1641" i="2"/>
  <c r="AR1641" i="2"/>
  <c r="AT1641" i="2"/>
  <c r="AV1641" i="2"/>
  <c r="AT1642" i="2" l="1"/>
  <c r="AV1642" i="2"/>
  <c r="AU1642" i="2"/>
  <c r="AS1642" i="2"/>
  <c r="AQ1643" i="2"/>
  <c r="AR1642" i="2"/>
  <c r="AV1643" i="2" l="1"/>
  <c r="AU1643" i="2"/>
  <c r="AS1643" i="2"/>
  <c r="AT1643" i="2"/>
  <c r="AQ1644" i="2"/>
  <c r="AR1643" i="2"/>
  <c r="AV1644" i="2" l="1"/>
  <c r="AQ1645" i="2"/>
  <c r="AR1644" i="2"/>
  <c r="AS1644" i="2"/>
  <c r="AU1644" i="2"/>
  <c r="AT1644" i="2"/>
  <c r="AT1645" i="2" l="1"/>
  <c r="AS1645" i="2"/>
  <c r="AV1645" i="2"/>
  <c r="AR1645" i="2"/>
  <c r="AU1645" i="2"/>
  <c r="AQ1646" i="2"/>
  <c r="AV1646" i="2" l="1"/>
  <c r="AS1646" i="2"/>
  <c r="AT1646" i="2"/>
  <c r="AQ1647" i="2"/>
  <c r="AU1646" i="2"/>
  <c r="AR1646" i="2"/>
  <c r="AV1647" i="2" l="1"/>
  <c r="AS1647" i="2"/>
  <c r="AR1647" i="2"/>
  <c r="AT1647" i="2"/>
  <c r="AU1647" i="2"/>
  <c r="AQ1648" i="2"/>
  <c r="AS1648" i="2" l="1"/>
  <c r="AQ1649" i="2"/>
  <c r="AV1648" i="2"/>
  <c r="AT1648" i="2"/>
  <c r="AR1648" i="2"/>
  <c r="AU1648" i="2"/>
  <c r="AU1649" i="2" l="1"/>
  <c r="AS1649" i="2"/>
  <c r="AR1649" i="2"/>
  <c r="AQ1650" i="2"/>
  <c r="AV1649" i="2"/>
  <c r="AT1649" i="2"/>
  <c r="AS1650" i="2" l="1"/>
  <c r="AT1650" i="2"/>
  <c r="AU1650" i="2"/>
  <c r="AV1650" i="2"/>
  <c r="AQ1651" i="2"/>
  <c r="AR1650" i="2"/>
  <c r="AT1651" i="2" l="1"/>
  <c r="AS1651" i="2"/>
  <c r="AU1651" i="2"/>
  <c r="AV1651" i="2"/>
  <c r="AQ1652" i="2"/>
  <c r="AR1651" i="2"/>
  <c r="AS1652" i="2" l="1"/>
  <c r="AV1652" i="2"/>
  <c r="AT1652" i="2"/>
  <c r="AR1652" i="2"/>
  <c r="AU1652" i="2"/>
  <c r="AQ1653" i="2"/>
  <c r="AV1653" i="2" l="1"/>
  <c r="AT1653" i="2"/>
  <c r="AQ1654" i="2"/>
  <c r="AR1653" i="2"/>
  <c r="AU1653" i="2"/>
  <c r="AS1653" i="2"/>
  <c r="AV1654" i="2" l="1"/>
  <c r="AQ1655" i="2"/>
  <c r="AR1654" i="2"/>
  <c r="AT1654" i="2"/>
  <c r="AU1654" i="2"/>
  <c r="AS1654" i="2"/>
  <c r="AV1655" i="2" l="1"/>
  <c r="AR1655" i="2"/>
  <c r="AT1655" i="2"/>
  <c r="AU1655" i="2"/>
  <c r="AS1655" i="2"/>
  <c r="AQ1656" i="2"/>
  <c r="AV1656" i="2" l="1"/>
  <c r="AQ1657" i="2"/>
  <c r="AU1656" i="2"/>
  <c r="AR1656" i="2"/>
  <c r="AS1656" i="2"/>
  <c r="AT1656" i="2"/>
  <c r="AV1657" i="2" l="1"/>
  <c r="AU1657" i="2"/>
  <c r="AR1657" i="2"/>
  <c r="AT1657" i="2"/>
  <c r="AS1657" i="2"/>
  <c r="AQ1658" i="2"/>
  <c r="AS1658" i="2" l="1"/>
  <c r="AV1658" i="2"/>
  <c r="AQ1659" i="2"/>
  <c r="AR1658" i="2"/>
  <c r="AT1658" i="2"/>
  <c r="AU1658" i="2"/>
  <c r="AU1659" i="2" l="1"/>
  <c r="AR1659" i="2"/>
  <c r="AQ1660" i="2"/>
  <c r="AS1659" i="2"/>
  <c r="AT1659" i="2"/>
  <c r="AV1659" i="2"/>
  <c r="AQ1661" i="2" l="1"/>
  <c r="AR1660" i="2"/>
  <c r="AS1660" i="2"/>
  <c r="AV1660" i="2"/>
  <c r="AU1660" i="2"/>
  <c r="AT1660" i="2"/>
  <c r="AR1661" i="2" l="1"/>
  <c r="AT1661" i="2"/>
  <c r="AQ1662" i="2"/>
  <c r="AS1661" i="2"/>
  <c r="AV1661" i="2"/>
  <c r="AU1661" i="2"/>
  <c r="AR1662" i="2" l="1"/>
  <c r="AS1662" i="2"/>
  <c r="AQ1663" i="2"/>
  <c r="AT1662" i="2"/>
  <c r="AU1662" i="2"/>
  <c r="AV1662" i="2"/>
  <c r="AS1663" i="2" l="1"/>
  <c r="AU1663" i="2"/>
  <c r="AV1663" i="2"/>
  <c r="AT1663" i="2"/>
  <c r="AR1663" i="2"/>
  <c r="AQ1664" i="2"/>
  <c r="AV1664" i="2" l="1"/>
  <c r="AU1664" i="2"/>
  <c r="AS1664" i="2"/>
  <c r="AR1664" i="2"/>
  <c r="AQ1665" i="2"/>
  <c r="AT1664" i="2"/>
  <c r="AR1665" i="2" l="1"/>
  <c r="AV1665" i="2"/>
  <c r="AU1665" i="2"/>
  <c r="AQ1666" i="2"/>
  <c r="AS1665" i="2"/>
  <c r="AT1665" i="2"/>
  <c r="AV1666" i="2" l="1"/>
  <c r="AT1666" i="2"/>
  <c r="AS1666" i="2"/>
  <c r="AU1666" i="2"/>
  <c r="AR1666" i="2"/>
  <c r="AQ1667" i="2"/>
  <c r="AS1667" i="2" l="1"/>
  <c r="AR1667" i="2"/>
  <c r="AU1667" i="2"/>
  <c r="AV1667" i="2"/>
  <c r="AT1667" i="2"/>
  <c r="AQ1668" i="2"/>
  <c r="AV1668" i="2" l="1"/>
  <c r="AT1668" i="2"/>
  <c r="AS1668" i="2"/>
  <c r="AU1668" i="2"/>
  <c r="AR1668" i="2"/>
  <c r="AQ1669" i="2"/>
  <c r="AR1669" i="2" l="1"/>
  <c r="AU1669" i="2"/>
  <c r="AT1669" i="2"/>
  <c r="AV1669" i="2"/>
  <c r="AS1669" i="2"/>
  <c r="AQ1670" i="2"/>
  <c r="AV1670" i="2" l="1"/>
  <c r="AU1670" i="2"/>
  <c r="AR1670" i="2"/>
  <c r="AQ1671" i="2"/>
  <c r="AT1670" i="2"/>
  <c r="AS1670" i="2"/>
  <c r="AR1671" i="2" l="1"/>
  <c r="AQ1672" i="2"/>
  <c r="AV1671" i="2"/>
  <c r="AT1671" i="2"/>
  <c r="AU1671" i="2"/>
  <c r="AS1671" i="2"/>
  <c r="AR1672" i="2" l="1"/>
  <c r="AT1672" i="2"/>
  <c r="AS1672" i="2"/>
  <c r="AQ1673" i="2"/>
  <c r="AV1672" i="2"/>
  <c r="AU1672" i="2"/>
  <c r="AS1673" i="2" l="1"/>
  <c r="AU1673" i="2"/>
  <c r="AQ1674" i="2"/>
  <c r="AT1673" i="2"/>
  <c r="AV1673" i="2"/>
  <c r="AR1673" i="2"/>
  <c r="AR1674" i="2" l="1"/>
  <c r="AT1674" i="2"/>
  <c r="AQ1675" i="2"/>
  <c r="AU1674" i="2"/>
  <c r="AS1674" i="2"/>
  <c r="AV1674" i="2"/>
  <c r="AU1675" i="2" l="1"/>
  <c r="AS1675" i="2"/>
  <c r="AR1675" i="2"/>
  <c r="AQ1676" i="2"/>
  <c r="AV1675" i="2"/>
  <c r="AT1675" i="2"/>
  <c r="AR1676" i="2" l="1"/>
  <c r="AS1676" i="2"/>
  <c r="AT1676" i="2"/>
  <c r="AV1676" i="2"/>
  <c r="AU1676" i="2"/>
  <c r="AQ1677" i="2"/>
  <c r="AR1677" i="2" l="1"/>
  <c r="AV1677" i="2"/>
  <c r="AU1677" i="2"/>
  <c r="AS1677" i="2"/>
  <c r="AQ1678" i="2"/>
  <c r="AT1677" i="2"/>
  <c r="AR1678" i="2" l="1"/>
  <c r="AT1678" i="2"/>
  <c r="AS1678" i="2"/>
  <c r="AQ1679" i="2"/>
  <c r="AV1678" i="2"/>
  <c r="AU1678" i="2"/>
  <c r="AU1679" i="2" l="1"/>
  <c r="AR1679" i="2"/>
  <c r="AS1679" i="2"/>
  <c r="AT1679" i="2"/>
  <c r="AV1679" i="2"/>
  <c r="AQ1680" i="2"/>
  <c r="AS1680" i="2" l="1"/>
  <c r="AU1680" i="2"/>
  <c r="AR1680" i="2"/>
  <c r="AT1680" i="2"/>
  <c r="AQ1681" i="2"/>
  <c r="AV1680" i="2"/>
  <c r="AV1681" i="2" l="1"/>
  <c r="AR1681" i="2"/>
  <c r="AQ1682" i="2"/>
  <c r="AT1681" i="2"/>
  <c r="AU1681" i="2"/>
  <c r="AS1681" i="2"/>
  <c r="AQ1683" i="2" l="1"/>
  <c r="AS1682" i="2"/>
  <c r="AU1682" i="2"/>
  <c r="AT1682" i="2"/>
  <c r="AV1682" i="2"/>
  <c r="AR1682" i="2"/>
  <c r="AU1683" i="2" l="1"/>
  <c r="AT1683" i="2"/>
  <c r="AQ1684" i="2"/>
  <c r="AS1683" i="2"/>
  <c r="AV1683" i="2"/>
  <c r="AR1683" i="2"/>
  <c r="AS1684" i="2" l="1"/>
  <c r="AU1684" i="2"/>
  <c r="AQ1685" i="2"/>
  <c r="AR1684" i="2"/>
  <c r="AT1684" i="2"/>
  <c r="AV1684" i="2"/>
  <c r="AS1685" i="2" l="1"/>
  <c r="AT1685" i="2"/>
  <c r="AQ1686" i="2"/>
  <c r="AV1685" i="2"/>
  <c r="AR1685" i="2"/>
  <c r="AU1685" i="2"/>
  <c r="AT1686" i="2" l="1"/>
  <c r="AQ1687" i="2"/>
  <c r="AV1686" i="2"/>
  <c r="AR1686" i="2"/>
  <c r="AU1686" i="2"/>
  <c r="AS1686" i="2"/>
  <c r="AS1687" i="2" l="1"/>
  <c r="AT1687" i="2"/>
  <c r="AR1687" i="2"/>
  <c r="AU1687" i="2"/>
  <c r="AV1687" i="2"/>
  <c r="AQ1688" i="2"/>
  <c r="AV1688" i="2" l="1"/>
  <c r="AS1688" i="2"/>
  <c r="AQ1689" i="2"/>
  <c r="AR1688" i="2"/>
  <c r="AT1688" i="2"/>
  <c r="AU1688" i="2"/>
  <c r="AU1689" i="2" l="1"/>
  <c r="AS1689" i="2"/>
  <c r="AT1689" i="2"/>
  <c r="AV1689" i="2"/>
  <c r="AR1689" i="2"/>
  <c r="AQ1690" i="2"/>
  <c r="AT1690" i="2" l="1"/>
  <c r="AR1690" i="2"/>
  <c r="AS1690" i="2"/>
  <c r="AU1690" i="2"/>
  <c r="AQ1691" i="2"/>
  <c r="AV1690" i="2"/>
  <c r="AQ1692" i="2" l="1"/>
  <c r="AR1691" i="2"/>
  <c r="AT1691" i="2"/>
  <c r="AS1691" i="2"/>
  <c r="AV1691" i="2"/>
  <c r="AU1691" i="2"/>
  <c r="AR1692" i="2" l="1"/>
  <c r="AV1692" i="2"/>
  <c r="AT1692" i="2"/>
  <c r="AQ1693" i="2"/>
  <c r="AU1692" i="2"/>
  <c r="AS1692" i="2"/>
  <c r="AR1693" i="2" l="1"/>
  <c r="AQ1694" i="2"/>
  <c r="AV1693" i="2"/>
  <c r="AU1693" i="2"/>
  <c r="AT1693" i="2"/>
  <c r="AS1693" i="2"/>
  <c r="AR1694" i="2" l="1"/>
  <c r="AS1694" i="2"/>
  <c r="AQ1695" i="2"/>
  <c r="AT1694" i="2"/>
  <c r="AV1694" i="2"/>
  <c r="AU1694" i="2"/>
  <c r="AV1695" i="2" l="1"/>
  <c r="AR1695" i="2"/>
  <c r="AQ1696" i="2"/>
  <c r="AU1695" i="2"/>
  <c r="AT1695" i="2"/>
  <c r="AS1695" i="2"/>
  <c r="AV1696" i="2" l="1"/>
  <c r="AQ1697" i="2"/>
  <c r="AS1696" i="2"/>
  <c r="AT1696" i="2"/>
  <c r="AU1696" i="2"/>
  <c r="AR1696" i="2"/>
  <c r="AS1697" i="2" l="1"/>
  <c r="AR1697" i="2"/>
  <c r="AU1697" i="2"/>
  <c r="AQ1698" i="2"/>
  <c r="AT1697" i="2"/>
  <c r="AV1697" i="2"/>
  <c r="AV1698" i="2" l="1"/>
  <c r="AU1698" i="2"/>
  <c r="AQ1699" i="2"/>
  <c r="AR1698" i="2"/>
  <c r="AS1698" i="2"/>
  <c r="AT1698" i="2"/>
  <c r="AT1699" i="2" l="1"/>
  <c r="AQ1700" i="2"/>
  <c r="AU1699" i="2"/>
  <c r="AV1699" i="2"/>
  <c r="AR1699" i="2"/>
  <c r="AS1699" i="2"/>
  <c r="AV1700" i="2" l="1"/>
  <c r="AS1700" i="2"/>
  <c r="AQ1701" i="2"/>
  <c r="AT1700" i="2"/>
  <c r="AR1700" i="2"/>
  <c r="AU1700" i="2"/>
  <c r="AS1701" i="2" l="1"/>
  <c r="AR1701" i="2"/>
  <c r="AU1701" i="2"/>
  <c r="AT1701" i="2"/>
  <c r="AV1701" i="2"/>
  <c r="AQ1702" i="2"/>
  <c r="AS1702" i="2" l="1"/>
  <c r="AQ1703" i="2"/>
  <c r="AT1702" i="2"/>
  <c r="AR1702" i="2"/>
  <c r="AU1702" i="2"/>
  <c r="AV1702" i="2"/>
  <c r="AV1703" i="2" l="1"/>
  <c r="AS1703" i="2"/>
  <c r="AQ1704" i="2"/>
  <c r="AR1703" i="2"/>
  <c r="AU1703" i="2"/>
  <c r="AT1703" i="2"/>
  <c r="AR1704" i="2" l="1"/>
  <c r="AT1704" i="2"/>
  <c r="AS1704" i="2"/>
  <c r="AV1704" i="2"/>
  <c r="AU1704" i="2"/>
  <c r="AQ1705" i="2"/>
  <c r="AV1705" i="2" l="1"/>
  <c r="AQ1706" i="2"/>
  <c r="AS1705" i="2"/>
  <c r="AT1705" i="2"/>
  <c r="AR1705" i="2"/>
  <c r="AU1705" i="2"/>
  <c r="AS1706" i="2" l="1"/>
  <c r="AT1706" i="2"/>
  <c r="AR1706" i="2"/>
  <c r="AU1706" i="2"/>
  <c r="AV1706" i="2"/>
  <c r="AQ1707" i="2"/>
  <c r="AR1707" i="2" l="1"/>
  <c r="AU1707" i="2"/>
  <c r="AS1707" i="2"/>
  <c r="AT1707" i="2"/>
  <c r="AV1707" i="2"/>
  <c r="AQ1708" i="2"/>
  <c r="AR1708" i="2" l="1"/>
  <c r="AU1708" i="2"/>
  <c r="AV1708" i="2"/>
  <c r="AQ1709" i="2"/>
  <c r="AS1708" i="2"/>
  <c r="AT1708" i="2"/>
  <c r="AR1709" i="2" l="1"/>
  <c r="AU1709" i="2"/>
  <c r="AT1709" i="2"/>
  <c r="AS1709" i="2"/>
  <c r="AQ1710" i="2"/>
  <c r="AV1709" i="2"/>
  <c r="AR1710" i="2" l="1"/>
  <c r="AQ1711" i="2"/>
  <c r="AS1710" i="2"/>
  <c r="AU1710" i="2"/>
  <c r="AV1710" i="2"/>
  <c r="AT1710" i="2"/>
  <c r="AU1711" i="2" l="1"/>
  <c r="AS1711" i="2"/>
  <c r="AR1711" i="2"/>
  <c r="AQ1712" i="2"/>
  <c r="AV1711" i="2"/>
  <c r="AT1711" i="2"/>
  <c r="AR1712" i="2" l="1"/>
  <c r="AQ1713" i="2"/>
  <c r="AT1712" i="2"/>
  <c r="AV1712" i="2"/>
  <c r="AU1712" i="2"/>
  <c r="AS1712" i="2"/>
  <c r="AV1713" i="2" l="1"/>
  <c r="AT1713" i="2"/>
  <c r="AQ1714" i="2"/>
  <c r="AS1713" i="2"/>
  <c r="AU1713" i="2"/>
  <c r="AR1713" i="2"/>
  <c r="AR1714" i="2" l="1"/>
  <c r="AS1714" i="2"/>
  <c r="AQ1715" i="2"/>
  <c r="AU1714" i="2"/>
  <c r="AV1714" i="2"/>
  <c r="AT1714" i="2"/>
  <c r="AT1715" i="2" l="1"/>
  <c r="AV1715" i="2"/>
  <c r="AR1715" i="2"/>
  <c r="AQ1716" i="2"/>
  <c r="AS1715" i="2"/>
  <c r="AU1715" i="2"/>
  <c r="AQ1717" i="2" l="1"/>
  <c r="AR1716" i="2"/>
  <c r="AV1716" i="2"/>
  <c r="AT1716" i="2"/>
  <c r="AS1716" i="2"/>
  <c r="AU1716" i="2"/>
  <c r="AU1717" i="2" l="1"/>
  <c r="AS1717" i="2"/>
  <c r="AT1717" i="2"/>
  <c r="AQ1718" i="2"/>
  <c r="AR1717" i="2"/>
  <c r="AV1717" i="2"/>
  <c r="AS1718" i="2" l="1"/>
  <c r="AV1718" i="2"/>
  <c r="AT1718" i="2"/>
  <c r="AQ1719" i="2"/>
  <c r="AU1718" i="2"/>
  <c r="AR1718" i="2"/>
  <c r="AS1719" i="2" l="1"/>
  <c r="AR1719" i="2"/>
  <c r="AT1719" i="2"/>
  <c r="AQ1720" i="2"/>
  <c r="AV1719" i="2"/>
  <c r="AU1719" i="2"/>
  <c r="AQ1721" i="2" l="1"/>
  <c r="AV1720" i="2"/>
  <c r="AS1720" i="2"/>
  <c r="AT1720" i="2"/>
  <c r="AR1720" i="2"/>
  <c r="AU1720" i="2"/>
  <c r="AQ1722" i="2" l="1"/>
  <c r="AT1721" i="2"/>
  <c r="AS1721" i="2"/>
  <c r="AU1721" i="2"/>
  <c r="AR1721" i="2"/>
  <c r="AV1721" i="2"/>
  <c r="AV1722" i="2" l="1"/>
  <c r="AQ1723" i="2"/>
  <c r="AR1722" i="2"/>
  <c r="AU1722" i="2"/>
  <c r="AS1722" i="2"/>
  <c r="AT1722" i="2"/>
  <c r="AV1723" i="2" l="1"/>
  <c r="AS1723" i="2"/>
  <c r="AU1723" i="2"/>
  <c r="AT1723" i="2"/>
  <c r="AQ1724" i="2"/>
  <c r="AR1723" i="2"/>
  <c r="AS1724" i="2" l="1"/>
  <c r="AQ1725" i="2"/>
  <c r="AV1724" i="2"/>
  <c r="AR1724" i="2"/>
  <c r="AU1724" i="2"/>
  <c r="AT1724" i="2"/>
  <c r="AT1725" i="2" l="1"/>
  <c r="AS1725" i="2"/>
  <c r="AV1725" i="2"/>
  <c r="AU1725" i="2"/>
  <c r="AQ1726" i="2"/>
  <c r="AR1725" i="2"/>
  <c r="AS1726" i="2" l="1"/>
  <c r="AR1726" i="2"/>
  <c r="AT1726" i="2"/>
  <c r="AU1726" i="2"/>
  <c r="AV1726" i="2"/>
  <c r="AQ1727" i="2"/>
  <c r="AR1727" i="2" l="1"/>
  <c r="AT1727" i="2"/>
  <c r="AU1727" i="2"/>
  <c r="AS1727" i="2"/>
  <c r="AQ1728" i="2"/>
  <c r="AV1727" i="2"/>
  <c r="AV1728" i="2" l="1"/>
  <c r="AR1728" i="2"/>
  <c r="AU1728" i="2"/>
  <c r="AT1728" i="2"/>
  <c r="AQ1729" i="2"/>
  <c r="AS1728" i="2"/>
  <c r="AS1729" i="2" l="1"/>
  <c r="AQ1730" i="2"/>
  <c r="AT1729" i="2"/>
  <c r="AV1729" i="2"/>
  <c r="AU1729" i="2"/>
  <c r="AR1729" i="2"/>
  <c r="AQ1731" i="2" l="1"/>
  <c r="AT1730" i="2"/>
  <c r="AU1730" i="2"/>
  <c r="AR1730" i="2"/>
  <c r="AS1730" i="2"/>
  <c r="AV1730" i="2"/>
  <c r="AV1731" i="2" l="1"/>
  <c r="AQ1732" i="2"/>
  <c r="AR1731" i="2"/>
  <c r="AS1731" i="2"/>
  <c r="AU1731" i="2"/>
  <c r="AT1731" i="2"/>
  <c r="AR1732" i="2" l="1"/>
  <c r="AS1732" i="2"/>
  <c r="AV1732" i="2"/>
  <c r="AT1732" i="2"/>
  <c r="AQ1733" i="2"/>
  <c r="AU1732" i="2"/>
  <c r="AR1733" i="2" l="1"/>
  <c r="AQ1734" i="2"/>
  <c r="AS1733" i="2"/>
  <c r="AT1733" i="2"/>
  <c r="AV1733" i="2"/>
  <c r="AU1733" i="2"/>
  <c r="AV1734" i="2" l="1"/>
  <c r="AU1734" i="2"/>
  <c r="AT1734" i="2"/>
  <c r="AR1734" i="2"/>
  <c r="AQ1735" i="2"/>
  <c r="AS1734" i="2"/>
  <c r="AV1735" i="2" l="1"/>
  <c r="AR1735" i="2"/>
  <c r="AT1735" i="2"/>
  <c r="AU1735" i="2"/>
  <c r="AQ1736" i="2"/>
  <c r="AS1735" i="2"/>
  <c r="AU1736" i="2" l="1"/>
  <c r="AR1736" i="2"/>
  <c r="AQ1737" i="2"/>
  <c r="AV1736" i="2"/>
  <c r="AS1736" i="2"/>
  <c r="AT1736" i="2"/>
  <c r="AT1737" i="2" l="1"/>
  <c r="AU1737" i="2"/>
  <c r="AQ1738" i="2"/>
  <c r="AS1737" i="2"/>
  <c r="AR1737" i="2"/>
  <c r="AV1737" i="2"/>
  <c r="AV1738" i="2" l="1"/>
  <c r="AU1738" i="2"/>
  <c r="AS1738" i="2"/>
  <c r="AR1738" i="2"/>
  <c r="AT1738" i="2"/>
  <c r="AQ1739" i="2"/>
  <c r="AQ1740" i="2" l="1"/>
  <c r="AS1739" i="2"/>
  <c r="AT1739" i="2"/>
  <c r="AR1739" i="2"/>
  <c r="AU1739" i="2"/>
  <c r="AV1739" i="2"/>
  <c r="AR1740" i="2" l="1"/>
  <c r="AU1740" i="2"/>
  <c r="AQ1741" i="2"/>
  <c r="AV1740" i="2"/>
  <c r="AT1740" i="2"/>
  <c r="AS1740" i="2"/>
  <c r="AS1741" i="2" l="1"/>
  <c r="AV1741" i="2"/>
  <c r="AT1741" i="2"/>
  <c r="AU1741" i="2"/>
  <c r="AR1741" i="2"/>
  <c r="AQ1742" i="2"/>
  <c r="AQ1743" i="2" l="1"/>
  <c r="AU1742" i="2"/>
  <c r="AS1742" i="2"/>
  <c r="AT1742" i="2"/>
  <c r="AR1742" i="2"/>
  <c r="AV1742" i="2"/>
  <c r="AU1743" i="2" l="1"/>
  <c r="AT1743" i="2"/>
  <c r="AQ1744" i="2"/>
  <c r="AR1743" i="2"/>
  <c r="AS1743" i="2"/>
  <c r="AV1743" i="2"/>
  <c r="AR1744" i="2" l="1"/>
  <c r="AU1744" i="2"/>
  <c r="AT1744" i="2"/>
  <c r="AV1744" i="2"/>
  <c r="AS1744" i="2"/>
  <c r="AQ1745" i="2"/>
  <c r="AQ1746" i="2" l="1"/>
  <c r="AR1745" i="2"/>
  <c r="AV1745" i="2"/>
  <c r="AT1745" i="2"/>
  <c r="AS1745" i="2"/>
  <c r="AU1745" i="2"/>
  <c r="AT1746" i="2" l="1"/>
  <c r="AQ1747" i="2"/>
  <c r="AR1746" i="2"/>
  <c r="AU1746" i="2"/>
  <c r="AV1746" i="2"/>
  <c r="AS1746" i="2"/>
  <c r="AV1747" i="2" l="1"/>
  <c r="AT1747" i="2"/>
  <c r="AQ1748" i="2"/>
  <c r="AR1747" i="2"/>
  <c r="AU1747" i="2"/>
  <c r="AS1747" i="2"/>
  <c r="AR1748" i="2" l="1"/>
  <c r="AU1748" i="2"/>
  <c r="AQ1749" i="2"/>
  <c r="AS1748" i="2"/>
  <c r="AV1748" i="2"/>
  <c r="AT1748" i="2"/>
  <c r="AS1749" i="2" l="1"/>
  <c r="AR1749" i="2"/>
  <c r="AT1749" i="2"/>
  <c r="AU1749" i="2"/>
  <c r="AV1749" i="2"/>
  <c r="AQ1750" i="2"/>
  <c r="AS1750" i="2" l="1"/>
  <c r="AU1750" i="2"/>
  <c r="AR1750" i="2"/>
  <c r="AV1750" i="2"/>
  <c r="AT1750" i="2"/>
  <c r="AQ1751" i="2"/>
  <c r="AQ1752" i="2" l="1"/>
  <c r="AS1751" i="2"/>
  <c r="AV1751" i="2"/>
  <c r="AR1751" i="2"/>
  <c r="AT1751" i="2"/>
  <c r="AU1751" i="2"/>
  <c r="AU1752" i="2" l="1"/>
  <c r="AT1752" i="2"/>
  <c r="AV1752" i="2"/>
  <c r="AQ1753" i="2"/>
  <c r="AS1752" i="2"/>
  <c r="AR1752" i="2"/>
  <c r="AS1753" i="2" l="1"/>
  <c r="AR1753" i="2"/>
  <c r="AV1753" i="2"/>
  <c r="AU1753" i="2"/>
  <c r="AQ1754" i="2"/>
  <c r="AT1753" i="2"/>
  <c r="AV1754" i="2" l="1"/>
  <c r="AQ1755" i="2"/>
  <c r="AS1754" i="2"/>
  <c r="AT1754" i="2"/>
  <c r="AR1754" i="2"/>
  <c r="AU1754" i="2"/>
  <c r="AT1755" i="2" l="1"/>
  <c r="AU1755" i="2"/>
  <c r="AV1755" i="2"/>
  <c r="AS1755" i="2"/>
  <c r="AQ1756" i="2"/>
  <c r="AR1755" i="2"/>
  <c r="AR1756" i="2" l="1"/>
  <c r="AT1756" i="2"/>
  <c r="AQ1757" i="2"/>
  <c r="AV1756" i="2"/>
  <c r="AU1756" i="2"/>
  <c r="AS1756" i="2"/>
  <c r="AV1757" i="2" l="1"/>
  <c r="AQ1758" i="2"/>
  <c r="AR1757" i="2"/>
  <c r="AT1757" i="2"/>
  <c r="AS1757" i="2"/>
  <c r="AU1757" i="2"/>
  <c r="AU1758" i="2" l="1"/>
  <c r="AV1758" i="2"/>
  <c r="AR1758" i="2"/>
  <c r="AQ1759" i="2"/>
  <c r="AT1758" i="2"/>
  <c r="AS1758" i="2"/>
  <c r="AQ1760" i="2" l="1"/>
  <c r="AU1759" i="2"/>
  <c r="AT1759" i="2"/>
  <c r="AR1759" i="2"/>
  <c r="AV1759" i="2"/>
  <c r="AS1759" i="2"/>
  <c r="AT1760" i="2" l="1"/>
  <c r="AR1760" i="2"/>
  <c r="AV1760" i="2"/>
  <c r="AQ1761" i="2"/>
  <c r="AU1760" i="2"/>
  <c r="AS1760" i="2"/>
  <c r="AS1761" i="2" l="1"/>
  <c r="AV1761" i="2"/>
  <c r="AQ1762" i="2"/>
  <c r="AT1761" i="2"/>
  <c r="AU1761" i="2"/>
  <c r="AR1761" i="2"/>
  <c r="AT1762" i="2" l="1"/>
  <c r="AQ1763" i="2"/>
  <c r="AR1762" i="2"/>
  <c r="AV1762" i="2"/>
  <c r="AU1762" i="2"/>
  <c r="AS1762" i="2"/>
  <c r="AQ1764" i="2" l="1"/>
  <c r="AR1763" i="2"/>
  <c r="AT1763" i="2"/>
  <c r="AV1763" i="2"/>
  <c r="AU1763" i="2"/>
  <c r="AS1763" i="2"/>
  <c r="AV1764" i="2" l="1"/>
  <c r="AU1764" i="2"/>
  <c r="AT1764" i="2"/>
  <c r="AR1764" i="2"/>
  <c r="AQ1765" i="2"/>
  <c r="AS1764" i="2"/>
  <c r="AR1765" i="2" l="1"/>
  <c r="AQ1766" i="2"/>
  <c r="AU1765" i="2"/>
  <c r="AT1765" i="2"/>
  <c r="AS1765" i="2"/>
  <c r="AV1765" i="2"/>
  <c r="AU1766" i="2" l="1"/>
  <c r="AQ1767" i="2"/>
  <c r="AT1766" i="2"/>
  <c r="AR1766" i="2"/>
  <c r="AV1766" i="2"/>
  <c r="AS1766" i="2"/>
  <c r="AV1767" i="2" l="1"/>
  <c r="AU1767" i="2"/>
  <c r="AS1767" i="2"/>
  <c r="AQ1768" i="2"/>
  <c r="AT1767" i="2"/>
  <c r="AR1767" i="2"/>
  <c r="AU1768" i="2" l="1"/>
  <c r="AT1768" i="2"/>
  <c r="AR1768" i="2"/>
  <c r="AV1768" i="2"/>
  <c r="AS1768" i="2"/>
  <c r="AQ1769" i="2"/>
  <c r="AV1769" i="2" l="1"/>
  <c r="AU1769" i="2"/>
  <c r="AR1769" i="2"/>
  <c r="AQ1770" i="2"/>
  <c r="AS1769" i="2"/>
  <c r="AT1769" i="2"/>
  <c r="AS1770" i="2" l="1"/>
  <c r="AT1770" i="2"/>
  <c r="AU1770" i="2"/>
  <c r="AQ1771" i="2"/>
  <c r="AR1770" i="2"/>
  <c r="AV1770" i="2"/>
  <c r="AQ1772" i="2" l="1"/>
  <c r="AU1771" i="2"/>
  <c r="AV1771" i="2"/>
  <c r="AT1771" i="2"/>
  <c r="AS1771" i="2"/>
  <c r="AR1771" i="2"/>
  <c r="AU1772" i="2" l="1"/>
  <c r="AS1772" i="2"/>
  <c r="AQ1773" i="2"/>
  <c r="AR1772" i="2"/>
  <c r="AV1772" i="2"/>
  <c r="AT1772" i="2"/>
  <c r="AR1773" i="2" l="1"/>
  <c r="AQ1774" i="2"/>
  <c r="AU1773" i="2"/>
  <c r="AV1773" i="2"/>
  <c r="AS1773" i="2"/>
  <c r="AT1773" i="2"/>
  <c r="AU1774" i="2" l="1"/>
  <c r="AS1774" i="2"/>
  <c r="AV1774" i="2"/>
  <c r="AQ1775" i="2"/>
  <c r="AR1774" i="2"/>
  <c r="AT1774" i="2"/>
  <c r="AR1775" i="2" l="1"/>
  <c r="AQ1776" i="2"/>
  <c r="AS1775" i="2"/>
  <c r="AU1775" i="2"/>
  <c r="AT1775" i="2"/>
  <c r="AV1775" i="2"/>
  <c r="AS1776" i="2" l="1"/>
  <c r="AT1776" i="2"/>
  <c r="AV1776" i="2"/>
  <c r="AR1776" i="2"/>
  <c r="AQ1777" i="2"/>
  <c r="AU1776" i="2"/>
  <c r="AQ1778" i="2" l="1"/>
  <c r="AT1777" i="2"/>
  <c r="AU1777" i="2"/>
  <c r="AS1777" i="2"/>
  <c r="AV1777" i="2"/>
  <c r="AR1777" i="2"/>
  <c r="AV1778" i="2" l="1"/>
  <c r="AU1778" i="2"/>
  <c r="AQ1779" i="2"/>
  <c r="AS1778" i="2"/>
  <c r="AT1778" i="2"/>
  <c r="AR1778" i="2"/>
  <c r="AQ1780" i="2" l="1"/>
  <c r="AR1779" i="2"/>
  <c r="AV1779" i="2"/>
  <c r="AU1779" i="2"/>
  <c r="AT1779" i="2"/>
  <c r="AS1779" i="2"/>
  <c r="AQ1781" i="2" l="1"/>
  <c r="AU1780" i="2"/>
  <c r="AR1780" i="2"/>
  <c r="AS1780" i="2"/>
  <c r="AT1780" i="2"/>
  <c r="AV1780" i="2"/>
  <c r="AU1781" i="2" l="1"/>
  <c r="AV1781" i="2"/>
  <c r="AQ1782" i="2"/>
  <c r="AT1781" i="2"/>
  <c r="AR1781" i="2"/>
  <c r="AS1781" i="2"/>
  <c r="AT1782" i="2" l="1"/>
  <c r="AR1782" i="2"/>
  <c r="AQ1783" i="2"/>
  <c r="AS1782" i="2"/>
  <c r="AV1782" i="2"/>
  <c r="AU1782" i="2"/>
  <c r="AQ1784" i="2" l="1"/>
  <c r="AR1783" i="2"/>
  <c r="AV1783" i="2"/>
  <c r="AS1783" i="2"/>
  <c r="AT1783" i="2"/>
  <c r="AU1783" i="2"/>
  <c r="AS1784" i="2" l="1"/>
  <c r="AU1784" i="2"/>
  <c r="AT1784" i="2"/>
  <c r="AV1784" i="2"/>
  <c r="AQ1785" i="2"/>
  <c r="AR1784" i="2"/>
  <c r="AR1785" i="2" l="1"/>
  <c r="AT1785" i="2"/>
  <c r="AQ1786" i="2"/>
  <c r="AV1785" i="2"/>
  <c r="AU1785" i="2"/>
  <c r="AS1785" i="2"/>
  <c r="AU1786" i="2" l="1"/>
  <c r="AV1786" i="2"/>
  <c r="AT1786" i="2"/>
  <c r="AR1786" i="2"/>
  <c r="AS1786" i="2"/>
  <c r="AQ1787" i="2"/>
  <c r="AU1787" i="2" l="1"/>
  <c r="AS1787" i="2"/>
  <c r="AR1787" i="2"/>
  <c r="AV1787" i="2"/>
  <c r="AT1787" i="2"/>
  <c r="AQ1788" i="2"/>
  <c r="AQ1789" i="2" l="1"/>
  <c r="AS1788" i="2"/>
  <c r="AV1788" i="2"/>
  <c r="AR1788" i="2"/>
  <c r="AT1788" i="2"/>
  <c r="AU1788" i="2"/>
  <c r="AR1789" i="2" l="1"/>
  <c r="AQ1790" i="2"/>
  <c r="AT1789" i="2"/>
  <c r="AU1789" i="2"/>
  <c r="AS1789" i="2"/>
  <c r="AV1789" i="2"/>
  <c r="AV1790" i="2" l="1"/>
  <c r="AQ1791" i="2"/>
  <c r="AR1790" i="2"/>
  <c r="AT1790" i="2"/>
  <c r="AU1790" i="2"/>
  <c r="AS1790" i="2"/>
  <c r="AT1791" i="2" l="1"/>
  <c r="AV1791" i="2"/>
  <c r="AU1791" i="2"/>
  <c r="AQ1792" i="2"/>
  <c r="AR1791" i="2"/>
  <c r="AS1791" i="2"/>
  <c r="AS1792" i="2" l="1"/>
  <c r="AV1792" i="2"/>
  <c r="AU1792" i="2"/>
  <c r="AQ1793" i="2"/>
  <c r="AR1792" i="2"/>
  <c r="AT1792" i="2"/>
  <c r="AS1793" i="2" l="1"/>
  <c r="AU1793" i="2"/>
  <c r="AQ1794" i="2"/>
  <c r="AT1793" i="2"/>
  <c r="AR1793" i="2"/>
  <c r="AV1793" i="2"/>
  <c r="AV1794" i="2" l="1"/>
  <c r="AQ1795" i="2"/>
  <c r="AR1794" i="2"/>
  <c r="AS1794" i="2"/>
  <c r="AU1794" i="2"/>
  <c r="AT1794" i="2"/>
  <c r="AR1795" i="2" l="1"/>
  <c r="AQ1796" i="2"/>
  <c r="AU1795" i="2"/>
  <c r="AT1795" i="2"/>
  <c r="AV1795" i="2"/>
  <c r="AS1795" i="2"/>
  <c r="AQ1797" i="2" l="1"/>
  <c r="AR1796" i="2"/>
  <c r="AV1796" i="2"/>
  <c r="AS1796" i="2"/>
  <c r="AT1796" i="2"/>
  <c r="AU1796" i="2"/>
  <c r="AQ1798" i="2" l="1"/>
  <c r="AV1797" i="2"/>
  <c r="AR1797" i="2"/>
  <c r="AT1797" i="2"/>
  <c r="AS1797" i="2"/>
  <c r="AU1797" i="2"/>
  <c r="AT1798" i="2" l="1"/>
  <c r="AU1798" i="2"/>
  <c r="AQ1799" i="2"/>
  <c r="AS1798" i="2"/>
  <c r="AV1798" i="2"/>
  <c r="AR1798" i="2"/>
  <c r="AU1799" i="2" l="1"/>
  <c r="AQ1800" i="2"/>
  <c r="AV1799" i="2"/>
  <c r="AT1799" i="2"/>
  <c r="AS1799" i="2"/>
  <c r="AR1799" i="2"/>
  <c r="AS1800" i="2" l="1"/>
  <c r="AT1800" i="2"/>
  <c r="AU1800" i="2"/>
  <c r="AQ1801" i="2"/>
  <c r="AV1800" i="2"/>
  <c r="AR1800" i="2"/>
  <c r="AV1801" i="2" l="1"/>
  <c r="AQ1802" i="2"/>
  <c r="AR1801" i="2"/>
  <c r="AU1801" i="2"/>
  <c r="AS1801" i="2"/>
  <c r="AT1801" i="2"/>
  <c r="AR1802" i="2" l="1"/>
  <c r="AV1802" i="2"/>
  <c r="AQ1803" i="2"/>
  <c r="AS1802" i="2"/>
  <c r="AU1802" i="2"/>
  <c r="AT1802" i="2"/>
  <c r="AU1803" i="2" l="1"/>
  <c r="AQ1804" i="2"/>
  <c r="AR1803" i="2"/>
  <c r="AV1803" i="2"/>
  <c r="AT1803" i="2"/>
  <c r="AS1803" i="2"/>
  <c r="AV1804" i="2" l="1"/>
  <c r="AT1804" i="2"/>
  <c r="AR1804" i="2"/>
  <c r="AS1804" i="2"/>
  <c r="AU1804" i="2"/>
  <c r="AQ1805" i="2"/>
  <c r="AU1805" i="2" l="1"/>
  <c r="AT1805" i="2"/>
  <c r="AR1805" i="2"/>
  <c r="AS1805" i="2"/>
  <c r="AV1805" i="2"/>
  <c r="AQ1806" i="2"/>
  <c r="AU1806" i="2" l="1"/>
  <c r="AQ1807" i="2"/>
  <c r="AV1806" i="2"/>
  <c r="AR1806" i="2"/>
  <c r="AT1806" i="2"/>
  <c r="AS1806" i="2"/>
  <c r="AV1807" i="2" l="1"/>
  <c r="AR1807" i="2"/>
  <c r="AQ1808" i="2"/>
  <c r="AU1807" i="2"/>
  <c r="AS1807" i="2"/>
  <c r="AT1807" i="2"/>
  <c r="AV1808" i="2" l="1"/>
  <c r="AQ1809" i="2"/>
  <c r="AT1808" i="2"/>
  <c r="AS1808" i="2"/>
  <c r="AR1808" i="2"/>
  <c r="AU1808" i="2"/>
  <c r="AR1809" i="2" l="1"/>
  <c r="AV1809" i="2"/>
  <c r="AU1809" i="2"/>
  <c r="AQ1810" i="2"/>
  <c r="AT1809" i="2"/>
  <c r="AS1809" i="2"/>
  <c r="AU1810" i="2" l="1"/>
  <c r="AT1810" i="2"/>
  <c r="AQ1811" i="2"/>
  <c r="AS1810" i="2"/>
  <c r="AR1810" i="2"/>
  <c r="AV1810" i="2"/>
  <c r="AR1811" i="2" l="1"/>
  <c r="AQ1812" i="2"/>
  <c r="AS1811" i="2"/>
  <c r="AT1811" i="2"/>
  <c r="AV1811" i="2"/>
  <c r="AU1811" i="2"/>
  <c r="AR1812" i="2" l="1"/>
  <c r="AQ1813" i="2"/>
  <c r="AT1812" i="2"/>
  <c r="AU1812" i="2"/>
  <c r="AV1812" i="2"/>
  <c r="AS1812" i="2"/>
  <c r="AT1813" i="2" l="1"/>
  <c r="AU1813" i="2"/>
  <c r="AR1813" i="2"/>
  <c r="AV1813" i="2"/>
  <c r="AS1813" i="2"/>
  <c r="AQ1814" i="2"/>
  <c r="AS1814" i="2" l="1"/>
  <c r="AR1814" i="2"/>
  <c r="AV1814" i="2"/>
  <c r="AT1814" i="2"/>
  <c r="AQ1815" i="2"/>
  <c r="AU1814" i="2"/>
  <c r="AR1815" i="2" l="1"/>
  <c r="AV1815" i="2"/>
  <c r="AS1815" i="2"/>
  <c r="AU1815" i="2"/>
  <c r="AT1815" i="2"/>
  <c r="AQ1816" i="2"/>
  <c r="AS1816" i="2" l="1"/>
  <c r="AV1816" i="2"/>
  <c r="AT1816" i="2"/>
  <c r="AR1816" i="2"/>
  <c r="AQ1817" i="2"/>
  <c r="AU1816" i="2"/>
  <c r="AV1817" i="2" l="1"/>
  <c r="AS1817" i="2"/>
  <c r="AR1817" i="2"/>
  <c r="AU1817" i="2"/>
  <c r="AT1817" i="2"/>
  <c r="AQ1818" i="2"/>
  <c r="AV1818" i="2" l="1"/>
  <c r="AU1818" i="2"/>
  <c r="AR1818" i="2"/>
  <c r="AQ1819" i="2"/>
  <c r="AT1818" i="2"/>
  <c r="AS1818" i="2"/>
  <c r="AQ1820" i="2" l="1"/>
  <c r="AU1819" i="2"/>
  <c r="AS1819" i="2"/>
  <c r="AV1819" i="2"/>
  <c r="AR1819" i="2"/>
  <c r="AT1819" i="2"/>
  <c r="AS1820" i="2" l="1"/>
  <c r="AQ1821" i="2"/>
  <c r="AR1820" i="2"/>
  <c r="AU1820" i="2"/>
  <c r="AV1820" i="2"/>
  <c r="AT1820" i="2"/>
  <c r="AV1821" i="2" l="1"/>
  <c r="AQ1822" i="2"/>
  <c r="AS1821" i="2"/>
  <c r="AR1821" i="2"/>
  <c r="AU1821" i="2"/>
  <c r="AT1821" i="2"/>
  <c r="AQ1823" i="2" l="1"/>
  <c r="AT1822" i="2"/>
  <c r="AV1822" i="2"/>
  <c r="AR1822" i="2"/>
  <c r="AS1822" i="2"/>
  <c r="AU1822" i="2"/>
  <c r="AT1823" i="2" l="1"/>
  <c r="AR1823" i="2"/>
  <c r="AV1823" i="2"/>
  <c r="AS1823" i="2"/>
  <c r="AQ1824" i="2"/>
  <c r="AU1823" i="2"/>
  <c r="AU1824" i="2" l="1"/>
  <c r="AT1824" i="2"/>
  <c r="AR1824" i="2"/>
  <c r="AQ1825" i="2"/>
  <c r="AV1824" i="2"/>
  <c r="AS1824" i="2"/>
  <c r="AU1825" i="2" l="1"/>
  <c r="AQ1826" i="2"/>
  <c r="AV1825" i="2"/>
  <c r="AR1825" i="2"/>
  <c r="AS1825" i="2"/>
  <c r="AT1825" i="2"/>
  <c r="AV1826" i="2" l="1"/>
  <c r="AS1826" i="2"/>
  <c r="AQ1827" i="2"/>
  <c r="AU1826" i="2"/>
  <c r="AR1826" i="2"/>
  <c r="AT1826" i="2"/>
  <c r="AT1827" i="2" l="1"/>
  <c r="AU1827" i="2"/>
  <c r="AS1827" i="2"/>
  <c r="AQ1828" i="2"/>
  <c r="AV1827" i="2"/>
  <c r="AR1827" i="2"/>
  <c r="AT1828" i="2" l="1"/>
  <c r="AS1828" i="2"/>
  <c r="AR1828" i="2"/>
  <c r="AU1828" i="2"/>
  <c r="AQ1829" i="2"/>
  <c r="AV1828" i="2"/>
  <c r="AT1829" i="2" l="1"/>
  <c r="AU1829" i="2"/>
  <c r="AS1829" i="2"/>
  <c r="AQ1830" i="2"/>
  <c r="AV1829" i="2"/>
  <c r="AR1829" i="2"/>
  <c r="AS1830" i="2" l="1"/>
  <c r="AQ1831" i="2"/>
  <c r="AU1830" i="2"/>
  <c r="AV1830" i="2"/>
  <c r="AR1830" i="2"/>
  <c r="AT1830" i="2"/>
  <c r="AQ1832" i="2" l="1"/>
  <c r="AR1831" i="2"/>
  <c r="AU1831" i="2"/>
  <c r="AS1831" i="2"/>
  <c r="AT1831" i="2"/>
  <c r="AV1831" i="2"/>
  <c r="AQ1833" i="2" l="1"/>
  <c r="AS1832" i="2"/>
  <c r="AT1832" i="2"/>
  <c r="AV1832" i="2"/>
  <c r="AR1832" i="2"/>
  <c r="AU1832" i="2"/>
  <c r="AV1833" i="2" l="1"/>
  <c r="AR1833" i="2"/>
  <c r="AQ1834" i="2"/>
  <c r="AU1833" i="2"/>
  <c r="AS1833" i="2"/>
  <c r="AT1833" i="2"/>
  <c r="AT1834" i="2" l="1"/>
  <c r="AR1834" i="2"/>
  <c r="AV1834" i="2"/>
  <c r="AU1834" i="2"/>
  <c r="AQ1835" i="2"/>
  <c r="AS1834" i="2"/>
  <c r="AS1835" i="2" l="1"/>
  <c r="AR1835" i="2"/>
  <c r="AV1835" i="2"/>
  <c r="AT1835" i="2"/>
  <c r="AQ1836" i="2"/>
  <c r="AU1835" i="2"/>
  <c r="AU1836" i="2" l="1"/>
  <c r="AS1836" i="2"/>
  <c r="AQ1837" i="2"/>
  <c r="AV1836" i="2"/>
  <c r="AR1836" i="2"/>
  <c r="AT1836" i="2"/>
  <c r="AQ1838" i="2" l="1"/>
  <c r="AS1837" i="2"/>
  <c r="AV1837" i="2"/>
  <c r="AR1837" i="2"/>
  <c r="AU1837" i="2"/>
  <c r="AT1837" i="2"/>
  <c r="AR1838" i="2" l="1"/>
  <c r="AT1838" i="2"/>
  <c r="AV1838" i="2"/>
  <c r="AS1838" i="2"/>
  <c r="AQ1839" i="2"/>
  <c r="AU1838" i="2"/>
  <c r="AS1839" i="2" l="1"/>
  <c r="AV1839" i="2"/>
  <c r="AQ1840" i="2"/>
  <c r="AR1839" i="2"/>
  <c r="AU1839" i="2"/>
  <c r="AT1839" i="2"/>
  <c r="AU1840" i="2" l="1"/>
  <c r="AQ1841" i="2"/>
  <c r="AV1840" i="2"/>
  <c r="AR1840" i="2"/>
  <c r="AT1840" i="2"/>
  <c r="AS1840" i="2"/>
  <c r="AV1841" i="2" l="1"/>
  <c r="AU1841" i="2"/>
  <c r="AR1841" i="2"/>
  <c r="AT1841" i="2"/>
  <c r="AQ1842" i="2"/>
  <c r="AS1841" i="2"/>
  <c r="AV1842" i="2" l="1"/>
  <c r="AT1842" i="2"/>
  <c r="AR1842" i="2"/>
  <c r="AQ1843" i="2"/>
  <c r="AS1842" i="2"/>
  <c r="AU1842" i="2"/>
  <c r="AS1843" i="2" l="1"/>
  <c r="AR1843" i="2"/>
  <c r="AT1843" i="2"/>
  <c r="AU1843" i="2"/>
  <c r="AQ1844" i="2"/>
  <c r="AV1843" i="2"/>
  <c r="AV1844" i="2" l="1"/>
  <c r="AT1844" i="2"/>
  <c r="AU1844" i="2"/>
  <c r="AQ1845" i="2"/>
  <c r="AR1844" i="2"/>
  <c r="AS1844" i="2"/>
  <c r="AR1845" i="2" l="1"/>
  <c r="AV1845" i="2"/>
  <c r="AQ1846" i="2"/>
  <c r="AT1845" i="2"/>
  <c r="AS1845" i="2"/>
  <c r="AU1845" i="2"/>
  <c r="AS1846" i="2" l="1"/>
  <c r="AQ1847" i="2"/>
  <c r="AU1846" i="2"/>
  <c r="AT1846" i="2"/>
  <c r="AV1846" i="2"/>
  <c r="AR1846" i="2"/>
  <c r="AT1847" i="2" l="1"/>
  <c r="AQ1848" i="2"/>
  <c r="AS1847" i="2"/>
  <c r="AR1847" i="2"/>
  <c r="AV1847" i="2"/>
  <c r="AU1847" i="2"/>
  <c r="AV1848" i="2" l="1"/>
  <c r="AT1848" i="2"/>
  <c r="AQ1849" i="2"/>
  <c r="AU1848" i="2"/>
  <c r="AR1848" i="2"/>
  <c r="AS1848" i="2"/>
  <c r="AU1849" i="2" l="1"/>
  <c r="AV1849" i="2"/>
  <c r="AT1849" i="2"/>
  <c r="AS1849" i="2"/>
  <c r="AR1849" i="2"/>
  <c r="AQ1850" i="2"/>
  <c r="AR1850" i="2" l="1"/>
  <c r="AS1850" i="2"/>
  <c r="AQ1851" i="2"/>
  <c r="AV1850" i="2"/>
  <c r="AT1850" i="2"/>
  <c r="AU1850" i="2"/>
  <c r="AT1851" i="2" l="1"/>
  <c r="AS1851" i="2"/>
  <c r="AU1851" i="2"/>
  <c r="AV1851" i="2"/>
  <c r="AR1851" i="2"/>
  <c r="AQ1852" i="2"/>
  <c r="AS1852" i="2" l="1"/>
  <c r="AT1852" i="2"/>
  <c r="AQ1853" i="2"/>
  <c r="AU1852" i="2"/>
  <c r="AV1852" i="2"/>
  <c r="AR1852" i="2"/>
  <c r="AT1853" i="2" l="1"/>
  <c r="AQ1854" i="2"/>
  <c r="AV1853" i="2"/>
  <c r="AS1853" i="2"/>
  <c r="AU1853" i="2"/>
  <c r="AR1853" i="2"/>
  <c r="AV1854" i="2" l="1"/>
  <c r="AQ1855" i="2"/>
  <c r="AS1854" i="2"/>
  <c r="AR1854" i="2"/>
  <c r="AT1854" i="2"/>
  <c r="AU1854" i="2"/>
  <c r="AU1855" i="2" l="1"/>
  <c r="AT1855" i="2"/>
  <c r="AS1855" i="2"/>
  <c r="AV1855" i="2"/>
  <c r="AR1855" i="2"/>
  <c r="AQ1856" i="2"/>
  <c r="AT1856" i="2" l="1"/>
  <c r="AV1856" i="2"/>
  <c r="AS1856" i="2"/>
  <c r="AQ1857" i="2"/>
  <c r="AR1856" i="2"/>
  <c r="AU1856" i="2"/>
  <c r="AT1857" i="2" l="1"/>
  <c r="AR1857" i="2"/>
  <c r="AV1857" i="2"/>
  <c r="AQ1858" i="2"/>
  <c r="AU1857" i="2"/>
  <c r="AS1857" i="2"/>
  <c r="AV1858" i="2" l="1"/>
  <c r="AQ1859" i="2"/>
  <c r="AS1858" i="2"/>
  <c r="AR1858" i="2"/>
  <c r="AT1858" i="2"/>
  <c r="AU1858" i="2"/>
  <c r="AQ1860" i="2" l="1"/>
  <c r="AU1859" i="2"/>
  <c r="AR1859" i="2"/>
  <c r="AV1859" i="2"/>
  <c r="AS1859" i="2"/>
  <c r="AT1859" i="2"/>
  <c r="AV1860" i="2" l="1"/>
  <c r="AT1860" i="2"/>
  <c r="AQ1861" i="2"/>
  <c r="AS1860" i="2"/>
  <c r="AU1860" i="2"/>
  <c r="AR1860" i="2"/>
  <c r="AS1861" i="2" l="1"/>
  <c r="AU1861" i="2"/>
  <c r="AR1861" i="2"/>
  <c r="AT1861" i="2"/>
  <c r="AV1861" i="2"/>
  <c r="AQ1862" i="2"/>
  <c r="AQ1863" i="2" l="1"/>
  <c r="AT1862" i="2"/>
  <c r="AU1862" i="2"/>
  <c r="AS1862" i="2"/>
  <c r="AV1862" i="2"/>
  <c r="AR1862" i="2"/>
  <c r="AQ1864" i="2" l="1"/>
  <c r="AU1863" i="2"/>
  <c r="AV1863" i="2"/>
  <c r="AS1863" i="2"/>
  <c r="AT1863" i="2"/>
  <c r="AR1863" i="2"/>
  <c r="AT1864" i="2" l="1"/>
  <c r="AV1864" i="2"/>
  <c r="AS1864" i="2"/>
  <c r="AR1864" i="2"/>
  <c r="AU1864" i="2"/>
  <c r="AQ1865" i="2"/>
  <c r="AS1865" i="2" l="1"/>
  <c r="AV1865" i="2"/>
  <c r="AT1865" i="2"/>
  <c r="AQ1866" i="2"/>
  <c r="AR1865" i="2"/>
  <c r="AU1865" i="2"/>
  <c r="AT1866" i="2" l="1"/>
  <c r="AV1866" i="2"/>
  <c r="AR1866" i="2"/>
  <c r="AQ1867" i="2"/>
  <c r="AS1866" i="2"/>
  <c r="AU1866" i="2"/>
  <c r="AU1867" i="2" l="1"/>
  <c r="AQ1868" i="2"/>
  <c r="AS1867" i="2"/>
  <c r="AT1867" i="2"/>
  <c r="AV1867" i="2"/>
  <c r="AR1867" i="2"/>
  <c r="AT1868" i="2" l="1"/>
  <c r="AR1868" i="2"/>
  <c r="AV1868" i="2"/>
  <c r="AU1868" i="2"/>
  <c r="AQ1869" i="2"/>
  <c r="AS1868" i="2"/>
  <c r="AV1869" i="2" l="1"/>
  <c r="AS1869" i="2"/>
  <c r="AU1869" i="2"/>
  <c r="AR1869" i="2"/>
  <c r="AT1869" i="2"/>
  <c r="AQ1870" i="2"/>
  <c r="AQ1871" i="2" l="1"/>
  <c r="AT1870" i="2"/>
  <c r="AU1870" i="2"/>
  <c r="AR1870" i="2"/>
  <c r="AS1870" i="2"/>
  <c r="AV1870" i="2"/>
  <c r="AV1871" i="2" l="1"/>
  <c r="AS1871" i="2"/>
  <c r="AT1871" i="2"/>
  <c r="AR1871" i="2"/>
  <c r="AQ1872" i="2"/>
  <c r="AU1871" i="2"/>
  <c r="AV1872" i="2" l="1"/>
  <c r="AQ1873" i="2"/>
  <c r="AS1872" i="2"/>
  <c r="AR1872" i="2"/>
  <c r="AT1872" i="2"/>
  <c r="AU1872" i="2"/>
  <c r="AR1873" i="2" l="1"/>
  <c r="AQ1874" i="2"/>
  <c r="AU1873" i="2"/>
  <c r="AV1873" i="2"/>
  <c r="AT1873" i="2"/>
  <c r="AS1873" i="2"/>
  <c r="AQ1875" i="2" l="1"/>
  <c r="AV1874" i="2"/>
  <c r="AU1874" i="2"/>
  <c r="AR1874" i="2"/>
  <c r="AS1874" i="2"/>
  <c r="AT1874" i="2"/>
  <c r="AV1875" i="2" l="1"/>
  <c r="AS1875" i="2"/>
  <c r="AR1875" i="2"/>
  <c r="AT1875" i="2"/>
  <c r="AU1875" i="2"/>
  <c r="AQ1876" i="2"/>
  <c r="AV1876" i="2" l="1"/>
  <c r="AT1876" i="2"/>
  <c r="AU1876" i="2"/>
  <c r="AQ1877" i="2"/>
  <c r="AS1876" i="2"/>
  <c r="AR1876" i="2"/>
  <c r="AR1877" i="2" l="1"/>
  <c r="AV1877" i="2"/>
  <c r="AT1877" i="2"/>
  <c r="AU1877" i="2"/>
  <c r="AQ1878" i="2"/>
  <c r="AS1877" i="2"/>
  <c r="AU1878" i="2" l="1"/>
  <c r="AT1878" i="2"/>
  <c r="AR1878" i="2"/>
  <c r="AS1878" i="2"/>
  <c r="AV1878" i="2"/>
  <c r="AQ1879" i="2"/>
  <c r="AU1879" i="2" l="1"/>
  <c r="AR1879" i="2"/>
  <c r="AQ1880" i="2"/>
  <c r="AS1879" i="2"/>
  <c r="AT1879" i="2"/>
  <c r="AV1879" i="2"/>
  <c r="AV1880" i="2" l="1"/>
  <c r="AS1880" i="2"/>
  <c r="AQ1881" i="2"/>
  <c r="AU1880" i="2"/>
  <c r="AR1880" i="2"/>
  <c r="AT1880" i="2"/>
  <c r="AS1881" i="2" l="1"/>
  <c r="AQ1882" i="2"/>
  <c r="AT1881" i="2"/>
  <c r="AR1881" i="2"/>
  <c r="AU1881" i="2"/>
  <c r="AV1881" i="2"/>
  <c r="AR1882" i="2" l="1"/>
  <c r="AS1882" i="2"/>
  <c r="AT1882" i="2"/>
  <c r="AQ1883" i="2"/>
  <c r="AV1882" i="2"/>
  <c r="AU1882" i="2"/>
  <c r="AS1883" i="2" l="1"/>
  <c r="AV1883" i="2"/>
  <c r="AR1883" i="2"/>
  <c r="AU1883" i="2"/>
  <c r="AQ1884" i="2"/>
  <c r="AT1883" i="2"/>
  <c r="AS1884" i="2" l="1"/>
  <c r="AQ1885" i="2"/>
  <c r="AU1884" i="2"/>
  <c r="AT1884" i="2"/>
  <c r="AR1884" i="2"/>
  <c r="AV1884" i="2"/>
  <c r="AV1885" i="2" l="1"/>
  <c r="AR1885" i="2"/>
  <c r="AS1885" i="2"/>
  <c r="AT1885" i="2"/>
  <c r="AQ1886" i="2"/>
  <c r="AU1885" i="2"/>
  <c r="AU1886" i="2" l="1"/>
  <c r="AS1886" i="2"/>
  <c r="AR1886" i="2"/>
  <c r="AV1886" i="2"/>
  <c r="AQ1887" i="2"/>
  <c r="AT1886" i="2"/>
  <c r="AR1887" i="2" l="1"/>
  <c r="AQ1888" i="2"/>
  <c r="AV1887" i="2"/>
  <c r="AU1887" i="2"/>
  <c r="AT1887" i="2"/>
  <c r="AS1887" i="2"/>
  <c r="AT1888" i="2" l="1"/>
  <c r="AU1888" i="2"/>
  <c r="AR1888" i="2"/>
  <c r="AV1888" i="2"/>
  <c r="AS1888" i="2"/>
  <c r="AQ1889" i="2"/>
  <c r="AV1889" i="2" l="1"/>
  <c r="AT1889" i="2"/>
  <c r="AQ1890" i="2"/>
  <c r="AU1889" i="2"/>
  <c r="AR1889" i="2"/>
  <c r="AS1889" i="2"/>
  <c r="AS1890" i="2" l="1"/>
  <c r="AR1890" i="2"/>
  <c r="AT1890" i="2"/>
  <c r="AU1890" i="2"/>
  <c r="AQ1891" i="2"/>
  <c r="AV1890" i="2"/>
  <c r="AV1891" i="2" l="1"/>
  <c r="AR1891" i="2"/>
  <c r="AQ1892" i="2"/>
  <c r="AU1891" i="2"/>
  <c r="AT1891" i="2"/>
  <c r="AS1891" i="2"/>
  <c r="AV1892" i="2" l="1"/>
  <c r="AU1892" i="2"/>
  <c r="AT1892" i="2"/>
  <c r="AQ1893" i="2"/>
  <c r="AS1892" i="2"/>
  <c r="AR1892" i="2"/>
  <c r="AR1893" i="2" l="1"/>
  <c r="AQ1894" i="2"/>
  <c r="AT1893" i="2"/>
  <c r="AV1893" i="2"/>
  <c r="AU1893" i="2"/>
  <c r="AS1893" i="2"/>
  <c r="AR1894" i="2" l="1"/>
  <c r="AT1894" i="2"/>
  <c r="AV1894" i="2"/>
  <c r="AU1894" i="2"/>
  <c r="AQ1895" i="2"/>
  <c r="AS1894" i="2"/>
  <c r="AT1895" i="2" l="1"/>
  <c r="AS1895" i="2"/>
  <c r="AQ1896" i="2"/>
  <c r="AV1895" i="2"/>
  <c r="AU1895" i="2"/>
  <c r="AR1895" i="2"/>
  <c r="AT1896" i="2" l="1"/>
  <c r="AU1896" i="2"/>
  <c r="AQ1897" i="2"/>
  <c r="AS1896" i="2"/>
  <c r="AV1896" i="2"/>
  <c r="AR1896" i="2"/>
  <c r="AR1897" i="2" l="1"/>
  <c r="AV1897" i="2"/>
  <c r="AT1897" i="2"/>
  <c r="AQ1898" i="2"/>
  <c r="AS1897" i="2"/>
  <c r="AU1897" i="2"/>
  <c r="AV1898" i="2" l="1"/>
  <c r="AR1898" i="2"/>
  <c r="AU1898" i="2"/>
  <c r="AQ1899" i="2"/>
  <c r="AT1898" i="2"/>
  <c r="AS1898" i="2"/>
  <c r="AU1899" i="2" l="1"/>
  <c r="AV1899" i="2"/>
  <c r="AT1899" i="2"/>
  <c r="AQ1900" i="2"/>
  <c r="AS1899" i="2"/>
  <c r="AR1899" i="2"/>
  <c r="AU1900" i="2" l="1"/>
  <c r="AR1900" i="2"/>
  <c r="AQ1901" i="2"/>
  <c r="AT1900" i="2"/>
  <c r="AV1900" i="2"/>
  <c r="AS1900" i="2"/>
  <c r="AQ1902" i="2" l="1"/>
  <c r="AR1901" i="2"/>
  <c r="AT1901" i="2"/>
  <c r="AV1901" i="2"/>
  <c r="AS1901" i="2"/>
  <c r="AU1901" i="2"/>
  <c r="AS1902" i="2" l="1"/>
  <c r="AU1902" i="2"/>
  <c r="AV1902" i="2"/>
  <c r="AT1902" i="2"/>
  <c r="AQ1903" i="2"/>
  <c r="AR1902" i="2"/>
  <c r="AR1903" i="2" l="1"/>
  <c r="AQ1904" i="2"/>
  <c r="AT1903" i="2"/>
  <c r="AS1903" i="2"/>
  <c r="AV1903" i="2"/>
  <c r="AU1903" i="2"/>
  <c r="AV1904" i="2" l="1"/>
  <c r="AS1904" i="2"/>
  <c r="AQ1905" i="2"/>
  <c r="AR1904" i="2"/>
  <c r="AU1904" i="2"/>
  <c r="AT1904" i="2"/>
  <c r="AQ1906" i="2" l="1"/>
  <c r="AS1905" i="2"/>
  <c r="AU1905" i="2"/>
  <c r="AR1905" i="2"/>
  <c r="AT1905" i="2"/>
  <c r="AV1905" i="2"/>
  <c r="AR1906" i="2" l="1"/>
  <c r="AQ1907" i="2"/>
  <c r="AV1906" i="2"/>
  <c r="AU1906" i="2"/>
  <c r="AT1906" i="2"/>
  <c r="AS1906" i="2"/>
  <c r="AV1907" i="2" l="1"/>
  <c r="AU1907" i="2"/>
  <c r="AS1907" i="2"/>
  <c r="AT1907" i="2"/>
  <c r="AQ1908" i="2"/>
  <c r="AR1907" i="2"/>
  <c r="AT1908" i="2" l="1"/>
  <c r="AQ1909" i="2"/>
  <c r="AU1908" i="2"/>
  <c r="AR1908" i="2"/>
  <c r="AS1908" i="2"/>
  <c r="AV1908" i="2"/>
  <c r="AR1909" i="2" l="1"/>
  <c r="AT1909" i="2"/>
  <c r="AV1909" i="2"/>
  <c r="AQ1910" i="2"/>
  <c r="AS1909" i="2"/>
  <c r="AU1909" i="2"/>
  <c r="AU1910" i="2" l="1"/>
  <c r="AT1910" i="2"/>
  <c r="AR1910" i="2"/>
  <c r="AQ1911" i="2"/>
  <c r="AS1910" i="2"/>
  <c r="AV1910" i="2"/>
  <c r="AQ1912" i="2" l="1"/>
  <c r="AR1911" i="2"/>
  <c r="AT1911" i="2"/>
  <c r="AS1911" i="2"/>
  <c r="AU1911" i="2"/>
  <c r="AV1911" i="2"/>
  <c r="AR1912" i="2" l="1"/>
  <c r="AU1912" i="2"/>
  <c r="AV1912" i="2"/>
  <c r="AS1912" i="2"/>
  <c r="AQ1913" i="2"/>
  <c r="AT1912" i="2"/>
  <c r="AS1913" i="2" l="1"/>
  <c r="AT1913" i="2"/>
  <c r="AU1913" i="2"/>
  <c r="AV1913" i="2"/>
  <c r="AQ1914" i="2"/>
  <c r="AR1913" i="2"/>
  <c r="AQ1915" i="2" l="1"/>
  <c r="AU1914" i="2"/>
  <c r="AR1914" i="2"/>
  <c r="AT1914" i="2"/>
  <c r="AV1914" i="2"/>
  <c r="AS1914" i="2"/>
  <c r="AQ1916" i="2" l="1"/>
  <c r="AU1915" i="2"/>
  <c r="AS1915" i="2"/>
  <c r="AR1915" i="2"/>
  <c r="AV1915" i="2"/>
  <c r="AT1915" i="2"/>
  <c r="AS1916" i="2" l="1"/>
  <c r="AR1916" i="2"/>
  <c r="AU1916" i="2"/>
  <c r="AT1916" i="2"/>
  <c r="AQ1917" i="2"/>
  <c r="AV1916" i="2"/>
  <c r="AQ1918" i="2" l="1"/>
  <c r="AV1917" i="2"/>
  <c r="AR1917" i="2"/>
  <c r="AT1917" i="2"/>
  <c r="AS1917" i="2"/>
  <c r="AU1917" i="2"/>
  <c r="AS1918" i="2" l="1"/>
  <c r="AR1918" i="2"/>
  <c r="AT1918" i="2"/>
  <c r="AU1918" i="2"/>
  <c r="AQ1919" i="2"/>
  <c r="AV1918" i="2"/>
  <c r="AU1919" i="2" l="1"/>
  <c r="AQ1920" i="2"/>
  <c r="AV1919" i="2"/>
  <c r="AR1919" i="2"/>
  <c r="AT1919" i="2"/>
  <c r="AS1919" i="2"/>
  <c r="AQ1921" i="2" l="1"/>
  <c r="AS1920" i="2"/>
  <c r="AR1920" i="2"/>
  <c r="AT1920" i="2"/>
  <c r="AV1920" i="2"/>
  <c r="AU1920" i="2"/>
  <c r="AV1921" i="2" l="1"/>
  <c r="AS1921" i="2"/>
  <c r="AR1921" i="2"/>
  <c r="AQ1922" i="2"/>
  <c r="AU1921" i="2"/>
  <c r="AT1921" i="2"/>
  <c r="AR1922" i="2" l="1"/>
  <c r="AS1922" i="2"/>
  <c r="AQ1923" i="2"/>
  <c r="AT1922" i="2"/>
  <c r="AU1922" i="2"/>
  <c r="AV1922" i="2"/>
  <c r="AT1923" i="2" l="1"/>
  <c r="AV1923" i="2"/>
  <c r="AS1923" i="2"/>
  <c r="AQ1924" i="2"/>
  <c r="AR1923" i="2"/>
  <c r="AU1923" i="2"/>
  <c r="AV1924" i="2" l="1"/>
  <c r="AU1924" i="2"/>
  <c r="AS1924" i="2"/>
  <c r="AR1924" i="2"/>
  <c r="AQ1925" i="2"/>
  <c r="AT1924" i="2"/>
  <c r="AS1925" i="2" l="1"/>
  <c r="AQ1926" i="2"/>
  <c r="AR1925" i="2"/>
  <c r="AT1925" i="2"/>
  <c r="AV1925" i="2"/>
  <c r="AU1925" i="2"/>
  <c r="AV1926" i="2" l="1"/>
  <c r="AR1926" i="2"/>
  <c r="AS1926" i="2"/>
  <c r="AQ1927" i="2"/>
  <c r="AT1926" i="2"/>
  <c r="AU1926" i="2"/>
  <c r="AT1927" i="2" l="1"/>
  <c r="AU1927" i="2"/>
  <c r="AV1927" i="2"/>
  <c r="AS1927" i="2"/>
  <c r="AQ1928" i="2"/>
  <c r="AR1927" i="2"/>
  <c r="AT1928" i="2" l="1"/>
  <c r="AR1928" i="2"/>
  <c r="AS1928" i="2"/>
  <c r="AU1928" i="2"/>
  <c r="AQ1929" i="2"/>
  <c r="AV1928" i="2"/>
  <c r="AR1929" i="2" l="1"/>
  <c r="AT1929" i="2"/>
  <c r="AV1929" i="2"/>
  <c r="AS1929" i="2"/>
  <c r="AU1929" i="2"/>
  <c r="AQ1930" i="2"/>
  <c r="AQ1931" i="2" l="1"/>
  <c r="AS1930" i="2"/>
  <c r="AR1930" i="2"/>
  <c r="AT1930" i="2"/>
  <c r="AV1930" i="2"/>
  <c r="AU1930" i="2"/>
  <c r="AS1931" i="2" l="1"/>
  <c r="AU1931" i="2"/>
  <c r="AQ1932" i="2"/>
  <c r="AV1931" i="2"/>
  <c r="AT1931" i="2"/>
  <c r="AR1931" i="2"/>
  <c r="AS1932" i="2" l="1"/>
  <c r="AU1932" i="2"/>
  <c r="AQ1933" i="2"/>
  <c r="AR1932" i="2"/>
  <c r="AV1932" i="2"/>
  <c r="AT1932" i="2"/>
  <c r="AU1933" i="2" l="1"/>
  <c r="AQ1934" i="2"/>
  <c r="AV1933" i="2"/>
  <c r="AR1933" i="2"/>
  <c r="AT1933" i="2"/>
  <c r="AS1933" i="2"/>
  <c r="AV1934" i="2" l="1"/>
  <c r="AS1934" i="2"/>
  <c r="AQ1935" i="2"/>
  <c r="AR1934" i="2"/>
  <c r="AT1934" i="2"/>
  <c r="AU1934" i="2"/>
  <c r="AS1935" i="2" l="1"/>
  <c r="AR1935" i="2"/>
  <c r="AQ1936" i="2"/>
  <c r="AT1935" i="2"/>
  <c r="AU1935" i="2"/>
  <c r="AV1935" i="2"/>
  <c r="AT1936" i="2" l="1"/>
  <c r="AV1936" i="2"/>
  <c r="AR1936" i="2"/>
  <c r="AS1936" i="2"/>
  <c r="AQ1937" i="2"/>
  <c r="AU1936" i="2"/>
  <c r="AT1937" i="2" l="1"/>
  <c r="AS1937" i="2"/>
  <c r="AR1937" i="2"/>
  <c r="AU1937" i="2"/>
  <c r="AV1937" i="2"/>
  <c r="AQ1938" i="2"/>
  <c r="AU1938" i="2" l="1"/>
  <c r="AR1938" i="2"/>
  <c r="AQ1939" i="2"/>
  <c r="AT1938" i="2"/>
  <c r="AV1938" i="2"/>
  <c r="AS1938" i="2"/>
  <c r="AQ1940" i="2" l="1"/>
  <c r="AT1939" i="2"/>
  <c r="AV1939" i="2"/>
  <c r="AU1939" i="2"/>
  <c r="AS1939" i="2"/>
  <c r="AR1939" i="2"/>
  <c r="AR1940" i="2" l="1"/>
  <c r="AS1940" i="2"/>
  <c r="AQ1941" i="2"/>
  <c r="AU1940" i="2"/>
  <c r="AT1940" i="2"/>
  <c r="AV1940" i="2"/>
  <c r="AS1941" i="2" l="1"/>
  <c r="AU1941" i="2"/>
  <c r="AR1941" i="2"/>
  <c r="AT1941" i="2"/>
  <c r="AQ1942" i="2"/>
  <c r="AV1941" i="2"/>
  <c r="AU1942" i="2" l="1"/>
  <c r="AQ1943" i="2"/>
  <c r="AR1942" i="2"/>
  <c r="AT1942" i="2"/>
  <c r="AV1942" i="2"/>
  <c r="AS1942" i="2"/>
  <c r="AV1943" i="2" l="1"/>
  <c r="AS1943" i="2"/>
  <c r="AQ1944" i="2"/>
  <c r="AU1943" i="2"/>
  <c r="AT1943" i="2"/>
  <c r="AR1943" i="2"/>
  <c r="AS1944" i="2" l="1"/>
  <c r="AQ1945" i="2"/>
  <c r="AR1944" i="2"/>
  <c r="AU1944" i="2"/>
  <c r="AT1944" i="2"/>
  <c r="AV1944" i="2"/>
  <c r="AV1945" i="2" l="1"/>
  <c r="AS1945" i="2"/>
  <c r="AQ1946" i="2"/>
  <c r="AR1945" i="2"/>
  <c r="AU1945" i="2"/>
  <c r="AT1945" i="2"/>
  <c r="AS1946" i="2" l="1"/>
  <c r="AV1946" i="2"/>
  <c r="AT1946" i="2"/>
  <c r="AR1946" i="2"/>
  <c r="AQ1947" i="2"/>
  <c r="AU1946" i="2"/>
  <c r="AQ1948" i="2" l="1"/>
  <c r="AS1947" i="2"/>
  <c r="AT1947" i="2"/>
  <c r="AU1947" i="2"/>
  <c r="AR1947" i="2"/>
  <c r="AV1947" i="2"/>
  <c r="AV1948" i="2" l="1"/>
  <c r="AR1948" i="2"/>
  <c r="AT1948" i="2"/>
  <c r="AS1948" i="2"/>
  <c r="AQ1949" i="2"/>
  <c r="AU1948" i="2"/>
  <c r="AR1949" i="2" l="1"/>
  <c r="AU1949" i="2"/>
  <c r="AT1949" i="2"/>
  <c r="AQ1950" i="2"/>
  <c r="AS1949" i="2"/>
  <c r="AV1949" i="2"/>
  <c r="AQ1951" i="2" l="1"/>
  <c r="AU1950" i="2"/>
  <c r="AT1950" i="2"/>
  <c r="AS1950" i="2"/>
  <c r="AR1950" i="2"/>
  <c r="AV1950" i="2"/>
  <c r="AS1951" i="2" l="1"/>
  <c r="AQ1952" i="2"/>
  <c r="AR1951" i="2"/>
  <c r="AV1951" i="2"/>
  <c r="AT1951" i="2"/>
  <c r="AU1951" i="2"/>
  <c r="AV1952" i="2" l="1"/>
  <c r="AU1952" i="2"/>
  <c r="AS1952" i="2"/>
  <c r="AR1952" i="2"/>
  <c r="AT1952" i="2"/>
  <c r="AQ1953" i="2"/>
  <c r="AQ1954" i="2" l="1"/>
  <c r="AU1953" i="2"/>
  <c r="AS1953" i="2"/>
  <c r="AV1953" i="2"/>
  <c r="AT1953" i="2"/>
  <c r="AR1953" i="2"/>
  <c r="AV1954" i="2" l="1"/>
  <c r="AR1954" i="2"/>
  <c r="AQ1955" i="2"/>
  <c r="AU1954" i="2"/>
  <c r="AS1954" i="2"/>
  <c r="AT1954" i="2"/>
  <c r="AV1955" i="2" l="1"/>
  <c r="AS1955" i="2"/>
  <c r="AQ1956" i="2"/>
  <c r="AR1955" i="2"/>
  <c r="AU1955" i="2"/>
  <c r="AT1955" i="2"/>
  <c r="AT1956" i="2" l="1"/>
  <c r="AR1956" i="2"/>
  <c r="AS1956" i="2"/>
  <c r="AQ1957" i="2"/>
  <c r="AV1956" i="2"/>
  <c r="AU1956" i="2"/>
  <c r="AR1957" i="2" l="1"/>
  <c r="AS1957" i="2"/>
  <c r="AU1957" i="2"/>
  <c r="AT1957" i="2"/>
  <c r="AV1957" i="2"/>
  <c r="AQ1958" i="2"/>
  <c r="AR1958" i="2" l="1"/>
  <c r="AS1958" i="2"/>
  <c r="AQ1959" i="2"/>
  <c r="AT1958" i="2"/>
  <c r="AV1958" i="2"/>
  <c r="AU1958" i="2"/>
  <c r="AV1959" i="2" l="1"/>
  <c r="AS1959" i="2"/>
  <c r="AR1959" i="2"/>
  <c r="AQ1960" i="2"/>
  <c r="AU1959" i="2"/>
  <c r="AT1959" i="2"/>
  <c r="AR1960" i="2" l="1"/>
  <c r="AS1960" i="2"/>
  <c r="AU1960" i="2"/>
  <c r="AV1960" i="2"/>
  <c r="AT1960" i="2"/>
  <c r="AQ1961" i="2"/>
  <c r="AV1961" i="2" l="1"/>
  <c r="AR1961" i="2"/>
  <c r="AU1961" i="2"/>
  <c r="AS1961" i="2"/>
  <c r="AT1961" i="2"/>
  <c r="AQ1962" i="2"/>
  <c r="AR1962" i="2" l="1"/>
  <c r="AV1962" i="2"/>
  <c r="AT1962" i="2"/>
  <c r="AS1962" i="2"/>
  <c r="AU1962" i="2"/>
  <c r="AQ1963" i="2"/>
  <c r="AQ1964" i="2" l="1"/>
  <c r="AR1963" i="2"/>
  <c r="AV1963" i="2"/>
  <c r="AU1963" i="2"/>
  <c r="AT1963" i="2"/>
  <c r="AS1963" i="2"/>
  <c r="AU1964" i="2" l="1"/>
  <c r="AT1964" i="2"/>
  <c r="AQ1965" i="2"/>
  <c r="AR1964" i="2"/>
  <c r="AS1964" i="2"/>
  <c r="AV1964" i="2"/>
  <c r="AT1965" i="2" l="1"/>
  <c r="AU1965" i="2"/>
  <c r="AR1965" i="2"/>
  <c r="AS1965" i="2"/>
  <c r="AV1965" i="2"/>
  <c r="AQ1966" i="2"/>
  <c r="AQ1967" i="2" l="1"/>
  <c r="AS1966" i="2"/>
  <c r="AT1966" i="2"/>
  <c r="AU1966" i="2"/>
  <c r="AV1966" i="2"/>
  <c r="AR1966" i="2"/>
  <c r="AU1967" i="2" l="1"/>
  <c r="AQ1968" i="2"/>
  <c r="AT1967" i="2"/>
  <c r="AR1967" i="2"/>
  <c r="AV1967" i="2"/>
  <c r="AS1967" i="2"/>
  <c r="AT1968" i="2" l="1"/>
  <c r="AV1968" i="2"/>
  <c r="AU1968" i="2"/>
  <c r="AR1968" i="2"/>
  <c r="AS1968" i="2"/>
  <c r="AQ1969" i="2"/>
  <c r="AS1969" i="2" l="1"/>
  <c r="AQ1970" i="2"/>
  <c r="AU1969" i="2"/>
  <c r="AV1969" i="2"/>
  <c r="AR1969" i="2"/>
  <c r="AT1969" i="2"/>
  <c r="AR1970" i="2" l="1"/>
  <c r="AU1970" i="2"/>
  <c r="AS1970" i="2"/>
  <c r="AQ1971" i="2"/>
  <c r="AT1970" i="2"/>
  <c r="AV1970" i="2"/>
  <c r="AV1971" i="2" l="1"/>
  <c r="AR1971" i="2"/>
  <c r="AS1971" i="2"/>
  <c r="AQ1972" i="2"/>
  <c r="AU1971" i="2"/>
  <c r="AT1971" i="2"/>
  <c r="AU1972" i="2" l="1"/>
  <c r="AS1972" i="2"/>
  <c r="AV1972" i="2"/>
  <c r="AQ1973" i="2"/>
  <c r="AR1972" i="2"/>
  <c r="AT1972" i="2"/>
  <c r="AU1973" i="2" l="1"/>
  <c r="AS1973" i="2"/>
  <c r="AR1973" i="2"/>
  <c r="AV1973" i="2"/>
  <c r="AQ1974" i="2"/>
  <c r="AT1973" i="2"/>
  <c r="AS1974" i="2" l="1"/>
  <c r="AV1974" i="2"/>
  <c r="AR1974" i="2"/>
  <c r="AT1974" i="2"/>
  <c r="AQ1975" i="2"/>
  <c r="AU1974" i="2"/>
  <c r="AU1975" i="2" l="1"/>
  <c r="AQ1976" i="2"/>
  <c r="AV1975" i="2"/>
  <c r="AT1975" i="2"/>
  <c r="AR1975" i="2"/>
  <c r="AS1975" i="2"/>
  <c r="AQ1977" i="2" l="1"/>
  <c r="AV1976" i="2"/>
  <c r="AU1976" i="2"/>
  <c r="AS1976" i="2"/>
  <c r="AR1976" i="2"/>
  <c r="AT1976" i="2"/>
  <c r="AU1977" i="2" l="1"/>
  <c r="AR1977" i="2"/>
  <c r="AT1977" i="2"/>
  <c r="AS1977" i="2"/>
  <c r="AQ1978" i="2"/>
  <c r="AV1977" i="2"/>
  <c r="AV1978" i="2" l="1"/>
  <c r="AS1978" i="2"/>
  <c r="AR1978" i="2"/>
  <c r="AU1978" i="2"/>
  <c r="AQ1979" i="2"/>
  <c r="AT1978" i="2"/>
  <c r="AU1979" i="2" l="1"/>
  <c r="AQ1980" i="2"/>
  <c r="AV1979" i="2"/>
  <c r="AT1979" i="2"/>
  <c r="AS1979" i="2"/>
  <c r="AR1979" i="2"/>
  <c r="AU1980" i="2" l="1"/>
  <c r="AV1980" i="2"/>
  <c r="AT1980" i="2"/>
  <c r="AS1980" i="2"/>
  <c r="AQ1981" i="2"/>
  <c r="AR1980" i="2"/>
  <c r="AT1981" i="2" l="1"/>
  <c r="AR1981" i="2"/>
  <c r="AS1981" i="2"/>
  <c r="AV1981" i="2"/>
  <c r="AU1981" i="2"/>
  <c r="AQ1982" i="2"/>
  <c r="AV1982" i="2" l="1"/>
  <c r="AT1982" i="2"/>
  <c r="AQ1983" i="2"/>
  <c r="AS1982" i="2"/>
  <c r="AR1982" i="2"/>
  <c r="AU1982" i="2"/>
  <c r="AQ1984" i="2" l="1"/>
  <c r="AS1983" i="2"/>
  <c r="AU1983" i="2"/>
  <c r="AT1983" i="2"/>
  <c r="AR1983" i="2"/>
  <c r="AV1983" i="2"/>
  <c r="AU1984" i="2" l="1"/>
  <c r="AR1984" i="2"/>
  <c r="AV1984" i="2"/>
  <c r="AQ1985" i="2"/>
  <c r="AS1984" i="2"/>
  <c r="AT1984" i="2"/>
  <c r="AS1985" i="2" l="1"/>
  <c r="AR1985" i="2"/>
  <c r="AV1985" i="2"/>
  <c r="AU1985" i="2"/>
  <c r="AT1985" i="2"/>
  <c r="AQ1986" i="2"/>
  <c r="AR1986" i="2" l="1"/>
  <c r="AQ1987" i="2"/>
  <c r="AT1986" i="2"/>
  <c r="AV1986" i="2"/>
  <c r="AS1986" i="2"/>
  <c r="AU1986" i="2"/>
  <c r="AR1987" i="2" l="1"/>
  <c r="AV1987" i="2"/>
  <c r="AT1987" i="2"/>
  <c r="AU1987" i="2"/>
  <c r="AQ1988" i="2"/>
  <c r="AS1987" i="2"/>
  <c r="AR1988" i="2" l="1"/>
  <c r="AV1988" i="2"/>
  <c r="AS1988" i="2"/>
  <c r="AU1988" i="2"/>
  <c r="AQ1989" i="2"/>
  <c r="AT1988" i="2"/>
  <c r="AU1989" i="2" l="1"/>
  <c r="AV1989" i="2"/>
  <c r="AT1989" i="2"/>
  <c r="AR1989" i="2"/>
  <c r="AS1989" i="2"/>
  <c r="AQ1990" i="2"/>
  <c r="AR1990" i="2" l="1"/>
  <c r="AU1990" i="2"/>
  <c r="AT1990" i="2"/>
  <c r="AS1990" i="2"/>
  <c r="AQ1991" i="2"/>
  <c r="AV1990" i="2"/>
  <c r="AR1991" i="2" l="1"/>
  <c r="AQ1992" i="2"/>
  <c r="AS1991" i="2"/>
  <c r="AV1991" i="2"/>
  <c r="AT1991" i="2"/>
  <c r="AU1991" i="2"/>
  <c r="AU1992" i="2" l="1"/>
  <c r="AR1992" i="2"/>
  <c r="AQ1993" i="2"/>
  <c r="AV1992" i="2"/>
  <c r="AT1992" i="2"/>
  <c r="AS1992" i="2"/>
  <c r="AS1993" i="2" l="1"/>
  <c r="AR1993" i="2"/>
  <c r="AU1993" i="2"/>
  <c r="AQ1994" i="2"/>
  <c r="AT1993" i="2"/>
  <c r="AV1993" i="2"/>
  <c r="AT1994" i="2" l="1"/>
  <c r="AR1994" i="2"/>
  <c r="AQ1995" i="2"/>
  <c r="AS1994" i="2"/>
  <c r="AU1994" i="2"/>
  <c r="AV1994" i="2"/>
  <c r="AV1995" i="2" l="1"/>
  <c r="AT1995" i="2"/>
  <c r="AS1995" i="2"/>
  <c r="AQ1996" i="2"/>
  <c r="AU1995" i="2"/>
  <c r="AR1995" i="2"/>
  <c r="AV1996" i="2" l="1"/>
  <c r="AR1996" i="2"/>
  <c r="AQ1997" i="2"/>
  <c r="AT1996" i="2"/>
  <c r="AU1996" i="2"/>
  <c r="AS1996" i="2"/>
  <c r="AQ1998" i="2" l="1"/>
  <c r="AS1997" i="2"/>
  <c r="AT1997" i="2"/>
  <c r="AV1997" i="2"/>
  <c r="AU1997" i="2"/>
  <c r="AR1997" i="2"/>
  <c r="AU1998" i="2" l="1"/>
  <c r="AS1998" i="2"/>
  <c r="AR1998" i="2"/>
  <c r="AT1998" i="2"/>
  <c r="AQ1999" i="2"/>
  <c r="AV1998" i="2"/>
  <c r="AV1999" i="2" l="1"/>
  <c r="AT1999" i="2"/>
  <c r="AS1999" i="2"/>
  <c r="AR1999" i="2"/>
  <c r="AQ2000" i="2"/>
  <c r="AU1999" i="2"/>
  <c r="AR2000" i="2" l="1"/>
  <c r="AU2000" i="2"/>
  <c r="AV2000" i="2"/>
  <c r="AT2000" i="2"/>
  <c r="AQ2001" i="2"/>
  <c r="AS2000" i="2"/>
  <c r="AU2001" i="2" l="1"/>
  <c r="AQ2002" i="2"/>
  <c r="AS2001" i="2"/>
  <c r="AT2001" i="2"/>
  <c r="AR2001" i="2"/>
  <c r="AV2001" i="2"/>
  <c r="AT2002" i="2" l="1"/>
  <c r="AR2002" i="2"/>
  <c r="AV2002" i="2"/>
  <c r="AU2002" i="2"/>
  <c r="AS2002" i="2"/>
  <c r="AQ2003" i="2"/>
  <c r="AS2003" i="2" l="1"/>
  <c r="AT2003" i="2"/>
  <c r="AR2003" i="2"/>
  <c r="AQ2004" i="2"/>
  <c r="AV2003" i="2"/>
  <c r="AU2003" i="2"/>
  <c r="AQ2005" i="2" l="1"/>
  <c r="AV2004" i="2"/>
  <c r="AT2004" i="2"/>
  <c r="AR2004" i="2"/>
  <c r="AS2004" i="2"/>
  <c r="AU2004" i="2"/>
  <c r="AT2005" i="2" l="1"/>
  <c r="AS2005" i="2"/>
  <c r="AV2005" i="2"/>
  <c r="AR2005" i="2"/>
  <c r="AU2005" i="2"/>
  <c r="AQ2006" i="2"/>
  <c r="AV2006" i="2" l="1"/>
  <c r="AU2006" i="2"/>
  <c r="AQ2007" i="2"/>
  <c r="AT2006" i="2"/>
  <c r="AS2006" i="2"/>
  <c r="AR2006" i="2"/>
  <c r="AQ2008" i="2" l="1"/>
  <c r="AV2007" i="2"/>
  <c r="AR2007" i="2"/>
  <c r="AT2007" i="2"/>
  <c r="AU2007" i="2"/>
  <c r="AS2007" i="2"/>
  <c r="AU2008" i="2" l="1"/>
  <c r="AV2008" i="2"/>
  <c r="AT2008" i="2"/>
  <c r="AS2008" i="2"/>
  <c r="AQ2009" i="2"/>
  <c r="AR2008" i="2"/>
  <c r="AS2009" i="2" l="1"/>
  <c r="AV2009" i="2"/>
  <c r="AU2009" i="2"/>
  <c r="AQ2010" i="2"/>
  <c r="AT2009" i="2"/>
  <c r="AR2009" i="2"/>
  <c r="AQ2011" i="2" l="1"/>
  <c r="AU2010" i="2"/>
  <c r="AV2010" i="2"/>
  <c r="AR2010" i="2"/>
  <c r="AS2010" i="2"/>
  <c r="AT2010" i="2"/>
  <c r="AQ2012" i="2" l="1"/>
  <c r="AR2011" i="2"/>
  <c r="AS2011" i="2"/>
  <c r="AU2011" i="2"/>
  <c r="AV2011" i="2"/>
  <c r="AT2011" i="2"/>
  <c r="AQ2013" i="2" l="1"/>
  <c r="AT2012" i="2"/>
  <c r="AV2012" i="2"/>
  <c r="AS2012" i="2"/>
  <c r="AR2012" i="2"/>
  <c r="AU2012" i="2"/>
  <c r="AU2013" i="2" l="1"/>
  <c r="AV2013" i="2"/>
  <c r="AT2013" i="2"/>
  <c r="AS2013" i="2"/>
  <c r="AR2013" i="2"/>
  <c r="AQ2014" i="2"/>
  <c r="AV2014" i="2" l="1"/>
  <c r="AS2014" i="2"/>
  <c r="AU2014" i="2"/>
  <c r="AQ2015" i="2"/>
  <c r="AT2014" i="2"/>
  <c r="AR2014" i="2"/>
  <c r="AU2015" i="2" l="1"/>
  <c r="AR2015" i="2"/>
  <c r="AQ2016" i="2"/>
  <c r="AS2015" i="2"/>
  <c r="AT2015" i="2"/>
  <c r="AV2015" i="2"/>
  <c r="AV2016" i="2" l="1"/>
  <c r="AT2016" i="2"/>
  <c r="AR2016" i="2"/>
  <c r="AQ2017" i="2"/>
  <c r="AU2016" i="2"/>
  <c r="AS2016" i="2"/>
  <c r="AV2017" i="2" l="1"/>
  <c r="AS2017" i="2"/>
  <c r="AU2017" i="2"/>
  <c r="AR2017" i="2"/>
  <c r="AT2017" i="2"/>
  <c r="AQ2018" i="2"/>
  <c r="AU2018" i="2" l="1"/>
  <c r="AV2018" i="2"/>
  <c r="AQ2019" i="2"/>
  <c r="AS2018" i="2"/>
  <c r="AR2018" i="2"/>
  <c r="AT2018" i="2"/>
  <c r="AT2019" i="2" l="1"/>
  <c r="AV2019" i="2"/>
  <c r="AU2019" i="2"/>
  <c r="AR2019" i="2"/>
  <c r="AQ2020" i="2"/>
  <c r="AS2019" i="2"/>
  <c r="AS2020" i="2" l="1"/>
  <c r="AU2020" i="2"/>
  <c r="AT2020" i="2"/>
  <c r="AQ2021" i="2"/>
  <c r="AV2020" i="2"/>
  <c r="AR2020" i="2"/>
  <c r="AT2021" i="2" l="1"/>
  <c r="AU2021" i="2"/>
  <c r="AS2021" i="2"/>
  <c r="AR2021" i="2"/>
  <c r="AQ2022" i="2"/>
  <c r="AV2021" i="2"/>
  <c r="AV2022" i="2" l="1"/>
  <c r="AQ2023" i="2"/>
  <c r="AT2022" i="2"/>
  <c r="AU2022" i="2"/>
  <c r="AS2022" i="2"/>
  <c r="AR2022" i="2"/>
  <c r="AU2023" i="2" l="1"/>
  <c r="AR2023" i="2"/>
  <c r="AQ2024" i="2"/>
  <c r="AV2023" i="2"/>
  <c r="AT2023" i="2"/>
  <c r="AS2023" i="2"/>
  <c r="AS2024" i="2" l="1"/>
  <c r="AV2024" i="2"/>
  <c r="AR2024" i="2"/>
  <c r="AQ2025" i="2"/>
  <c r="AT2024" i="2"/>
  <c r="AU2024" i="2"/>
  <c r="AS2025" i="2" l="1"/>
  <c r="AU2025" i="2"/>
  <c r="AV2025" i="2"/>
  <c r="AQ2026" i="2"/>
  <c r="AT2025" i="2"/>
  <c r="AR2025" i="2"/>
  <c r="AQ2027" i="2" l="1"/>
  <c r="AS2026" i="2"/>
  <c r="AT2026" i="2"/>
  <c r="AR2026" i="2"/>
  <c r="AV2026" i="2"/>
  <c r="AU2026" i="2"/>
  <c r="AR2027" i="2" l="1"/>
  <c r="AQ2028" i="2"/>
  <c r="AU2027" i="2"/>
  <c r="AT2027" i="2"/>
  <c r="AS2027" i="2"/>
  <c r="AV2027" i="2"/>
  <c r="AU2028" i="2" l="1"/>
  <c r="AQ2029" i="2"/>
  <c r="AT2028" i="2"/>
  <c r="AS2028" i="2"/>
  <c r="AR2028" i="2"/>
  <c r="AV2028" i="2"/>
  <c r="AU2029" i="2" l="1"/>
  <c r="AV2029" i="2"/>
  <c r="AS2029" i="2"/>
  <c r="AR2029" i="2"/>
  <c r="AT2029" i="2"/>
  <c r="AQ2030" i="2"/>
  <c r="AV2030" i="2" l="1"/>
  <c r="AS2030" i="2"/>
  <c r="AU2030" i="2"/>
  <c r="AT2030" i="2"/>
  <c r="AQ2031" i="2"/>
  <c r="AR2030" i="2"/>
  <c r="AS2031" i="2" l="1"/>
  <c r="AT2031" i="2"/>
  <c r="AV2031" i="2"/>
  <c r="AU2031" i="2"/>
  <c r="AQ2032" i="2"/>
  <c r="AR2031" i="2"/>
  <c r="AU2032" i="2" l="1"/>
  <c r="AS2032" i="2"/>
  <c r="AV2032" i="2"/>
  <c r="AR2032" i="2"/>
  <c r="AQ2033" i="2"/>
  <c r="AT2032" i="2"/>
  <c r="AU2033" i="2" l="1"/>
  <c r="AR2033" i="2"/>
  <c r="AS2033" i="2"/>
  <c r="AV2033" i="2"/>
  <c r="AQ2034" i="2"/>
  <c r="AT2033" i="2"/>
  <c r="AV2034" i="2" l="1"/>
  <c r="AQ2035" i="2"/>
  <c r="AS2034" i="2"/>
  <c r="AU2034" i="2"/>
  <c r="AR2034" i="2"/>
  <c r="AT2034" i="2"/>
  <c r="AT2035" i="2" l="1"/>
  <c r="AQ2036" i="2"/>
  <c r="AV2035" i="2"/>
  <c r="AU2035" i="2"/>
  <c r="AR2035" i="2"/>
  <c r="AS2035" i="2"/>
  <c r="AU2036" i="2" l="1"/>
  <c r="AV2036" i="2"/>
  <c r="AS2036" i="2"/>
  <c r="AR2036" i="2"/>
  <c r="AT2036" i="2"/>
  <c r="AQ2037" i="2"/>
  <c r="AQ2038" i="2" l="1"/>
  <c r="AU2037" i="2"/>
  <c r="AS2037" i="2"/>
  <c r="AV2037" i="2"/>
  <c r="AT2037" i="2"/>
  <c r="AR2037" i="2"/>
  <c r="AS2038" i="2" l="1"/>
  <c r="AV2038" i="2"/>
  <c r="AT2038" i="2"/>
  <c r="AQ2039" i="2"/>
  <c r="AR2038" i="2"/>
  <c r="AU2038" i="2"/>
  <c r="AS2039" i="2" l="1"/>
  <c r="AU2039" i="2"/>
  <c r="AQ2040" i="2"/>
  <c r="AT2039" i="2"/>
  <c r="AR2039" i="2"/>
  <c r="AV2039" i="2"/>
  <c r="AT2040" i="2" l="1"/>
  <c r="AR2040" i="2"/>
  <c r="AS2040" i="2"/>
  <c r="AU2040" i="2"/>
  <c r="AQ2041" i="2"/>
  <c r="AV2040" i="2"/>
  <c r="AS2041" i="2" l="1"/>
  <c r="AV2041" i="2"/>
  <c r="AT2041" i="2"/>
  <c r="AR2041" i="2"/>
  <c r="AQ2042" i="2"/>
  <c r="AU2041" i="2"/>
  <c r="AR2042" i="2" l="1"/>
  <c r="AV2042" i="2"/>
  <c r="AQ2043" i="2"/>
  <c r="AS2042" i="2"/>
  <c r="AT2042" i="2"/>
  <c r="AU2042" i="2"/>
  <c r="AQ2044" i="2" l="1"/>
  <c r="AV2043" i="2"/>
  <c r="AT2043" i="2"/>
  <c r="AS2043" i="2"/>
  <c r="AU2043" i="2"/>
  <c r="AR2043" i="2"/>
  <c r="AU2044" i="2" l="1"/>
  <c r="AR2044" i="2"/>
  <c r="AQ2045" i="2"/>
  <c r="AT2044" i="2"/>
  <c r="AS2044" i="2"/>
  <c r="AV2044" i="2"/>
  <c r="AR2045" i="2" l="1"/>
  <c r="AQ2046" i="2"/>
  <c r="AT2045" i="2"/>
  <c r="AU2045" i="2"/>
  <c r="AV2045" i="2"/>
  <c r="AS2045" i="2"/>
  <c r="AT2046" i="2" l="1"/>
  <c r="AU2046" i="2"/>
  <c r="AV2046" i="2"/>
  <c r="AQ2047" i="2"/>
  <c r="AR2046" i="2"/>
  <c r="AS2046" i="2"/>
  <c r="AT2047" i="2" l="1"/>
  <c r="AS2047" i="2"/>
  <c r="AQ2048" i="2"/>
  <c r="AR2047" i="2"/>
  <c r="AU2047" i="2"/>
  <c r="AV2047" i="2"/>
  <c r="AR2048" i="2" l="1"/>
  <c r="AT2048" i="2"/>
  <c r="AU2048" i="2"/>
  <c r="AS2048" i="2"/>
  <c r="AV2048" i="2"/>
  <c r="AQ2049" i="2"/>
  <c r="AT2049" i="2" l="1"/>
  <c r="AV2049" i="2"/>
  <c r="AR2049" i="2"/>
  <c r="AQ2050" i="2"/>
  <c r="AS2049" i="2"/>
  <c r="AU2049" i="2"/>
  <c r="AU2050" i="2" l="1"/>
  <c r="AQ2051" i="2"/>
  <c r="AR2050" i="2"/>
  <c r="AV2050" i="2"/>
  <c r="AS2050" i="2"/>
  <c r="AT2050" i="2"/>
  <c r="AS2051" i="2" l="1"/>
  <c r="AU2051" i="2"/>
  <c r="AV2051" i="2"/>
  <c r="AR2051" i="2"/>
  <c r="AT2051" i="2"/>
  <c r="AQ2052" i="2"/>
  <c r="AR2052" i="2" l="1"/>
  <c r="AV2052" i="2"/>
  <c r="AS2052" i="2"/>
  <c r="AT2052" i="2"/>
  <c r="AQ2053" i="2"/>
  <c r="AU2052" i="2"/>
  <c r="AR2053" i="2" l="1"/>
  <c r="AT2053" i="2"/>
  <c r="AV2053" i="2"/>
  <c r="AS2053" i="2"/>
  <c r="AU2053" i="2"/>
  <c r="AQ2054" i="2"/>
  <c r="AR2054" i="2" l="1"/>
  <c r="AT2054" i="2"/>
  <c r="AQ2055" i="2"/>
  <c r="AS2054" i="2"/>
  <c r="AV2054" i="2"/>
  <c r="AU2054" i="2"/>
  <c r="AU2055" i="2" l="1"/>
  <c r="AV2055" i="2"/>
  <c r="AS2055" i="2"/>
  <c r="AT2055" i="2"/>
  <c r="AR2055" i="2"/>
  <c r="AQ2056" i="2"/>
  <c r="AT2056" i="2" l="1"/>
  <c r="AU2056" i="2"/>
  <c r="AQ2057" i="2"/>
  <c r="AR2056" i="2"/>
  <c r="AS2056" i="2"/>
  <c r="AV2056" i="2"/>
  <c r="AR2057" i="2" l="1"/>
  <c r="AT2057" i="2"/>
  <c r="AV2057" i="2"/>
  <c r="AS2057" i="2"/>
  <c r="AU2057" i="2"/>
  <c r="AQ2058" i="2"/>
  <c r="AR2058" i="2" l="1"/>
  <c r="AQ2059" i="2"/>
  <c r="AS2058" i="2"/>
  <c r="AV2058" i="2"/>
  <c r="AT2058" i="2"/>
  <c r="AU2058" i="2"/>
  <c r="AS2059" i="2" l="1"/>
  <c r="AT2059" i="2"/>
  <c r="AR2059" i="2"/>
  <c r="AV2059" i="2"/>
  <c r="AQ2060" i="2"/>
  <c r="AU2059" i="2"/>
  <c r="AV2060" i="2" l="1"/>
  <c r="AQ2061" i="2"/>
  <c r="AR2060" i="2"/>
  <c r="AU2060" i="2"/>
  <c r="AS2060" i="2"/>
  <c r="AT2060" i="2"/>
  <c r="AS2061" i="2" l="1"/>
  <c r="AV2061" i="2"/>
  <c r="AQ2062" i="2"/>
  <c r="AU2061" i="2"/>
  <c r="AR2061" i="2"/>
  <c r="AT2061" i="2"/>
  <c r="AT2062" i="2" l="1"/>
  <c r="AV2062" i="2"/>
  <c r="AU2062" i="2"/>
  <c r="AS2062" i="2"/>
  <c r="AQ2063" i="2"/>
  <c r="AR2062" i="2"/>
  <c r="AT2063" i="2" l="1"/>
  <c r="AV2063" i="2"/>
  <c r="AS2063" i="2"/>
  <c r="AR2063" i="2"/>
  <c r="AQ2064" i="2"/>
  <c r="AU2063" i="2"/>
  <c r="AT2064" i="2" l="1"/>
  <c r="AR2064" i="2"/>
  <c r="AV2064" i="2"/>
  <c r="AQ2065" i="2"/>
  <c r="AU2064" i="2"/>
  <c r="AS2064" i="2"/>
  <c r="AQ2066" i="2" l="1"/>
  <c r="AR2065" i="2"/>
  <c r="AV2065" i="2"/>
  <c r="AU2065" i="2"/>
  <c r="AT2065" i="2"/>
  <c r="AS2065" i="2"/>
  <c r="AT2066" i="2" l="1"/>
  <c r="AU2066" i="2"/>
  <c r="AQ2067" i="2"/>
  <c r="AV2066" i="2"/>
  <c r="AS2066" i="2"/>
  <c r="AR2066" i="2"/>
  <c r="AR2067" i="2" l="1"/>
  <c r="AU2067" i="2"/>
  <c r="AT2067" i="2"/>
  <c r="AV2067" i="2"/>
  <c r="AQ2068" i="2"/>
  <c r="AS2067" i="2"/>
  <c r="AU2068" i="2" l="1"/>
  <c r="AV2068" i="2"/>
  <c r="AR2068" i="2"/>
  <c r="AQ2069" i="2"/>
  <c r="AS2068" i="2"/>
  <c r="AT2068" i="2"/>
  <c r="AT2069" i="2" l="1"/>
  <c r="AR2069" i="2"/>
  <c r="AQ2070" i="2"/>
  <c r="AV2069" i="2"/>
  <c r="AU2069" i="2"/>
  <c r="AS2069" i="2"/>
  <c r="AQ2071" i="2" l="1"/>
  <c r="AU2070" i="2"/>
  <c r="AS2070" i="2"/>
  <c r="AR2070" i="2"/>
  <c r="AV2070" i="2"/>
  <c r="AT2070" i="2"/>
  <c r="AT2071" i="2" l="1"/>
  <c r="AS2071" i="2"/>
  <c r="AR2071" i="2"/>
  <c r="AU2071" i="2"/>
  <c r="AV2071" i="2"/>
  <c r="AQ2072" i="2"/>
  <c r="AQ2073" i="2" l="1"/>
  <c r="AV2072" i="2"/>
  <c r="AU2072" i="2"/>
  <c r="AR2072" i="2"/>
  <c r="AS2072" i="2"/>
  <c r="AT2072" i="2"/>
  <c r="AU2073" i="2" l="1"/>
  <c r="AS2073" i="2"/>
  <c r="AR2073" i="2"/>
  <c r="AT2073" i="2"/>
  <c r="AV2073" i="2"/>
  <c r="AQ2074" i="2"/>
  <c r="AQ2075" i="2" l="1"/>
  <c r="AT2074" i="2"/>
  <c r="AU2074" i="2"/>
  <c r="AV2074" i="2"/>
  <c r="AR2074" i="2"/>
  <c r="AS2074" i="2"/>
  <c r="AQ2076" i="2" l="1"/>
  <c r="AR2075" i="2"/>
  <c r="AV2075" i="2"/>
  <c r="AS2075" i="2"/>
  <c r="AT2075" i="2"/>
  <c r="AU2075" i="2"/>
  <c r="AV2076" i="2" l="1"/>
  <c r="AQ2077" i="2"/>
  <c r="AU2076" i="2"/>
  <c r="AT2076" i="2"/>
  <c r="AS2076" i="2"/>
  <c r="AR2076" i="2"/>
  <c r="AQ2078" i="2" l="1"/>
  <c r="AV2077" i="2"/>
  <c r="AT2077" i="2"/>
  <c r="AR2077" i="2"/>
  <c r="AS2077" i="2"/>
  <c r="AU2077" i="2"/>
  <c r="AR2078" i="2" l="1"/>
  <c r="AS2078" i="2"/>
  <c r="AU2078" i="2"/>
  <c r="AV2078" i="2"/>
  <c r="AQ2079" i="2"/>
  <c r="AT2078" i="2"/>
  <c r="AV2079" i="2" l="1"/>
  <c r="AS2079" i="2"/>
  <c r="AU2079" i="2"/>
  <c r="AQ2080" i="2"/>
  <c r="AR2079" i="2"/>
  <c r="AT2079" i="2"/>
  <c r="AV2080" i="2" l="1"/>
  <c r="AS2080" i="2"/>
  <c r="AQ2081" i="2"/>
  <c r="AR2080" i="2"/>
  <c r="AU2080" i="2"/>
  <c r="AT2080" i="2"/>
  <c r="AR2081" i="2" l="1"/>
  <c r="AS2081" i="2"/>
  <c r="AU2081" i="2"/>
  <c r="AV2081" i="2"/>
  <c r="AT2081" i="2"/>
  <c r="AQ2082" i="2"/>
  <c r="AT2082" i="2" l="1"/>
  <c r="AQ2083" i="2"/>
  <c r="AR2082" i="2"/>
  <c r="AS2082" i="2"/>
  <c r="AV2082" i="2"/>
  <c r="AU2082" i="2"/>
  <c r="AU2083" i="2" l="1"/>
  <c r="AQ2084" i="2"/>
  <c r="AS2083" i="2"/>
  <c r="AT2083" i="2"/>
  <c r="AV2083" i="2"/>
  <c r="AR2083" i="2"/>
  <c r="AV2084" i="2" l="1"/>
  <c r="AU2084" i="2"/>
  <c r="AQ2085" i="2"/>
  <c r="AT2084" i="2"/>
  <c r="AR2084" i="2"/>
  <c r="AS2084" i="2"/>
  <c r="AS2085" i="2" l="1"/>
  <c r="AR2085" i="2"/>
  <c r="AU2085" i="2"/>
  <c r="AT2085" i="2"/>
  <c r="AQ2086" i="2"/>
  <c r="AV2085" i="2"/>
  <c r="AT2086" i="2" l="1"/>
  <c r="AR2086" i="2"/>
  <c r="AV2086" i="2"/>
  <c r="AQ2087" i="2"/>
  <c r="AU2086" i="2"/>
  <c r="AS2086" i="2"/>
  <c r="AV2087" i="2" l="1"/>
  <c r="AQ2088" i="2"/>
  <c r="AS2087" i="2"/>
  <c r="AU2087" i="2"/>
  <c r="AT2087" i="2"/>
  <c r="AR2087" i="2"/>
  <c r="AU2088" i="2" l="1"/>
  <c r="AT2088" i="2"/>
  <c r="AR2088" i="2"/>
  <c r="AQ2089" i="2"/>
  <c r="AS2088" i="2"/>
  <c r="AV2088" i="2"/>
  <c r="AU2089" i="2" l="1"/>
  <c r="AS2089" i="2"/>
  <c r="AT2089" i="2"/>
  <c r="AQ2090" i="2"/>
  <c r="AR2089" i="2"/>
  <c r="AV2089" i="2"/>
  <c r="AS2090" i="2" l="1"/>
  <c r="AT2090" i="2"/>
  <c r="AU2090" i="2"/>
  <c r="AV2090" i="2"/>
  <c r="AQ2091" i="2"/>
  <c r="AR2090" i="2"/>
  <c r="AS2091" i="2" l="1"/>
  <c r="AQ2092" i="2"/>
  <c r="AT2091" i="2"/>
  <c r="AV2091" i="2"/>
  <c r="AR2091" i="2"/>
  <c r="AU2091" i="2"/>
  <c r="AV2092" i="2" l="1"/>
  <c r="AT2092" i="2"/>
  <c r="AQ2093" i="2"/>
  <c r="AR2092" i="2"/>
  <c r="AU2092" i="2"/>
  <c r="AS2092" i="2"/>
  <c r="AU2093" i="2" l="1"/>
  <c r="AS2093" i="2"/>
  <c r="AQ2094" i="2"/>
  <c r="AT2093" i="2"/>
  <c r="AR2093" i="2"/>
  <c r="AV2093" i="2"/>
  <c r="AT2094" i="2" l="1"/>
  <c r="AV2094" i="2"/>
  <c r="AR2094" i="2"/>
  <c r="AQ2095" i="2"/>
  <c r="AU2094" i="2"/>
  <c r="AS2094" i="2"/>
  <c r="AV2095" i="2" l="1"/>
  <c r="AU2095" i="2"/>
  <c r="AS2095" i="2"/>
  <c r="AR2095" i="2"/>
  <c r="AQ2096" i="2"/>
  <c r="AT2095" i="2"/>
  <c r="AU2096" i="2" l="1"/>
  <c r="AS2096" i="2"/>
  <c r="AQ2097" i="2"/>
  <c r="AV2096" i="2"/>
  <c r="AR2096" i="2"/>
  <c r="AT2096" i="2"/>
  <c r="AU2097" i="2" l="1"/>
  <c r="AS2097" i="2"/>
  <c r="AR2097" i="2"/>
  <c r="AQ2098" i="2"/>
  <c r="AV2097" i="2"/>
  <c r="AT2097" i="2"/>
  <c r="AV2098" i="2" l="1"/>
  <c r="AS2098" i="2"/>
  <c r="AR2098" i="2"/>
  <c r="AU2098" i="2"/>
  <c r="AQ2099" i="2"/>
  <c r="AT2098" i="2"/>
  <c r="AR2099" i="2" l="1"/>
  <c r="AU2099" i="2"/>
  <c r="AT2099" i="2"/>
  <c r="AS2099" i="2"/>
  <c r="AQ2100" i="2"/>
  <c r="AV2099" i="2"/>
  <c r="AR2100" i="2" l="1"/>
  <c r="AT2100" i="2"/>
  <c r="AS2100" i="2"/>
  <c r="AU2100" i="2"/>
  <c r="AQ2101" i="2"/>
  <c r="AV2100" i="2"/>
  <c r="AS2101" i="2" l="1"/>
  <c r="AQ2102" i="2"/>
  <c r="AU2101" i="2"/>
  <c r="AV2101" i="2"/>
  <c r="AT2101" i="2"/>
  <c r="AR2101" i="2"/>
  <c r="AT2102" i="2" l="1"/>
  <c r="AV2102" i="2"/>
  <c r="AU2102" i="2"/>
  <c r="AQ2103" i="2"/>
  <c r="AR2102" i="2"/>
  <c r="AS2102" i="2"/>
  <c r="AT2103" i="2" l="1"/>
  <c r="AU2103" i="2"/>
  <c r="AR2103" i="2"/>
  <c r="AS2103" i="2"/>
  <c r="AQ2104" i="2"/>
  <c r="AV2103" i="2"/>
  <c r="AQ2105" i="2" l="1"/>
  <c r="AS2104" i="2"/>
  <c r="AT2104" i="2"/>
  <c r="AR2104" i="2"/>
  <c r="AV2104" i="2"/>
  <c r="AU2104" i="2"/>
  <c r="AR2105" i="2" l="1"/>
  <c r="AT2105" i="2"/>
  <c r="AS2105" i="2"/>
  <c r="AQ2106" i="2"/>
  <c r="AU2105" i="2"/>
  <c r="AV2105" i="2"/>
  <c r="AU2106" i="2" l="1"/>
  <c r="AV2106" i="2"/>
  <c r="AS2106" i="2"/>
  <c r="AQ2107" i="2"/>
  <c r="AR2106" i="2"/>
  <c r="AT2106" i="2"/>
  <c r="AQ2108" i="2" l="1"/>
  <c r="AU2107" i="2"/>
  <c r="AR2107" i="2"/>
  <c r="AV2107" i="2"/>
  <c r="AS2107" i="2"/>
  <c r="AT2107" i="2"/>
  <c r="AS2108" i="2" l="1"/>
  <c r="AT2108" i="2"/>
  <c r="AV2108" i="2"/>
  <c r="AU2108" i="2"/>
  <c r="AR2108" i="2"/>
  <c r="AQ2109" i="2"/>
  <c r="AS2109" i="2" l="1"/>
  <c r="AT2109" i="2"/>
  <c r="AQ2110" i="2"/>
  <c r="AV2109" i="2"/>
  <c r="AU2109" i="2"/>
  <c r="AR2109" i="2"/>
  <c r="AQ2111" i="2" l="1"/>
  <c r="AR2110" i="2"/>
  <c r="AS2110" i="2"/>
  <c r="AV2110" i="2"/>
  <c r="AT2110" i="2"/>
  <c r="AU2110" i="2"/>
  <c r="AU2111" i="2" l="1"/>
  <c r="AR2111" i="2"/>
  <c r="AT2111" i="2"/>
  <c r="AV2111" i="2"/>
  <c r="AQ2112" i="2"/>
  <c r="AS2111" i="2"/>
  <c r="AS2112" i="2" l="1"/>
  <c r="AR2112" i="2"/>
  <c r="AV2112" i="2"/>
  <c r="AQ2113" i="2"/>
  <c r="AU2112" i="2"/>
  <c r="AT2112" i="2"/>
  <c r="AQ2114" i="2" l="1"/>
  <c r="AS2113" i="2"/>
  <c r="AR2113" i="2"/>
  <c r="AV2113" i="2"/>
  <c r="AU2113" i="2"/>
  <c r="AT2113" i="2"/>
  <c r="AR2114" i="2" l="1"/>
  <c r="AT2114" i="2"/>
  <c r="AQ2115" i="2"/>
  <c r="AU2114" i="2"/>
  <c r="AV2114" i="2"/>
  <c r="AS2114" i="2"/>
  <c r="AT2115" i="2" l="1"/>
  <c r="AV2115" i="2"/>
  <c r="AU2115" i="2"/>
  <c r="AQ2116" i="2"/>
  <c r="AR2115" i="2"/>
  <c r="AS2115" i="2"/>
  <c r="AU2116" i="2" l="1"/>
  <c r="AV2116" i="2"/>
  <c r="AQ2117" i="2"/>
  <c r="AS2116" i="2"/>
  <c r="AR2116" i="2"/>
  <c r="AT2116" i="2"/>
  <c r="AT2117" i="2" l="1"/>
  <c r="AV2117" i="2"/>
  <c r="AQ2118" i="2"/>
  <c r="AR2117" i="2"/>
  <c r="AS2117" i="2"/>
  <c r="AU2117" i="2"/>
  <c r="AT2118" i="2" l="1"/>
  <c r="AS2118" i="2"/>
  <c r="AR2118" i="2"/>
  <c r="AQ2119" i="2"/>
  <c r="AU2118" i="2"/>
  <c r="AV2118" i="2"/>
  <c r="AU2119" i="2" l="1"/>
  <c r="AR2119" i="2"/>
  <c r="AQ2120" i="2"/>
  <c r="AS2119" i="2"/>
  <c r="AV2119" i="2"/>
  <c r="AT2119" i="2"/>
  <c r="AR2120" i="2" l="1"/>
  <c r="AQ2121" i="2"/>
  <c r="AU2120" i="2"/>
  <c r="AT2120" i="2"/>
  <c r="AV2120" i="2"/>
  <c r="AS2120" i="2"/>
  <c r="AR2121" i="2" l="1"/>
  <c r="AV2121" i="2"/>
  <c r="AU2121" i="2"/>
  <c r="AS2121" i="2"/>
  <c r="AT2121" i="2"/>
  <c r="AQ2122" i="2"/>
  <c r="AU2122" i="2" l="1"/>
  <c r="AQ2123" i="2"/>
  <c r="AV2122" i="2"/>
  <c r="AS2122" i="2"/>
  <c r="AT2122" i="2"/>
  <c r="AR2122" i="2"/>
  <c r="AU2123" i="2" l="1"/>
  <c r="AS2123" i="2"/>
  <c r="AQ2124" i="2"/>
  <c r="AV2123" i="2"/>
  <c r="AR2123" i="2"/>
  <c r="AT2123" i="2"/>
  <c r="AV2124" i="2" l="1"/>
  <c r="AU2124" i="2"/>
  <c r="AT2124" i="2"/>
  <c r="AS2124" i="2"/>
  <c r="AR2124" i="2"/>
  <c r="AQ2125" i="2"/>
  <c r="AV2125" i="2" l="1"/>
  <c r="AU2125" i="2"/>
  <c r="AS2125" i="2"/>
  <c r="AQ2126" i="2"/>
  <c r="AT2125" i="2"/>
  <c r="AR2125" i="2"/>
  <c r="AQ2127" i="2" l="1"/>
  <c r="AR2126" i="2"/>
  <c r="AS2126" i="2"/>
  <c r="AT2126" i="2"/>
  <c r="AV2126" i="2"/>
  <c r="AU2126" i="2"/>
  <c r="AQ2128" i="2" l="1"/>
  <c r="AR2127" i="2"/>
  <c r="AV2127" i="2"/>
  <c r="AS2127" i="2"/>
  <c r="AU2127" i="2"/>
  <c r="AT2127" i="2"/>
  <c r="AT2128" i="2" l="1"/>
  <c r="AS2128" i="2"/>
  <c r="AQ2129" i="2"/>
  <c r="AU2128" i="2"/>
  <c r="AR2128" i="2"/>
  <c r="AV2128" i="2"/>
  <c r="AQ2130" i="2" l="1"/>
  <c r="AU2129" i="2"/>
  <c r="AR2129" i="2"/>
  <c r="AV2129" i="2"/>
  <c r="AS2129" i="2"/>
  <c r="AT2129" i="2"/>
  <c r="AT2130" i="2" l="1"/>
  <c r="AU2130" i="2"/>
  <c r="AS2130" i="2"/>
  <c r="AQ2131" i="2"/>
  <c r="AR2130" i="2"/>
  <c r="AV2130" i="2"/>
  <c r="AV2131" i="2" l="1"/>
  <c r="AR2131" i="2"/>
  <c r="AU2131" i="2"/>
  <c r="AT2131" i="2"/>
  <c r="AS2131" i="2"/>
  <c r="AQ2132" i="2"/>
  <c r="AQ2133" i="2" l="1"/>
  <c r="AT2132" i="2"/>
  <c r="AR2132" i="2"/>
  <c r="AU2132" i="2"/>
  <c r="AV2132" i="2"/>
  <c r="AS2132" i="2"/>
  <c r="AQ2134" i="2" l="1"/>
  <c r="AS2133" i="2"/>
  <c r="AV2133" i="2"/>
  <c r="AU2133" i="2"/>
  <c r="AT2133" i="2"/>
  <c r="AR2133" i="2"/>
  <c r="AQ2135" i="2" l="1"/>
  <c r="AR2134" i="2"/>
  <c r="AV2134" i="2"/>
  <c r="AS2134" i="2"/>
  <c r="AU2134" i="2"/>
  <c r="AT2134" i="2"/>
  <c r="AR2135" i="2" l="1"/>
  <c r="AU2135" i="2"/>
  <c r="AS2135" i="2"/>
  <c r="AQ2136" i="2"/>
  <c r="AT2135" i="2"/>
  <c r="AV2135" i="2"/>
  <c r="AU2136" i="2" l="1"/>
  <c r="AV2136" i="2"/>
  <c r="AQ2137" i="2"/>
  <c r="AR2136" i="2"/>
  <c r="AT2136" i="2"/>
  <c r="AS2136" i="2"/>
  <c r="AS2137" i="2" l="1"/>
  <c r="AV2137" i="2"/>
  <c r="AQ2138" i="2"/>
  <c r="AR2137" i="2"/>
  <c r="AT2137" i="2"/>
  <c r="AU2137" i="2"/>
  <c r="AQ2139" i="2" l="1"/>
  <c r="AR2138" i="2"/>
  <c r="AU2138" i="2"/>
  <c r="AT2138" i="2"/>
  <c r="AV2138" i="2"/>
  <c r="AS2138" i="2"/>
  <c r="AU2139" i="2" l="1"/>
  <c r="AT2139" i="2"/>
  <c r="AV2139" i="2"/>
  <c r="AR2139" i="2"/>
  <c r="AS2139" i="2"/>
  <c r="AQ2140" i="2"/>
  <c r="AT2140" i="2" l="1"/>
  <c r="AR2140" i="2"/>
  <c r="AS2140" i="2"/>
  <c r="AQ2141" i="2"/>
  <c r="AU2140" i="2"/>
  <c r="AV2140" i="2"/>
  <c r="AV2141" i="2" l="1"/>
  <c r="AS2141" i="2"/>
  <c r="AR2141" i="2"/>
  <c r="AU2141" i="2"/>
  <c r="AT2141" i="2"/>
  <c r="AQ2142" i="2"/>
  <c r="AQ2143" i="2" l="1"/>
  <c r="AT2142" i="2"/>
  <c r="AV2142" i="2"/>
  <c r="AS2142" i="2"/>
  <c r="AR2142" i="2"/>
  <c r="AU2142" i="2"/>
  <c r="AV2143" i="2" l="1"/>
  <c r="AS2143" i="2"/>
  <c r="AR2143" i="2"/>
  <c r="AT2143" i="2"/>
  <c r="AQ2144" i="2"/>
  <c r="AU2143" i="2"/>
  <c r="AR2144" i="2" l="1"/>
  <c r="AT2144" i="2"/>
  <c r="AS2144" i="2"/>
  <c r="AV2144" i="2"/>
  <c r="AU2144" i="2"/>
  <c r="AQ2145" i="2"/>
  <c r="AT2145" i="2" l="1"/>
  <c r="AU2145" i="2"/>
  <c r="AV2145" i="2"/>
  <c r="AQ2146" i="2"/>
  <c r="AR2145" i="2"/>
  <c r="AS2145" i="2"/>
  <c r="AS2146" i="2" l="1"/>
  <c r="AT2146" i="2"/>
  <c r="AU2146" i="2"/>
  <c r="AR2146" i="2"/>
  <c r="AV2146" i="2"/>
  <c r="AQ2147" i="2"/>
  <c r="AV2147" i="2" l="1"/>
  <c r="AR2147" i="2"/>
  <c r="AS2147" i="2"/>
  <c r="AU2147" i="2"/>
  <c r="AQ2148" i="2"/>
  <c r="AT2147" i="2"/>
  <c r="AU2148" i="2" l="1"/>
  <c r="AS2148" i="2"/>
  <c r="AV2148" i="2"/>
  <c r="AT2148" i="2"/>
  <c r="AQ2149" i="2"/>
  <c r="AR2148" i="2"/>
  <c r="AQ2150" i="2" l="1"/>
  <c r="AV2149" i="2"/>
  <c r="AU2149" i="2"/>
  <c r="AR2149" i="2"/>
  <c r="AT2149" i="2"/>
  <c r="AS2149" i="2"/>
  <c r="AU2150" i="2" l="1"/>
  <c r="AR2150" i="2"/>
  <c r="AT2150" i="2"/>
  <c r="AQ2151" i="2"/>
  <c r="AV2150" i="2"/>
  <c r="AS2150" i="2"/>
  <c r="AR2151" i="2" l="1"/>
  <c r="AT2151" i="2"/>
  <c r="AQ2152" i="2"/>
  <c r="AS2151" i="2"/>
  <c r="AU2151" i="2"/>
  <c r="AV2151" i="2"/>
  <c r="AU2152" i="2" l="1"/>
  <c r="AV2152" i="2"/>
  <c r="AT2152" i="2"/>
  <c r="AR2152" i="2"/>
  <c r="AQ2153" i="2"/>
  <c r="AS2152" i="2"/>
  <c r="AU2153" i="2" l="1"/>
  <c r="AS2153" i="2"/>
  <c r="AQ2154" i="2"/>
  <c r="AV2153" i="2"/>
  <c r="AT2153" i="2"/>
  <c r="AR2153" i="2"/>
  <c r="AU2154" i="2" l="1"/>
  <c r="AT2154" i="2"/>
  <c r="AV2154" i="2"/>
  <c r="AR2154" i="2"/>
  <c r="AS2154" i="2"/>
  <c r="AQ2155" i="2"/>
  <c r="AS2155" i="2" l="1"/>
  <c r="AU2155" i="2"/>
  <c r="AV2155" i="2"/>
  <c r="AQ2156" i="2"/>
  <c r="AT2155" i="2"/>
  <c r="AR2155" i="2"/>
  <c r="AV2156" i="2" l="1"/>
  <c r="AS2156" i="2"/>
  <c r="AQ2157" i="2"/>
  <c r="AT2156" i="2"/>
  <c r="AU2156" i="2"/>
  <c r="AR2156" i="2"/>
  <c r="AU2157" i="2" l="1"/>
  <c r="AQ2158" i="2"/>
  <c r="AV2157" i="2"/>
  <c r="AR2157" i="2"/>
  <c r="AT2157" i="2"/>
  <c r="AS2157" i="2"/>
  <c r="AT2158" i="2" l="1"/>
  <c r="AR2158" i="2"/>
  <c r="AU2158" i="2"/>
  <c r="AQ2159" i="2"/>
  <c r="AS2158" i="2"/>
  <c r="AV2158" i="2"/>
  <c r="AR2159" i="2" l="1"/>
  <c r="AU2159" i="2"/>
  <c r="AS2159" i="2"/>
  <c r="AT2159" i="2"/>
  <c r="AV2159" i="2"/>
  <c r="AQ2160" i="2"/>
  <c r="AU2160" i="2" l="1"/>
  <c r="AQ2161" i="2"/>
  <c r="AV2160" i="2"/>
  <c r="AS2160" i="2"/>
  <c r="AT2160" i="2"/>
  <c r="AR2160" i="2"/>
  <c r="AR2161" i="2" l="1"/>
  <c r="AS2161" i="2"/>
  <c r="AT2161" i="2"/>
  <c r="AU2161" i="2"/>
  <c r="AQ2162" i="2"/>
  <c r="AV2161" i="2"/>
  <c r="AV2162" i="2" l="1"/>
  <c r="AS2162" i="2"/>
  <c r="AR2162" i="2"/>
  <c r="AU2162" i="2"/>
  <c r="AQ2163" i="2"/>
  <c r="AT2162" i="2"/>
  <c r="AU2163" i="2" l="1"/>
  <c r="AS2163" i="2"/>
  <c r="AR2163" i="2"/>
  <c r="AT2163" i="2"/>
  <c r="AV2163" i="2"/>
  <c r="AQ2164" i="2"/>
  <c r="AU2164" i="2" l="1"/>
  <c r="AT2164" i="2"/>
  <c r="AQ2165" i="2"/>
  <c r="AS2164" i="2"/>
  <c r="AV2164" i="2"/>
  <c r="AR2164" i="2"/>
  <c r="AS2165" i="2" l="1"/>
  <c r="AQ2166" i="2"/>
  <c r="AU2165" i="2"/>
  <c r="AV2165" i="2"/>
  <c r="AT2165" i="2"/>
  <c r="AR2165" i="2"/>
  <c r="AV2166" i="2" l="1"/>
  <c r="AS2166" i="2"/>
  <c r="AT2166" i="2"/>
  <c r="AQ2167" i="2"/>
  <c r="AR2166" i="2"/>
  <c r="AU2166" i="2"/>
  <c r="AQ2168" i="2" l="1"/>
  <c r="AT2167" i="2"/>
  <c r="AR2167" i="2"/>
  <c r="AU2167" i="2"/>
  <c r="AV2167" i="2"/>
  <c r="AS2167" i="2"/>
  <c r="AS2168" i="2" l="1"/>
  <c r="AQ2169" i="2"/>
  <c r="AU2168" i="2"/>
  <c r="AT2168" i="2"/>
  <c r="AV2168" i="2"/>
  <c r="AR2168" i="2"/>
  <c r="AT2169" i="2" l="1"/>
  <c r="AU2169" i="2"/>
  <c r="AV2169" i="2"/>
  <c r="AS2169" i="2"/>
  <c r="AQ2170" i="2"/>
  <c r="AR2169" i="2"/>
  <c r="AU2170" i="2" l="1"/>
  <c r="AS2170" i="2"/>
  <c r="AR2170" i="2"/>
  <c r="AV2170" i="2"/>
  <c r="AT2170" i="2"/>
  <c r="AQ2171" i="2"/>
  <c r="AT2171" i="2" l="1"/>
  <c r="AR2171" i="2"/>
  <c r="AU2171" i="2"/>
  <c r="AS2171" i="2"/>
  <c r="AQ2172" i="2"/>
  <c r="AV2171" i="2"/>
  <c r="AU2172" i="2" l="1"/>
  <c r="AT2172" i="2"/>
  <c r="AS2172" i="2"/>
  <c r="AR2172" i="2"/>
  <c r="AQ2173" i="2"/>
  <c r="AV2172" i="2"/>
  <c r="AQ2174" i="2" l="1"/>
  <c r="AV2173" i="2"/>
  <c r="AR2173" i="2"/>
  <c r="AT2173" i="2"/>
  <c r="AS2173" i="2"/>
  <c r="AU2173" i="2"/>
  <c r="AV2174" i="2" l="1"/>
  <c r="AR2174" i="2"/>
  <c r="AU2174" i="2"/>
  <c r="AT2174" i="2"/>
  <c r="AS2174" i="2"/>
  <c r="AQ2175" i="2"/>
  <c r="AQ2176" i="2" l="1"/>
  <c r="AS2175" i="2"/>
  <c r="AU2175" i="2"/>
  <c r="AR2175" i="2"/>
  <c r="AV2175" i="2"/>
  <c r="AT2175" i="2"/>
  <c r="AT2176" i="2" l="1"/>
  <c r="AU2176" i="2"/>
  <c r="AQ2177" i="2"/>
  <c r="AR2176" i="2"/>
  <c r="AS2176" i="2"/>
  <c r="AV2176" i="2"/>
  <c r="AV2177" i="2" l="1"/>
  <c r="AQ2178" i="2"/>
  <c r="AS2177" i="2"/>
  <c r="AR2177" i="2"/>
  <c r="AU2177" i="2"/>
  <c r="AT2177" i="2"/>
  <c r="AQ2179" i="2" l="1"/>
  <c r="AT2178" i="2"/>
  <c r="AU2178" i="2"/>
  <c r="AS2178" i="2"/>
  <c r="AR2178" i="2"/>
  <c r="AV2178" i="2"/>
  <c r="AQ2180" i="2" l="1"/>
  <c r="AU2179" i="2"/>
  <c r="AV2179" i="2"/>
  <c r="AT2179" i="2"/>
  <c r="AS2179" i="2"/>
  <c r="AR2179" i="2"/>
  <c r="AQ2181" i="2" l="1"/>
  <c r="AS2180" i="2"/>
  <c r="AU2180" i="2"/>
  <c r="AT2180" i="2"/>
  <c r="AV2180" i="2"/>
  <c r="AR2180" i="2"/>
  <c r="AQ2182" i="2" l="1"/>
  <c r="AS2181" i="2"/>
  <c r="AR2181" i="2"/>
  <c r="AU2181" i="2"/>
  <c r="AV2181" i="2"/>
  <c r="AT2181" i="2"/>
  <c r="AQ2183" i="2" l="1"/>
  <c r="AR2182" i="2"/>
  <c r="AV2182" i="2"/>
  <c r="AT2182" i="2"/>
  <c r="AU2182" i="2"/>
  <c r="AS2182" i="2"/>
  <c r="AQ2184" i="2" l="1"/>
  <c r="AU2183" i="2"/>
  <c r="AS2183" i="2"/>
  <c r="AV2183" i="2"/>
  <c r="AT2183" i="2"/>
  <c r="AR2183" i="2"/>
  <c r="AR2184" i="2" l="1"/>
  <c r="AV2184" i="2"/>
  <c r="AU2184" i="2"/>
  <c r="AT2184" i="2"/>
  <c r="AS2184" i="2"/>
  <c r="AQ2185" i="2"/>
  <c r="AU2185" i="2" l="1"/>
  <c r="AR2185" i="2"/>
  <c r="AT2185" i="2"/>
  <c r="AS2185" i="2"/>
  <c r="AQ2186" i="2"/>
  <c r="AV2185" i="2"/>
  <c r="AT2186" i="2" l="1"/>
  <c r="AR2186" i="2"/>
  <c r="AQ2187" i="2"/>
  <c r="AS2186" i="2"/>
  <c r="AV2186" i="2"/>
  <c r="AU2186" i="2"/>
  <c r="AT2187" i="2" l="1"/>
  <c r="AU2187" i="2"/>
  <c r="AV2187" i="2"/>
  <c r="AQ2188" i="2"/>
  <c r="AS2187" i="2"/>
  <c r="AR2187" i="2"/>
  <c r="AU2188" i="2" l="1"/>
  <c r="AQ2189" i="2"/>
  <c r="AV2188" i="2"/>
  <c r="AR2188" i="2"/>
  <c r="AT2188" i="2"/>
  <c r="AS2188" i="2"/>
  <c r="AQ2190" i="2" l="1"/>
  <c r="AT2189" i="2"/>
  <c r="AR2189" i="2"/>
  <c r="AV2189" i="2"/>
  <c r="AS2189" i="2"/>
  <c r="AU2189" i="2"/>
  <c r="AQ2191" i="2" l="1"/>
  <c r="AU2190" i="2"/>
  <c r="AT2190" i="2"/>
  <c r="AV2190" i="2"/>
  <c r="AR2190" i="2"/>
  <c r="AS2190" i="2"/>
  <c r="AQ2192" i="2" l="1"/>
  <c r="AT2191" i="2"/>
  <c r="AS2191" i="2"/>
  <c r="AV2191" i="2"/>
  <c r="AR2191" i="2"/>
  <c r="AU2191" i="2"/>
  <c r="AQ2193" i="2" l="1"/>
  <c r="AS2192" i="2"/>
  <c r="AU2192" i="2"/>
  <c r="AR2192" i="2"/>
  <c r="AV2192" i="2"/>
  <c r="AT2192" i="2"/>
  <c r="AV2193" i="2" l="1"/>
  <c r="AU2193" i="2"/>
  <c r="AS2193" i="2"/>
  <c r="AQ2194" i="2"/>
  <c r="AR2193" i="2"/>
  <c r="AT2193" i="2"/>
  <c r="AV2194" i="2" l="1"/>
  <c r="AS2194" i="2"/>
  <c r="AQ2195" i="2"/>
  <c r="AT2194" i="2"/>
  <c r="AR2194" i="2"/>
  <c r="AU2194" i="2"/>
  <c r="AV2195" i="2" l="1"/>
  <c r="AQ2196" i="2"/>
  <c r="AU2195" i="2"/>
  <c r="AR2195" i="2"/>
  <c r="AT2195" i="2"/>
  <c r="AS2195" i="2"/>
  <c r="AT2196" i="2" l="1"/>
  <c r="AQ2197" i="2"/>
  <c r="AR2196" i="2"/>
  <c r="AS2196" i="2"/>
  <c r="AU2196" i="2"/>
  <c r="AV2196" i="2"/>
  <c r="AU2197" i="2" l="1"/>
  <c r="AV2197" i="2"/>
  <c r="AQ2198" i="2"/>
  <c r="AR2197" i="2"/>
  <c r="AS2197" i="2"/>
  <c r="AT2197" i="2"/>
  <c r="AR2198" i="2" l="1"/>
  <c r="AU2198" i="2"/>
  <c r="AV2198" i="2"/>
  <c r="AQ2199" i="2"/>
  <c r="AS2198" i="2"/>
  <c r="AT2198" i="2"/>
  <c r="AV2199" i="2" l="1"/>
  <c r="AQ2200" i="2"/>
  <c r="AU2199" i="2"/>
  <c r="AS2199" i="2"/>
  <c r="AR2199" i="2"/>
  <c r="AT2199" i="2"/>
  <c r="AR2200" i="2" l="1"/>
  <c r="AV2200" i="2"/>
  <c r="AQ2201" i="2"/>
  <c r="AU2200" i="2"/>
  <c r="AS2200" i="2"/>
  <c r="AT2200" i="2"/>
  <c r="AV2201" i="2" l="1"/>
  <c r="AS2201" i="2"/>
  <c r="AT2201" i="2"/>
  <c r="AR2201" i="2"/>
  <c r="AU2201" i="2"/>
  <c r="AQ2202" i="2"/>
  <c r="AS2202" i="2" l="1"/>
  <c r="AV2202" i="2"/>
  <c r="AQ2203" i="2"/>
  <c r="AU2202" i="2"/>
  <c r="AT2202" i="2"/>
  <c r="AR2202" i="2"/>
  <c r="AT2203" i="2" l="1"/>
  <c r="AS2203" i="2"/>
  <c r="AQ2204" i="2"/>
  <c r="AR2203" i="2"/>
  <c r="AU2203" i="2"/>
  <c r="AV2203" i="2"/>
  <c r="AU2204" i="2" l="1"/>
  <c r="AQ2205" i="2"/>
  <c r="AS2204" i="2"/>
  <c r="AV2204" i="2"/>
  <c r="AR2204" i="2"/>
  <c r="AT2204" i="2"/>
  <c r="AV2205" i="2" l="1"/>
  <c r="AU2205" i="2"/>
  <c r="AT2205" i="2"/>
  <c r="AS2205" i="2"/>
  <c r="AR2205" i="2"/>
  <c r="AQ2206" i="2"/>
  <c r="AT2206" i="2" l="1"/>
  <c r="AV2206" i="2"/>
  <c r="AU2206" i="2"/>
  <c r="AQ2207" i="2"/>
  <c r="AR2206" i="2"/>
  <c r="AS2206" i="2"/>
  <c r="AS2207" i="2" l="1"/>
  <c r="AT2207" i="2"/>
  <c r="AR2207" i="2"/>
  <c r="AU2207" i="2"/>
  <c r="AV2207" i="2"/>
  <c r="AQ2208" i="2"/>
  <c r="AU2208" i="2" l="1"/>
  <c r="AT2208" i="2"/>
  <c r="AV2208" i="2"/>
  <c r="AS2208" i="2"/>
  <c r="AR2208" i="2"/>
  <c r="AQ2209" i="2"/>
  <c r="AT2209" i="2" l="1"/>
  <c r="AU2209" i="2"/>
  <c r="AS2209" i="2"/>
  <c r="AQ2210" i="2"/>
  <c r="AR2209" i="2"/>
  <c r="AV2209" i="2"/>
  <c r="AT2210" i="2" l="1"/>
  <c r="AV2210" i="2"/>
  <c r="AU2210" i="2"/>
  <c r="AS2210" i="2"/>
  <c r="AQ2211" i="2"/>
  <c r="AR2210" i="2"/>
  <c r="AR2211" i="2" l="1"/>
  <c r="AV2211" i="2"/>
  <c r="AT2211" i="2"/>
  <c r="AS2211" i="2"/>
  <c r="AQ2212" i="2"/>
  <c r="AU2211" i="2"/>
  <c r="AR2212" i="2" l="1"/>
  <c r="AQ2213" i="2"/>
  <c r="AU2212" i="2"/>
  <c r="AS2212" i="2"/>
  <c r="AT2212" i="2"/>
  <c r="AV2212" i="2"/>
  <c r="AT2213" i="2" l="1"/>
  <c r="AR2213" i="2"/>
  <c r="AU2213" i="2"/>
  <c r="AS2213" i="2"/>
  <c r="AQ2214" i="2"/>
  <c r="AV2213" i="2"/>
  <c r="AQ2215" i="2" l="1"/>
  <c r="AR2214" i="2"/>
  <c r="AU2214" i="2"/>
  <c r="AT2214" i="2"/>
  <c r="AS2214" i="2"/>
  <c r="AV2214" i="2"/>
  <c r="AT2215" i="2" l="1"/>
  <c r="AS2215" i="2"/>
  <c r="AQ2216" i="2"/>
  <c r="AV2215" i="2"/>
  <c r="AU2215" i="2"/>
  <c r="AR2215" i="2"/>
  <c r="AR2216" i="2" l="1"/>
  <c r="AS2216" i="2"/>
  <c r="AV2216" i="2"/>
  <c r="AT2216" i="2"/>
  <c r="AU2216" i="2"/>
  <c r="AQ2217" i="2"/>
  <c r="AU2217" i="2" l="1"/>
  <c r="AR2217" i="2"/>
  <c r="AQ2218" i="2"/>
  <c r="AV2217" i="2"/>
  <c r="AS2217" i="2"/>
  <c r="AT2217" i="2"/>
  <c r="AV2218" i="2" l="1"/>
  <c r="AU2218" i="2"/>
  <c r="AQ2219" i="2"/>
  <c r="AS2218" i="2"/>
  <c r="AT2218" i="2"/>
  <c r="AR2218" i="2"/>
  <c r="AQ2220" i="2" l="1"/>
  <c r="AV2219" i="2"/>
  <c r="AT2219" i="2"/>
  <c r="AU2219" i="2"/>
  <c r="AR2219" i="2"/>
  <c r="AS2219" i="2"/>
  <c r="AT2220" i="2" l="1"/>
  <c r="AS2220" i="2"/>
  <c r="AQ2221" i="2"/>
  <c r="AV2220" i="2"/>
  <c r="AR2220" i="2"/>
  <c r="AU2220" i="2"/>
  <c r="AR2221" i="2" l="1"/>
  <c r="AV2221" i="2"/>
  <c r="AQ2222" i="2"/>
  <c r="AU2221" i="2"/>
  <c r="AT2221" i="2"/>
  <c r="AS2221" i="2"/>
  <c r="AV2222" i="2" l="1"/>
  <c r="AS2222" i="2"/>
  <c r="AU2222" i="2"/>
  <c r="AR2222" i="2"/>
  <c r="AT2222" i="2"/>
  <c r="AQ2223" i="2"/>
  <c r="AR2223" i="2" l="1"/>
  <c r="AU2223" i="2"/>
  <c r="AS2223" i="2"/>
  <c r="AV2223" i="2"/>
  <c r="AT2223" i="2"/>
  <c r="AQ2224" i="2"/>
  <c r="AT2224" i="2" l="1"/>
  <c r="AS2224" i="2"/>
  <c r="AV2224" i="2"/>
  <c r="AQ2225" i="2"/>
  <c r="AR2224" i="2"/>
  <c r="AU2224" i="2"/>
  <c r="AU2225" i="2" l="1"/>
  <c r="AT2225" i="2"/>
  <c r="AR2225" i="2"/>
  <c r="AV2225" i="2"/>
  <c r="AS2225" i="2"/>
  <c r="AQ2226" i="2"/>
  <c r="AT2226" i="2" l="1"/>
  <c r="AU2226" i="2"/>
  <c r="AS2226" i="2"/>
  <c r="AV2226" i="2"/>
  <c r="AQ2227" i="2"/>
  <c r="AR2226" i="2"/>
  <c r="AR2227" i="2" l="1"/>
  <c r="AS2227" i="2"/>
  <c r="AT2227" i="2"/>
  <c r="AV2227" i="2"/>
  <c r="AU2227" i="2"/>
  <c r="AQ2228" i="2"/>
  <c r="AS2228" i="2" l="1"/>
  <c r="AT2228" i="2"/>
  <c r="AR2228" i="2"/>
  <c r="AQ2229" i="2"/>
  <c r="AU2228" i="2"/>
  <c r="AV2228" i="2"/>
  <c r="AQ2230" i="2" l="1"/>
  <c r="AT2229" i="2"/>
  <c r="AR2229" i="2"/>
  <c r="AU2229" i="2"/>
  <c r="AS2229" i="2"/>
  <c r="AV2229" i="2"/>
  <c r="AV2230" i="2" l="1"/>
  <c r="AR2230" i="2"/>
  <c r="AU2230" i="2"/>
  <c r="AQ2231" i="2"/>
  <c r="AT2230" i="2"/>
  <c r="AS2230" i="2"/>
  <c r="AV2231" i="2" l="1"/>
  <c r="AS2231" i="2"/>
  <c r="AR2231" i="2"/>
  <c r="AU2231" i="2"/>
  <c r="AT2231" i="2"/>
  <c r="AQ2232" i="2"/>
  <c r="AQ2233" i="2" l="1"/>
  <c r="AR2232" i="2"/>
  <c r="AV2232" i="2"/>
  <c r="AT2232" i="2"/>
  <c r="AU2232" i="2"/>
  <c r="AS2232" i="2"/>
  <c r="AQ2234" i="2" l="1"/>
  <c r="AS2233" i="2"/>
  <c r="AU2233" i="2"/>
  <c r="AT2233" i="2"/>
  <c r="AV2233" i="2"/>
  <c r="AR2233" i="2"/>
  <c r="AU2234" i="2" l="1"/>
  <c r="AR2234" i="2"/>
  <c r="AS2234" i="2"/>
  <c r="AV2234" i="2"/>
  <c r="AT2234" i="2"/>
  <c r="AQ2235" i="2"/>
  <c r="AR2235" i="2" l="1"/>
  <c r="AQ2236" i="2"/>
  <c r="AS2235" i="2"/>
  <c r="AU2235" i="2"/>
  <c r="AV2235" i="2"/>
  <c r="AT2235" i="2"/>
  <c r="AU2236" i="2" l="1"/>
  <c r="AR2236" i="2"/>
  <c r="AQ2237" i="2"/>
  <c r="AS2236" i="2"/>
  <c r="AT2236" i="2"/>
  <c r="AV2236" i="2"/>
  <c r="AV2237" i="2" l="1"/>
  <c r="AS2237" i="2"/>
  <c r="AU2237" i="2"/>
  <c r="AR2237" i="2"/>
  <c r="AQ2238" i="2"/>
  <c r="AT2237" i="2"/>
  <c r="AT2238" i="2" l="1"/>
  <c r="AR2238" i="2"/>
  <c r="AV2238" i="2"/>
  <c r="AS2238" i="2"/>
  <c r="AQ2239" i="2"/>
  <c r="AU2238" i="2"/>
  <c r="AS2239" i="2" l="1"/>
  <c r="AR2239" i="2"/>
  <c r="AU2239" i="2"/>
  <c r="AV2239" i="2"/>
  <c r="AQ2240" i="2"/>
  <c r="AT2239" i="2"/>
  <c r="AV2240" i="2" l="1"/>
  <c r="AR2240" i="2"/>
  <c r="AS2240" i="2"/>
  <c r="AU2240" i="2"/>
  <c r="AT2240" i="2"/>
  <c r="AQ2241" i="2"/>
  <c r="AV2241" i="2" l="1"/>
  <c r="AS2241" i="2"/>
  <c r="AT2241" i="2"/>
  <c r="AR2241" i="2"/>
  <c r="AQ2242" i="2"/>
  <c r="AU2241" i="2"/>
  <c r="AR2242" i="2" l="1"/>
  <c r="AT2242" i="2"/>
  <c r="AS2242" i="2"/>
  <c r="AU2242" i="2"/>
  <c r="AQ2243" i="2"/>
  <c r="AV2242" i="2"/>
  <c r="AV2243" i="2" l="1"/>
  <c r="AU2243" i="2"/>
  <c r="AQ2244" i="2"/>
  <c r="AR2243" i="2"/>
  <c r="AT2243" i="2"/>
  <c r="AS2243" i="2"/>
  <c r="AV2244" i="2" l="1"/>
  <c r="AR2244" i="2"/>
  <c r="AQ2245" i="2"/>
  <c r="AT2244" i="2"/>
  <c r="AS2244" i="2"/>
  <c r="AU2244" i="2"/>
  <c r="AU2245" i="2" l="1"/>
  <c r="AV2245" i="2"/>
  <c r="AS2245" i="2"/>
  <c r="AT2245" i="2"/>
  <c r="AQ2246" i="2"/>
  <c r="AR2245" i="2"/>
  <c r="AU2246" i="2" l="1"/>
  <c r="AR2246" i="2"/>
  <c r="AS2246" i="2"/>
  <c r="AT2246" i="2"/>
  <c r="AQ2247" i="2"/>
  <c r="AV2246" i="2"/>
  <c r="AT2247" i="2" l="1"/>
  <c r="AV2247" i="2"/>
  <c r="AU2247" i="2"/>
  <c r="AS2247" i="2"/>
  <c r="AQ2248" i="2"/>
  <c r="AR2247" i="2"/>
  <c r="AU2248" i="2" l="1"/>
  <c r="AV2248" i="2"/>
  <c r="AS2248" i="2"/>
  <c r="AQ2249" i="2"/>
  <c r="AT2248" i="2"/>
  <c r="AR2248" i="2"/>
  <c r="AV2249" i="2" l="1"/>
  <c r="AR2249" i="2"/>
  <c r="AU2249" i="2"/>
  <c r="AT2249" i="2"/>
  <c r="AS2249" i="2"/>
  <c r="AQ2250" i="2"/>
  <c r="AV2250" i="2" l="1"/>
  <c r="AT2250" i="2"/>
  <c r="AQ2251" i="2"/>
  <c r="AS2250" i="2"/>
  <c r="AU2250" i="2"/>
  <c r="AR2250" i="2"/>
  <c r="AV2251" i="2" l="1"/>
  <c r="AT2251" i="2"/>
  <c r="AS2251" i="2"/>
  <c r="AR2251" i="2"/>
  <c r="AU2251" i="2"/>
  <c r="AQ2252" i="2"/>
  <c r="AS2252" i="2" l="1"/>
  <c r="AU2252" i="2"/>
  <c r="AV2252" i="2"/>
  <c r="AR2252" i="2"/>
  <c r="AT2252" i="2"/>
  <c r="AQ2253" i="2"/>
  <c r="AT2253" i="2" l="1"/>
  <c r="AS2253" i="2"/>
  <c r="AR2253" i="2"/>
  <c r="AU2253" i="2"/>
  <c r="AV2253" i="2"/>
  <c r="AQ2254" i="2"/>
  <c r="AQ2255" i="2" l="1"/>
  <c r="AS2254" i="2"/>
  <c r="AU2254" i="2"/>
  <c r="AT2254" i="2"/>
  <c r="AV2254" i="2"/>
  <c r="AR2254" i="2"/>
  <c r="AU2255" i="2" l="1"/>
  <c r="AR2255" i="2"/>
  <c r="AV2255" i="2"/>
  <c r="AQ2256" i="2"/>
  <c r="AT2255" i="2"/>
  <c r="AS2255" i="2"/>
  <c r="AR2256" i="2" l="1"/>
  <c r="AU2256" i="2"/>
  <c r="AQ2257" i="2"/>
  <c r="AS2256" i="2"/>
  <c r="AV2256" i="2"/>
  <c r="AT2256" i="2"/>
  <c r="AT2257" i="2" l="1"/>
  <c r="AV2257" i="2"/>
  <c r="AU2257" i="2"/>
  <c r="AS2257" i="2"/>
  <c r="AR2257" i="2"/>
  <c r="AQ2258" i="2"/>
  <c r="AT2258" i="2" l="1"/>
  <c r="AS2258" i="2"/>
  <c r="AQ2259" i="2"/>
  <c r="AU2258" i="2"/>
  <c r="AR2258" i="2"/>
  <c r="AV2258" i="2"/>
  <c r="AR2259" i="2" l="1"/>
  <c r="AS2259" i="2"/>
  <c r="AQ2260" i="2"/>
  <c r="AT2259" i="2"/>
  <c r="AV2259" i="2"/>
  <c r="AU2259" i="2"/>
  <c r="AT2260" i="2" l="1"/>
  <c r="AU2260" i="2"/>
  <c r="AV2260" i="2"/>
  <c r="AS2260" i="2"/>
  <c r="AR2260" i="2"/>
  <c r="AQ2261" i="2"/>
  <c r="AV2261" i="2" l="1"/>
  <c r="AR2261" i="2"/>
  <c r="AS2261" i="2"/>
  <c r="AU2261" i="2"/>
  <c r="AQ2262" i="2"/>
  <c r="AT2261" i="2"/>
  <c r="AU2262" i="2" l="1"/>
  <c r="AQ2263" i="2"/>
  <c r="AT2262" i="2"/>
  <c r="AS2262" i="2"/>
  <c r="AV2262" i="2"/>
  <c r="AR2262" i="2"/>
  <c r="AQ2264" i="2" l="1"/>
  <c r="AS2263" i="2"/>
  <c r="AR2263" i="2"/>
  <c r="AT2263" i="2"/>
  <c r="AV2263" i="2"/>
  <c r="AU2263" i="2"/>
  <c r="AS2264" i="2" l="1"/>
  <c r="AQ2265" i="2"/>
  <c r="AR2264" i="2"/>
  <c r="AV2264" i="2"/>
  <c r="AU2264" i="2"/>
  <c r="AT2264" i="2"/>
  <c r="AT2265" i="2" l="1"/>
  <c r="AR2265" i="2"/>
  <c r="AU2265" i="2"/>
  <c r="AQ2266" i="2"/>
  <c r="AS2265" i="2"/>
  <c r="AV2265" i="2"/>
  <c r="AR2266" i="2" l="1"/>
  <c r="AV2266" i="2"/>
  <c r="AS2266" i="2"/>
  <c r="AQ2267" i="2"/>
  <c r="AU2266" i="2"/>
  <c r="AT2266" i="2"/>
  <c r="AV2267" i="2" l="1"/>
  <c r="AR2267" i="2"/>
  <c r="AU2267" i="2"/>
  <c r="AS2267" i="2"/>
  <c r="AQ2268" i="2"/>
  <c r="AT2267" i="2"/>
  <c r="AS2268" i="2" l="1"/>
  <c r="AR2268" i="2"/>
  <c r="AV2268" i="2"/>
  <c r="AQ2269" i="2"/>
  <c r="AU2268" i="2"/>
  <c r="AT2268" i="2"/>
  <c r="AT2269" i="2" l="1"/>
  <c r="AQ2270" i="2"/>
  <c r="AS2269" i="2"/>
  <c r="AU2269" i="2"/>
  <c r="AV2269" i="2"/>
  <c r="AR2269" i="2"/>
  <c r="AQ2271" i="2" l="1"/>
  <c r="AT2270" i="2"/>
  <c r="AS2270" i="2"/>
  <c r="AV2270" i="2"/>
  <c r="AR2270" i="2"/>
  <c r="AU2270" i="2"/>
  <c r="AT2271" i="2" l="1"/>
  <c r="AQ2272" i="2"/>
  <c r="AR2271" i="2"/>
  <c r="AV2271" i="2"/>
  <c r="AS2271" i="2"/>
  <c r="AU2271" i="2"/>
  <c r="AU2272" i="2" l="1"/>
  <c r="AR2272" i="2"/>
  <c r="AQ2273" i="2"/>
  <c r="AV2272" i="2"/>
  <c r="AS2272" i="2"/>
  <c r="AT2272" i="2"/>
  <c r="AQ2274" i="2" l="1"/>
  <c r="AS2273" i="2"/>
  <c r="AT2273" i="2"/>
  <c r="AV2273" i="2"/>
  <c r="AU2273" i="2"/>
  <c r="AR2273" i="2"/>
  <c r="AR2274" i="2" l="1"/>
  <c r="AS2274" i="2"/>
  <c r="AT2274" i="2"/>
  <c r="AV2274" i="2"/>
  <c r="AQ2275" i="2"/>
  <c r="AU2274" i="2"/>
  <c r="AS2275" i="2" l="1"/>
  <c r="AT2275" i="2"/>
  <c r="AQ2276" i="2"/>
  <c r="AV2275" i="2"/>
  <c r="AR2275" i="2"/>
  <c r="AU2275" i="2"/>
  <c r="AT2276" i="2" l="1"/>
  <c r="AR2276" i="2"/>
  <c r="AV2276" i="2"/>
  <c r="AQ2277" i="2"/>
  <c r="AS2276" i="2"/>
  <c r="AU2276" i="2"/>
  <c r="AQ2278" i="2" l="1"/>
  <c r="AV2277" i="2"/>
  <c r="AS2277" i="2"/>
  <c r="AU2277" i="2"/>
  <c r="AR2277" i="2"/>
  <c r="AT2277" i="2"/>
  <c r="AV2278" i="2" l="1"/>
  <c r="AS2278" i="2"/>
  <c r="AR2278" i="2"/>
  <c r="AT2278" i="2"/>
  <c r="AQ2279" i="2"/>
  <c r="AU2278" i="2"/>
  <c r="AS2279" i="2" l="1"/>
  <c r="AR2279" i="2"/>
  <c r="AQ2280" i="2"/>
  <c r="AT2279" i="2"/>
  <c r="AV2279" i="2"/>
  <c r="AU2279" i="2"/>
  <c r="AQ2281" i="2" l="1"/>
  <c r="AV2280" i="2"/>
  <c r="AU2280" i="2"/>
  <c r="AS2280" i="2"/>
  <c r="AR2280" i="2"/>
  <c r="AT2280" i="2"/>
  <c r="AQ2282" i="2" l="1"/>
  <c r="AS2281" i="2"/>
  <c r="AT2281" i="2"/>
  <c r="AU2281" i="2"/>
  <c r="AR2281" i="2"/>
  <c r="AV2281" i="2"/>
  <c r="AQ2283" i="2" l="1"/>
  <c r="AV2282" i="2"/>
  <c r="AR2282" i="2"/>
  <c r="AU2282" i="2"/>
  <c r="AS2282" i="2"/>
  <c r="AT2282" i="2"/>
  <c r="AR2283" i="2" l="1"/>
  <c r="AU2283" i="2"/>
  <c r="AS2283" i="2"/>
  <c r="AQ2284" i="2"/>
  <c r="AV2283" i="2"/>
  <c r="AT2283" i="2"/>
  <c r="AQ2285" i="2" l="1"/>
  <c r="AU2284" i="2"/>
  <c r="AS2284" i="2"/>
  <c r="AT2284" i="2"/>
  <c r="AR2284" i="2"/>
  <c r="AV2284" i="2"/>
  <c r="AQ2286" i="2" l="1"/>
  <c r="AS2285" i="2"/>
  <c r="AR2285" i="2"/>
  <c r="AU2285" i="2"/>
  <c r="AV2285" i="2"/>
  <c r="AT2285" i="2"/>
  <c r="AV2286" i="2" l="1"/>
  <c r="AU2286" i="2"/>
  <c r="AR2286" i="2"/>
  <c r="AQ2287" i="2"/>
  <c r="AT2286" i="2"/>
  <c r="AS2286" i="2"/>
  <c r="AV2287" i="2" l="1"/>
  <c r="AQ2288" i="2"/>
  <c r="AS2287" i="2"/>
  <c r="AR2287" i="2"/>
  <c r="AT2287" i="2"/>
  <c r="AU2287" i="2"/>
  <c r="AT2288" i="2" l="1"/>
  <c r="AV2288" i="2"/>
  <c r="AU2288" i="2"/>
  <c r="AR2288" i="2"/>
  <c r="AS2288" i="2"/>
  <c r="AQ2289" i="2"/>
  <c r="AS2289" i="2" l="1"/>
  <c r="AT2289" i="2"/>
  <c r="AU2289" i="2"/>
  <c r="AV2289" i="2"/>
  <c r="AR2289" i="2"/>
  <c r="AQ2290" i="2"/>
  <c r="AQ2291" i="2" l="1"/>
  <c r="AT2290" i="2"/>
  <c r="AU2290" i="2"/>
  <c r="AR2290" i="2"/>
  <c r="AV2290" i="2"/>
  <c r="AS2290" i="2"/>
  <c r="AR2291" i="2" l="1"/>
  <c r="AV2291" i="2"/>
  <c r="AS2291" i="2"/>
  <c r="AT2291" i="2"/>
  <c r="AQ2292" i="2"/>
  <c r="AU2291" i="2"/>
  <c r="AT2292" i="2" l="1"/>
  <c r="AU2292" i="2"/>
  <c r="AV2292" i="2"/>
  <c r="AS2292" i="2"/>
  <c r="AQ2293" i="2"/>
  <c r="AR2292" i="2"/>
  <c r="AQ2294" i="2" l="1"/>
  <c r="AT2293" i="2"/>
  <c r="AU2293" i="2"/>
  <c r="AS2293" i="2"/>
  <c r="AV2293" i="2"/>
  <c r="AR2293" i="2"/>
  <c r="AR2294" i="2" l="1"/>
  <c r="AU2294" i="2"/>
  <c r="AV2294" i="2"/>
  <c r="AS2294" i="2"/>
  <c r="AT2294" i="2"/>
  <c r="AQ2295" i="2"/>
  <c r="AS2295" i="2" l="1"/>
  <c r="AV2295" i="2"/>
  <c r="AQ2296" i="2"/>
  <c r="AR2295" i="2"/>
  <c r="AU2295" i="2"/>
  <c r="AT2295" i="2"/>
  <c r="AU2296" i="2" l="1"/>
  <c r="AT2296" i="2"/>
  <c r="AQ2297" i="2"/>
  <c r="AS2296" i="2"/>
  <c r="AV2296" i="2"/>
  <c r="AR2296" i="2"/>
  <c r="AT2297" i="2" l="1"/>
  <c r="AV2297" i="2"/>
  <c r="AU2297" i="2"/>
  <c r="AS2297" i="2"/>
  <c r="AQ2298" i="2"/>
  <c r="AR2297" i="2"/>
  <c r="AU2298" i="2" l="1"/>
  <c r="AQ2299" i="2"/>
  <c r="AT2298" i="2"/>
  <c r="AV2298" i="2"/>
  <c r="AS2298" i="2"/>
  <c r="AR2298" i="2"/>
  <c r="AS2299" i="2" l="1"/>
  <c r="AV2299" i="2"/>
  <c r="AT2299" i="2"/>
  <c r="AU2299" i="2"/>
  <c r="AQ2300" i="2"/>
  <c r="AR2299" i="2"/>
  <c r="AV2300" i="2" l="1"/>
  <c r="AU2300" i="2"/>
  <c r="AQ2301" i="2"/>
  <c r="AS2300" i="2"/>
  <c r="AR2300" i="2"/>
  <c r="AT2300" i="2"/>
  <c r="AS2301" i="2" l="1"/>
  <c r="AT2301" i="2"/>
  <c r="AU2301" i="2"/>
  <c r="AR2301" i="2"/>
  <c r="AQ2302" i="2"/>
  <c r="AV2301" i="2"/>
  <c r="AT2302" i="2" l="1"/>
  <c r="AS2302" i="2"/>
  <c r="AR2302" i="2"/>
  <c r="AQ2303" i="2"/>
  <c r="AV2302" i="2"/>
  <c r="AU2302" i="2"/>
  <c r="AS2303" i="2" l="1"/>
  <c r="AQ2304" i="2"/>
  <c r="AT2303" i="2"/>
  <c r="AR2303" i="2"/>
  <c r="AV2303" i="2"/>
  <c r="AU2303" i="2"/>
  <c r="AS2304" i="2" l="1"/>
  <c r="AQ2305" i="2"/>
  <c r="AV2304" i="2"/>
  <c r="AU2304" i="2"/>
  <c r="AR2304" i="2"/>
  <c r="AT2304" i="2"/>
  <c r="AV2305" i="2" l="1"/>
  <c r="AQ2306" i="2"/>
  <c r="AU2305" i="2"/>
  <c r="AT2305" i="2"/>
  <c r="AS2305" i="2"/>
  <c r="AR2305" i="2"/>
  <c r="AR2306" i="2" l="1"/>
  <c r="AT2306" i="2"/>
  <c r="AS2306" i="2"/>
  <c r="AU2306" i="2"/>
  <c r="AV2306" i="2"/>
  <c r="AQ2307" i="2"/>
  <c r="AU2307" i="2" l="1"/>
  <c r="AV2307" i="2"/>
  <c r="AS2307" i="2"/>
  <c r="AR2307" i="2"/>
  <c r="AT2307" i="2"/>
  <c r="AQ2308" i="2"/>
  <c r="AT2308" i="2" l="1"/>
  <c r="AV2308" i="2"/>
  <c r="AR2308" i="2"/>
  <c r="AQ2309" i="2"/>
  <c r="AU2308" i="2"/>
  <c r="AS2308" i="2"/>
  <c r="AR2309" i="2" l="1"/>
  <c r="AT2309" i="2"/>
  <c r="AQ2310" i="2"/>
  <c r="AS2309" i="2"/>
  <c r="AV2309" i="2"/>
  <c r="AU2309" i="2"/>
  <c r="AV2310" i="2" l="1"/>
  <c r="AR2310" i="2"/>
  <c r="AS2310" i="2"/>
  <c r="AT2310" i="2"/>
  <c r="AU2310" i="2"/>
  <c r="AQ2311" i="2"/>
  <c r="AS2311" i="2" l="1"/>
  <c r="AQ2312" i="2"/>
  <c r="AT2311" i="2"/>
  <c r="AR2311" i="2"/>
  <c r="AV2311" i="2"/>
  <c r="AU2311" i="2"/>
  <c r="AR2312" i="2" l="1"/>
  <c r="AQ2313" i="2"/>
  <c r="AU2312" i="2"/>
  <c r="AV2312" i="2"/>
  <c r="AS2312" i="2"/>
  <c r="AT2312" i="2"/>
  <c r="AV2313" i="2" l="1"/>
  <c r="AQ2314" i="2"/>
  <c r="AR2313" i="2"/>
  <c r="AS2313" i="2"/>
  <c r="AU2313" i="2"/>
  <c r="AT2313" i="2"/>
  <c r="AQ2315" i="2" l="1"/>
  <c r="AR2314" i="2"/>
  <c r="AT2314" i="2"/>
  <c r="AV2314" i="2"/>
  <c r="AS2314" i="2"/>
  <c r="AU2314" i="2"/>
  <c r="AQ2316" i="2" l="1"/>
  <c r="AR2315" i="2"/>
  <c r="AV2315" i="2"/>
  <c r="AT2315" i="2"/>
  <c r="AS2315" i="2"/>
  <c r="AU2315" i="2"/>
  <c r="AR2316" i="2" l="1"/>
  <c r="AQ2317" i="2"/>
  <c r="AS2316" i="2"/>
  <c r="AU2316" i="2"/>
  <c r="AV2316" i="2"/>
  <c r="AT2316" i="2"/>
  <c r="AQ2318" i="2" l="1"/>
  <c r="AR2317" i="2"/>
  <c r="AT2317" i="2"/>
  <c r="AV2317" i="2"/>
  <c r="AU2317" i="2"/>
  <c r="AS2317" i="2"/>
  <c r="AS2318" i="2" l="1"/>
  <c r="AT2318" i="2"/>
  <c r="AR2318" i="2"/>
  <c r="AU2318" i="2"/>
  <c r="AV2318" i="2"/>
  <c r="AQ2319" i="2"/>
  <c r="AQ2320" i="2" l="1"/>
  <c r="AR2319" i="2"/>
  <c r="AS2319" i="2"/>
  <c r="AT2319" i="2"/>
  <c r="AV2319" i="2"/>
  <c r="AU2319" i="2"/>
  <c r="AV2320" i="2" l="1"/>
  <c r="AQ2321" i="2"/>
  <c r="AT2320" i="2"/>
  <c r="AS2320" i="2"/>
  <c r="AU2320" i="2"/>
  <c r="AR2320" i="2"/>
  <c r="AQ2322" i="2" l="1"/>
  <c r="AU2321" i="2"/>
  <c r="AS2321" i="2"/>
  <c r="AT2321" i="2"/>
  <c r="AR2321" i="2"/>
  <c r="AV2321" i="2"/>
  <c r="AS2322" i="2" l="1"/>
  <c r="AQ2323" i="2"/>
  <c r="AR2322" i="2"/>
  <c r="AT2322" i="2"/>
  <c r="AV2322" i="2"/>
  <c r="AU2322" i="2"/>
  <c r="AR2323" i="2" l="1"/>
  <c r="AT2323" i="2"/>
  <c r="AS2323" i="2"/>
  <c r="AQ2324" i="2"/>
  <c r="AV2323" i="2"/>
  <c r="AU2323" i="2"/>
  <c r="AV2324" i="2" l="1"/>
  <c r="AU2324" i="2"/>
  <c r="AR2324" i="2"/>
  <c r="AT2324" i="2"/>
  <c r="AS2324" i="2"/>
  <c r="AQ2325" i="2"/>
  <c r="AS2325" i="2" l="1"/>
  <c r="AQ2326" i="2"/>
  <c r="AR2325" i="2"/>
  <c r="AV2325" i="2"/>
  <c r="AU2325" i="2"/>
  <c r="AT2325" i="2"/>
  <c r="AQ2327" i="2" l="1"/>
  <c r="AR2326" i="2"/>
  <c r="AT2326" i="2"/>
  <c r="AS2326" i="2"/>
  <c r="AV2326" i="2"/>
  <c r="AU2326" i="2"/>
  <c r="AV2327" i="2" l="1"/>
  <c r="AQ2328" i="2"/>
  <c r="AR2327" i="2"/>
  <c r="AU2327" i="2"/>
  <c r="AS2327" i="2"/>
  <c r="AT2327" i="2"/>
  <c r="AS2328" i="2" l="1"/>
  <c r="AT2328" i="2"/>
  <c r="AU2328" i="2"/>
  <c r="AV2328" i="2"/>
  <c r="AQ2329" i="2"/>
  <c r="AR2328" i="2"/>
  <c r="AV2329" i="2" l="1"/>
  <c r="AR2329" i="2"/>
  <c r="AT2329" i="2"/>
  <c r="AU2329" i="2"/>
  <c r="AQ2330" i="2"/>
  <c r="AS2329" i="2"/>
  <c r="AU2330" i="2" l="1"/>
  <c r="AR2330" i="2"/>
  <c r="AQ2331" i="2"/>
  <c r="AS2330" i="2"/>
  <c r="AT2330" i="2"/>
  <c r="AV2330" i="2"/>
  <c r="AV2331" i="2" l="1"/>
  <c r="AR2331" i="2"/>
  <c r="AQ2332" i="2"/>
  <c r="AT2331" i="2"/>
  <c r="AU2331" i="2"/>
  <c r="AS2331" i="2"/>
  <c r="AU2332" i="2" l="1"/>
  <c r="AT2332" i="2"/>
  <c r="AR2332" i="2"/>
  <c r="AQ2333" i="2"/>
  <c r="AV2332" i="2"/>
  <c r="AS2332" i="2"/>
  <c r="AS2333" i="2" l="1"/>
  <c r="AV2333" i="2"/>
  <c r="AT2333" i="2"/>
  <c r="AU2333" i="2"/>
  <c r="AR2333" i="2"/>
  <c r="AQ2334" i="2"/>
  <c r="AT2334" i="2" l="1"/>
  <c r="AV2334" i="2"/>
  <c r="AR2334" i="2"/>
  <c r="AQ2335" i="2"/>
  <c r="AS2334" i="2"/>
  <c r="AU2334" i="2"/>
  <c r="AS2335" i="2" l="1"/>
  <c r="AQ2336" i="2"/>
  <c r="AT2335" i="2"/>
  <c r="AV2335" i="2"/>
  <c r="AR2335" i="2"/>
  <c r="AU2335" i="2"/>
  <c r="AQ2337" i="2" l="1"/>
  <c r="AT2336" i="2"/>
  <c r="AV2336" i="2"/>
  <c r="AU2336" i="2"/>
  <c r="AS2336" i="2"/>
  <c r="AR2336" i="2"/>
  <c r="AU2337" i="2" l="1"/>
  <c r="AR2337" i="2"/>
  <c r="AS2337" i="2"/>
  <c r="AQ2338" i="2"/>
  <c r="AV2337" i="2"/>
  <c r="AT2337" i="2"/>
  <c r="AU2338" i="2" l="1"/>
  <c r="AS2338" i="2"/>
  <c r="AV2338" i="2"/>
  <c r="AQ2339" i="2"/>
  <c r="AT2338" i="2"/>
  <c r="AR2338" i="2"/>
  <c r="AT2339" i="2" l="1"/>
  <c r="AQ2340" i="2"/>
  <c r="AS2339" i="2"/>
  <c r="AR2339" i="2"/>
  <c r="AV2339" i="2"/>
  <c r="AU2339" i="2"/>
  <c r="AV2340" i="2" l="1"/>
  <c r="AQ2341" i="2"/>
  <c r="AU2340" i="2"/>
  <c r="AR2340" i="2"/>
  <c r="AT2340" i="2"/>
  <c r="AS2340" i="2"/>
  <c r="AU2341" i="2" l="1"/>
  <c r="AV2341" i="2"/>
  <c r="AT2341" i="2"/>
  <c r="AR2341" i="2"/>
  <c r="AQ2342" i="2"/>
  <c r="AS2341" i="2"/>
  <c r="AU2342" i="2" l="1"/>
  <c r="AT2342" i="2"/>
  <c r="AR2342" i="2"/>
  <c r="AS2342" i="2"/>
  <c r="AQ2343" i="2"/>
  <c r="AV2342" i="2"/>
  <c r="AV2343" i="2" l="1"/>
  <c r="AR2343" i="2"/>
  <c r="AQ2344" i="2"/>
  <c r="AS2343" i="2"/>
  <c r="AT2343" i="2"/>
  <c r="AU2343" i="2"/>
  <c r="AQ2345" i="2" l="1"/>
  <c r="AT2344" i="2"/>
  <c r="AV2344" i="2"/>
  <c r="AR2344" i="2"/>
  <c r="AS2344" i="2"/>
  <c r="AU2344" i="2"/>
  <c r="AU2345" i="2" l="1"/>
  <c r="AV2345" i="2"/>
  <c r="AQ2346" i="2"/>
  <c r="AS2345" i="2"/>
  <c r="AT2345" i="2"/>
  <c r="AR2345" i="2"/>
  <c r="AQ2347" i="2" l="1"/>
  <c r="AU2346" i="2"/>
  <c r="AV2346" i="2"/>
  <c r="AT2346" i="2"/>
  <c r="AS2346" i="2"/>
  <c r="AR2346" i="2"/>
  <c r="AR2347" i="2" l="1"/>
  <c r="AU2347" i="2"/>
  <c r="AS2347" i="2"/>
  <c r="AT2347" i="2"/>
  <c r="AQ2348" i="2"/>
  <c r="AV2347" i="2"/>
  <c r="AS2348" i="2" l="1"/>
  <c r="AQ2349" i="2"/>
  <c r="AR2348" i="2"/>
  <c r="AV2348" i="2"/>
  <c r="AU2348" i="2"/>
  <c r="AT2348" i="2"/>
  <c r="AS2349" i="2" l="1"/>
  <c r="AQ2350" i="2"/>
  <c r="AR2349" i="2"/>
  <c r="AU2349" i="2"/>
  <c r="AV2349" i="2"/>
  <c r="AT2349" i="2"/>
  <c r="AV2350" i="2" l="1"/>
  <c r="AQ2351" i="2"/>
  <c r="AR2350" i="2"/>
  <c r="AT2350" i="2"/>
  <c r="AS2350" i="2"/>
  <c r="AU2350" i="2"/>
  <c r="AT2351" i="2" l="1"/>
  <c r="AV2351" i="2"/>
  <c r="AS2351" i="2"/>
  <c r="AU2351" i="2"/>
  <c r="AQ2352" i="2"/>
  <c r="AR2351" i="2"/>
  <c r="AV2352" i="2" l="1"/>
  <c r="AQ2353" i="2"/>
  <c r="AR2352" i="2"/>
  <c r="AS2352" i="2"/>
  <c r="AU2352" i="2"/>
  <c r="AT2352" i="2"/>
  <c r="AU2353" i="2" l="1"/>
  <c r="AT2353" i="2"/>
  <c r="AQ2354" i="2"/>
  <c r="AR2353" i="2"/>
  <c r="AV2353" i="2"/>
  <c r="AS2353" i="2"/>
  <c r="AV2354" i="2" l="1"/>
  <c r="AU2354" i="2"/>
  <c r="AR2354" i="2"/>
  <c r="AQ2355" i="2"/>
  <c r="AS2354" i="2"/>
  <c r="AT2354" i="2"/>
  <c r="AS2355" i="2" l="1"/>
  <c r="AV2355" i="2"/>
  <c r="AQ2356" i="2"/>
  <c r="AU2355" i="2"/>
  <c r="AT2355" i="2"/>
  <c r="AR2355" i="2"/>
  <c r="AU2356" i="2" l="1"/>
  <c r="AQ2357" i="2"/>
  <c r="AR2356" i="2"/>
  <c r="AV2356" i="2"/>
  <c r="AT2356" i="2"/>
  <c r="AS2356" i="2"/>
  <c r="AV2357" i="2" l="1"/>
  <c r="AR2357" i="2"/>
  <c r="AT2357" i="2"/>
  <c r="AS2357" i="2"/>
  <c r="AU2357" i="2"/>
  <c r="AQ2358" i="2"/>
  <c r="AU2358" i="2" l="1"/>
  <c r="AS2358" i="2"/>
  <c r="AV2358" i="2"/>
  <c r="AQ2359" i="2"/>
  <c r="AR2358" i="2"/>
  <c r="AT2358" i="2"/>
  <c r="AV2359" i="2" l="1"/>
  <c r="AU2359" i="2"/>
  <c r="AQ2360" i="2"/>
  <c r="AS2359" i="2"/>
  <c r="AR2359" i="2"/>
  <c r="AT2359" i="2"/>
  <c r="AT2360" i="2" l="1"/>
  <c r="AV2360" i="2"/>
  <c r="AU2360" i="2"/>
  <c r="AS2360" i="2"/>
  <c r="AR2360" i="2"/>
  <c r="AQ2361" i="2"/>
  <c r="AR2361" i="2" l="1"/>
  <c r="AS2361" i="2"/>
  <c r="AU2361" i="2"/>
  <c r="AQ2362" i="2"/>
  <c r="AT2361" i="2"/>
  <c r="AV2361" i="2"/>
  <c r="AT2362" i="2" l="1"/>
  <c r="AU2362" i="2"/>
  <c r="AV2362" i="2"/>
  <c r="AQ2363" i="2"/>
  <c r="AS2362" i="2"/>
  <c r="AR2362" i="2"/>
  <c r="AQ2364" i="2" l="1"/>
  <c r="AU2363" i="2"/>
  <c r="AV2363" i="2"/>
  <c r="AR2363" i="2"/>
  <c r="AS2363" i="2"/>
  <c r="AT2363" i="2"/>
  <c r="AT2364" i="2" l="1"/>
  <c r="AS2364" i="2"/>
  <c r="AQ2365" i="2"/>
  <c r="AV2364" i="2"/>
  <c r="AR2364" i="2"/>
  <c r="AU2364" i="2"/>
  <c r="AS2365" i="2" l="1"/>
  <c r="AR2365" i="2"/>
  <c r="AT2365" i="2"/>
  <c r="AU2365" i="2"/>
  <c r="AV2365" i="2"/>
  <c r="AQ2366" i="2"/>
  <c r="AV2366" i="2" l="1"/>
  <c r="AT2366" i="2"/>
  <c r="AU2366" i="2"/>
  <c r="AS2366" i="2"/>
  <c r="AR2366" i="2"/>
  <c r="AQ2367" i="2"/>
  <c r="AT2367" i="2" l="1"/>
  <c r="AV2367" i="2"/>
  <c r="AQ2368" i="2"/>
  <c r="AR2367" i="2"/>
  <c r="AU2367" i="2"/>
  <c r="AS2367" i="2"/>
  <c r="AU2368" i="2" l="1"/>
  <c r="AR2368" i="2"/>
  <c r="AS2368" i="2"/>
  <c r="AT2368" i="2"/>
  <c r="AV2368" i="2"/>
  <c r="AQ2369" i="2"/>
  <c r="AT2369" i="2" l="1"/>
  <c r="AQ2370" i="2"/>
  <c r="AR2369" i="2"/>
  <c r="AV2369" i="2"/>
  <c r="AU2369" i="2"/>
  <c r="AS2369" i="2"/>
  <c r="AT2370" i="2" l="1"/>
  <c r="AV2370" i="2"/>
  <c r="AQ2371" i="2"/>
  <c r="AR2370" i="2"/>
  <c r="AS2370" i="2"/>
  <c r="AU2370" i="2"/>
  <c r="AS2371" i="2" l="1"/>
  <c r="AU2371" i="2"/>
  <c r="AR2371" i="2"/>
  <c r="AV2371" i="2"/>
  <c r="AQ2372" i="2"/>
  <c r="AT2371" i="2"/>
  <c r="AR2372" i="2" l="1"/>
  <c r="AQ2373" i="2"/>
  <c r="AU2372" i="2"/>
  <c r="AS2372" i="2"/>
  <c r="AV2372" i="2"/>
  <c r="AT2372" i="2"/>
  <c r="AU2373" i="2" l="1"/>
  <c r="AR2373" i="2"/>
  <c r="AS2373" i="2"/>
  <c r="AQ2374" i="2"/>
  <c r="AV2373" i="2"/>
  <c r="AT2373" i="2"/>
  <c r="AT2374" i="2" l="1"/>
  <c r="AV2374" i="2"/>
  <c r="AS2374" i="2"/>
  <c r="AU2374" i="2"/>
  <c r="AQ2375" i="2"/>
  <c r="AR2374" i="2"/>
  <c r="AU2375" i="2" l="1"/>
  <c r="AS2375" i="2"/>
  <c r="AR2375" i="2"/>
  <c r="AQ2376" i="2"/>
  <c r="AV2375" i="2"/>
  <c r="AT2375" i="2"/>
  <c r="AV2376" i="2" l="1"/>
  <c r="AT2376" i="2"/>
  <c r="AU2376" i="2"/>
  <c r="AS2376" i="2"/>
  <c r="AR2376" i="2"/>
  <c r="AQ2377" i="2"/>
  <c r="AV2377" i="2" l="1"/>
  <c r="AS2377" i="2"/>
  <c r="AQ2378" i="2"/>
  <c r="AR2377" i="2"/>
  <c r="AU2377" i="2"/>
  <c r="AT2377" i="2"/>
  <c r="AT2378" i="2" l="1"/>
  <c r="AV2378" i="2"/>
  <c r="AU2378" i="2"/>
  <c r="AQ2379" i="2"/>
  <c r="AR2378" i="2"/>
  <c r="AS2378" i="2"/>
  <c r="AR2379" i="2" l="1"/>
  <c r="AV2379" i="2"/>
  <c r="AS2379" i="2"/>
  <c r="AT2379" i="2"/>
  <c r="AU2379" i="2"/>
  <c r="AQ2380" i="2"/>
  <c r="AQ2381" i="2" l="1"/>
  <c r="AU2380" i="2"/>
  <c r="AR2380" i="2"/>
  <c r="AV2380" i="2"/>
  <c r="AS2380" i="2"/>
  <c r="AT2380" i="2"/>
  <c r="AR2381" i="2" l="1"/>
  <c r="AU2381" i="2"/>
  <c r="AT2381" i="2"/>
  <c r="AS2381" i="2"/>
  <c r="AV2381" i="2"/>
  <c r="AQ2382" i="2"/>
  <c r="AV2382" i="2" l="1"/>
  <c r="AR2382" i="2"/>
  <c r="AU2382" i="2"/>
  <c r="AT2382" i="2"/>
  <c r="AS2382" i="2"/>
  <c r="AQ2383" i="2"/>
  <c r="AS2383" i="2" l="1"/>
  <c r="AV2383" i="2"/>
  <c r="AR2383" i="2"/>
  <c r="AT2383" i="2"/>
  <c r="AQ2384" i="2"/>
  <c r="AU2383" i="2"/>
  <c r="AU2384" i="2" l="1"/>
  <c r="AR2384" i="2"/>
  <c r="AV2384" i="2"/>
  <c r="AS2384" i="2"/>
  <c r="AQ2385" i="2"/>
  <c r="AT2384" i="2"/>
  <c r="AV2385" i="2" l="1"/>
  <c r="AR2385" i="2"/>
  <c r="AT2385" i="2"/>
  <c r="AQ2386" i="2"/>
  <c r="AS2385" i="2"/>
  <c r="AU2385" i="2"/>
  <c r="AR2386" i="2" l="1"/>
  <c r="AQ2387" i="2"/>
  <c r="AU2386" i="2"/>
  <c r="AV2386" i="2"/>
  <c r="AS2386" i="2"/>
  <c r="AT2386" i="2"/>
  <c r="AS2387" i="2" l="1"/>
  <c r="AV2387" i="2"/>
  <c r="AT2387" i="2"/>
  <c r="AQ2388" i="2"/>
  <c r="AR2387" i="2"/>
  <c r="AU2387" i="2"/>
  <c r="AR2388" i="2" l="1"/>
  <c r="AU2388" i="2"/>
  <c r="AV2388" i="2"/>
  <c r="AT2388" i="2"/>
  <c r="AQ2389" i="2"/>
  <c r="AS2388" i="2"/>
  <c r="AV2389" i="2" l="1"/>
  <c r="AS2389" i="2"/>
  <c r="AR2389" i="2"/>
  <c r="AQ2390" i="2"/>
  <c r="AT2389" i="2"/>
  <c r="AU2389" i="2"/>
  <c r="AS2390" i="2" l="1"/>
  <c r="AU2390" i="2"/>
  <c r="AT2390" i="2"/>
  <c r="AQ2391" i="2"/>
  <c r="AR2390" i="2"/>
  <c r="AV2390" i="2"/>
  <c r="AU2391" i="2" l="1"/>
  <c r="AV2391" i="2"/>
  <c r="AS2391" i="2"/>
  <c r="AT2391" i="2"/>
  <c r="AQ2392" i="2"/>
  <c r="AR2391" i="2"/>
  <c r="AR2392" i="2" l="1"/>
  <c r="AU2392" i="2"/>
  <c r="AQ2393" i="2"/>
  <c r="AV2392" i="2"/>
  <c r="AT2392" i="2"/>
  <c r="AS2392" i="2"/>
  <c r="AQ2394" i="2" l="1"/>
  <c r="AT2393" i="2"/>
  <c r="AV2393" i="2"/>
  <c r="AS2393" i="2"/>
  <c r="AR2393" i="2"/>
  <c r="AU2393" i="2"/>
  <c r="AQ2395" i="2" l="1"/>
  <c r="AV2394" i="2"/>
  <c r="AS2394" i="2"/>
  <c r="AR2394" i="2"/>
  <c r="AT2394" i="2"/>
  <c r="AU2394" i="2"/>
  <c r="AT2395" i="2" l="1"/>
  <c r="AU2395" i="2"/>
  <c r="AR2395" i="2"/>
  <c r="AS2395" i="2"/>
  <c r="AV2395" i="2"/>
  <c r="AQ2396" i="2"/>
  <c r="AS2396" i="2" l="1"/>
  <c r="AQ2397" i="2"/>
  <c r="AT2396" i="2"/>
  <c r="AR2396" i="2"/>
  <c r="AU2396" i="2"/>
  <c r="AV2396" i="2"/>
  <c r="AS2397" i="2" l="1"/>
  <c r="AV2397" i="2"/>
  <c r="AQ2398" i="2"/>
  <c r="AT2397" i="2"/>
  <c r="AU2397" i="2"/>
  <c r="AR2397" i="2"/>
  <c r="AV2398" i="2" l="1"/>
  <c r="AQ2399" i="2"/>
  <c r="AR2398" i="2"/>
  <c r="AU2398" i="2"/>
  <c r="AS2398" i="2"/>
  <c r="AT2398" i="2"/>
  <c r="AV2399" i="2" l="1"/>
  <c r="AU2399" i="2"/>
  <c r="AQ2400" i="2"/>
  <c r="AT2399" i="2"/>
  <c r="AR2399" i="2"/>
  <c r="AS2399" i="2"/>
  <c r="AV2400" i="2" l="1"/>
  <c r="AT2400" i="2"/>
  <c r="AR2400" i="2"/>
  <c r="AX3" i="2" s="1"/>
  <c r="AS2400" i="2"/>
  <c r="AU2400" i="2"/>
  <c r="M4" i="2"/>
  <c r="AU29" i="2" s="1"/>
  <c r="AV29" i="2" s="1"/>
  <c r="BC5" i="2"/>
  <c r="BD6" i="2"/>
  <c r="BD8" i="2"/>
  <c r="BD3" i="2"/>
  <c r="BC10" i="2"/>
  <c r="BD5" i="2"/>
  <c r="BD10" i="2"/>
  <c r="BC4" i="2"/>
  <c r="BC3" i="2"/>
  <c r="BC9" i="2"/>
  <c r="BC7" i="2"/>
  <c r="BD4" i="2"/>
  <c r="BC6" i="2"/>
  <c r="BD9" i="2"/>
  <c r="BD7" i="2"/>
  <c r="M137" i="2"/>
  <c r="AU394" i="2" s="1"/>
  <c r="AV394" i="2" s="1"/>
  <c r="M244" i="2"/>
  <c r="AU759" i="2" s="1"/>
  <c r="AV759" i="2" s="1"/>
  <c r="BC8" i="2"/>
  <c r="D3" i="5" a="1"/>
  <c r="O3" i="5" a="1"/>
  <c r="F3" i="5" a="1"/>
  <c r="T3" i="5" a="1"/>
  <c r="I3" i="5" a="1"/>
  <c r="R3" i="5" a="1"/>
  <c r="E3" i="5" a="1"/>
  <c r="C3" i="5" a="1"/>
  <c r="P3" i="5" a="1"/>
  <c r="Q3" i="5" a="1"/>
  <c r="J3" i="5" a="1"/>
  <c r="G3" i="5" a="1"/>
  <c r="H3" i="5" a="1"/>
  <c r="N3" i="5" a="1"/>
  <c r="S3" i="5" a="1"/>
  <c r="M3" i="5" a="1"/>
  <c r="H3" i="5" l="1"/>
  <c r="J3" i="5"/>
  <c r="E3" i="5"/>
  <c r="G3" i="5"/>
  <c r="I3" i="5"/>
  <c r="F3" i="5"/>
  <c r="C3" i="5"/>
  <c r="D3" i="5"/>
  <c r="R3" i="5"/>
  <c r="T3" i="5"/>
  <c r="P3" i="5"/>
  <c r="O3" i="5"/>
  <c r="M3" i="5"/>
  <c r="Q3" i="5"/>
  <c r="S3" i="5"/>
  <c r="N3" i="5"/>
  <c r="AW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<sst xmlns="http://schemas.openxmlformats.org/spreadsheetml/2006/main" count="540" uniqueCount="149">
  <si>
    <t>Address</t>
  </si>
  <si>
    <t>Type</t>
  </si>
  <si>
    <t>Suburb</t>
  </si>
  <si>
    <t>17|34 Hamilton St</t>
  </si>
  <si>
    <t>Rose Bay 2029</t>
  </si>
  <si>
    <t>Purchase Price</t>
  </si>
  <si>
    <t>Date</t>
  </si>
  <si>
    <t>Transaction</t>
  </si>
  <si>
    <t>Return</t>
  </si>
  <si>
    <t>Equity</t>
  </si>
  <si>
    <t>Payment to Vendor</t>
  </si>
  <si>
    <t>Interest</t>
  </si>
  <si>
    <t>Repayment</t>
  </si>
  <si>
    <t>Debt</t>
  </si>
  <si>
    <t>Deposit to Vendor</t>
  </si>
  <si>
    <t>PRINCIPLE</t>
  </si>
  <si>
    <t>INTEREST</t>
  </si>
  <si>
    <t>Amount</t>
  </si>
  <si>
    <t>Cash Flows</t>
  </si>
  <si>
    <t>Days</t>
  </si>
  <si>
    <t>PV</t>
  </si>
  <si>
    <t>Sum To Zero</t>
  </si>
  <si>
    <t>IRR CALCULATIONS</t>
  </si>
  <si>
    <t>AVERAGE BALANCE</t>
  </si>
  <si>
    <t>Balance</t>
  </si>
  <si>
    <t>SALE</t>
  </si>
  <si>
    <t>RENT</t>
  </si>
  <si>
    <t>Income</t>
  </si>
  <si>
    <t>Rent</t>
  </si>
  <si>
    <t>IRR</t>
  </si>
  <si>
    <t>COSTS</t>
  </si>
  <si>
    <t>Stamp Duty</t>
  </si>
  <si>
    <t>Entity</t>
  </si>
  <si>
    <t>Shaun Reichman</t>
  </si>
  <si>
    <t>Start Date</t>
  </si>
  <si>
    <t>End Date</t>
  </si>
  <si>
    <t>Avg Equity</t>
  </si>
  <si>
    <t>Sale Price</t>
  </si>
  <si>
    <t>Profit</t>
  </si>
  <si>
    <t>DETAILS</t>
  </si>
  <si>
    <t>DATE</t>
  </si>
  <si>
    <t>Other Costs</t>
  </si>
  <si>
    <t>Council Rates</t>
  </si>
  <si>
    <t>Land Tax</t>
  </si>
  <si>
    <t>Section 184 Certificate</t>
  </si>
  <si>
    <t>Discharge of Mortgage</t>
  </si>
  <si>
    <t>Pexa Settlement Fee</t>
  </si>
  <si>
    <t>Registration Fees</t>
  </si>
  <si>
    <t>Lawyer Settlement Fees</t>
  </si>
  <si>
    <t>NAB Mortgage Fee</t>
  </si>
  <si>
    <t>Strata Levies</t>
  </si>
  <si>
    <t>Months</t>
  </si>
  <si>
    <t>Billi</t>
  </si>
  <si>
    <t>Locksmith</t>
  </si>
  <si>
    <t>Insinkerator</t>
  </si>
  <si>
    <t>Blinds</t>
  </si>
  <si>
    <t>Washer + Dryer</t>
  </si>
  <si>
    <t>Rent - Andre</t>
  </si>
  <si>
    <t>Shortfall of Funds</t>
  </si>
  <si>
    <t>Lawyer Fees Return</t>
  </si>
  <si>
    <t>Additional Settlement Amount</t>
  </si>
  <si>
    <t>Ownership</t>
  </si>
  <si>
    <t>LVR</t>
  </si>
  <si>
    <t>Value</t>
  </si>
  <si>
    <t>NAB Annual Fee</t>
  </si>
  <si>
    <t>Landlords Insurance</t>
  </si>
  <si>
    <t>Rent - Lance</t>
  </si>
  <si>
    <t>Earnings</t>
  </si>
  <si>
    <t>Debt Cost (est.)</t>
  </si>
  <si>
    <t>TAX</t>
  </si>
  <si>
    <t>Rate</t>
  </si>
  <si>
    <t>NET IRR CALCULATIONS</t>
  </si>
  <si>
    <t>Net-tax IRR</t>
  </si>
  <si>
    <t>real IRR</t>
  </si>
  <si>
    <t>RBA Cash Rate</t>
  </si>
  <si>
    <t>Compounding Rate</t>
  </si>
  <si>
    <t>FINANCING IRR CALCULATIONS</t>
  </si>
  <si>
    <t>Last Date</t>
  </si>
  <si>
    <t>Ave Rate</t>
  </si>
  <si>
    <t>FY21 Debt Cost (est.)</t>
  </si>
  <si>
    <t>Water Rates</t>
  </si>
  <si>
    <t>Air Conditioning</t>
  </si>
  <si>
    <t>General Repairs</t>
  </si>
  <si>
    <t>FY22 Debt Cost (est.)</t>
  </si>
  <si>
    <t>FY22 Tax Rent</t>
  </si>
  <si>
    <t>FY22 Tax Interest</t>
  </si>
  <si>
    <t>FY22 Tax Expenses</t>
  </si>
  <si>
    <t>FY23 Debt Cost (est.)</t>
  </si>
  <si>
    <t>FY23 Tax Rent</t>
  </si>
  <si>
    <t>FY23 Tax Interest</t>
  </si>
  <si>
    <t>FY23 Tax Expenses</t>
  </si>
  <si>
    <t>Currency</t>
  </si>
  <si>
    <t>AUD</t>
  </si>
  <si>
    <t>FX</t>
  </si>
  <si>
    <t>Capital Gain</t>
  </si>
  <si>
    <t>EST. RETURNS</t>
  </si>
  <si>
    <t>-</t>
  </si>
  <si>
    <t>RETURNS</t>
  </si>
  <si>
    <t>CASH FLOWS</t>
  </si>
  <si>
    <t>Property</t>
  </si>
  <si>
    <t>VALUATION</t>
  </si>
  <si>
    <t>Billi Repair</t>
  </si>
  <si>
    <t>Paid by Lance</t>
  </si>
  <si>
    <t>NAB #3063 - Interest</t>
  </si>
  <si>
    <t>NAB #3063 - Repayment</t>
  </si>
  <si>
    <t>NAB #2157 - Repayment</t>
  </si>
  <si>
    <t>NAB #2157 - Interest</t>
  </si>
  <si>
    <t>NAB Mortgage #3063</t>
  </si>
  <si>
    <t>NAB Mortgage #2157</t>
  </si>
  <si>
    <t>NAB #3063 - Proceeds from Refinance</t>
  </si>
  <si>
    <t>NAB #2157 - Proceeds from Refinance</t>
  </si>
  <si>
    <t>ANZ #7966 - Refinance</t>
  </si>
  <si>
    <t>ANZ #7958 - Refinance</t>
  </si>
  <si>
    <t>Lance paid $9900 + billi repair</t>
  </si>
  <si>
    <t>ANZ #7966 - Interest</t>
  </si>
  <si>
    <t>ANZ #7966 - Repayment</t>
  </si>
  <si>
    <t>ANZ #7958 - Interest</t>
  </si>
  <si>
    <t>ANZ #7958 - Repayment</t>
  </si>
  <si>
    <t>Electrician Bills</t>
  </si>
  <si>
    <t>NAB Dishcharge Fee</t>
  </si>
  <si>
    <t>Title Office Registration of Mortgage Fee</t>
  </si>
  <si>
    <t>Title Office Discharge of Mortgage Fee</t>
  </si>
  <si>
    <t xml:space="preserve">Title Office Search Fee </t>
  </si>
  <si>
    <t>Lance paid $9690 + electrician repair</t>
  </si>
  <si>
    <t>Plumber Bils</t>
  </si>
  <si>
    <t>FY18</t>
  </si>
  <si>
    <t>FY19</t>
  </si>
  <si>
    <t>FY20</t>
  </si>
  <si>
    <t>FY21</t>
  </si>
  <si>
    <t>FY22</t>
  </si>
  <si>
    <t>FY23</t>
  </si>
  <si>
    <t>FY24</t>
  </si>
  <si>
    <t>FY25</t>
  </si>
  <si>
    <t>BC</t>
  </si>
  <si>
    <t>interest</t>
  </si>
  <si>
    <t>rent</t>
  </si>
  <si>
    <t>strata</t>
  </si>
  <si>
    <t>water</t>
  </si>
  <si>
    <t>$9938 + plumber</t>
  </si>
  <si>
    <t>ANZ #8514 - Refinance</t>
  </si>
  <si>
    <t>ANZ - Refinance 80% LVR - $3.8m Val</t>
  </si>
  <si>
    <t>ANZ - Refinance 95% LVR - $3.75m Val</t>
  </si>
  <si>
    <t>Government Search Fee</t>
  </si>
  <si>
    <t>ANZ #8514 - Interest</t>
  </si>
  <si>
    <t>ANZ #8514 - Repayment</t>
  </si>
  <si>
    <t>This was mistakenly short - was fixed the next month</t>
  </si>
  <si>
    <t>Cash Flow</t>
  </si>
  <si>
    <t>BD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</si>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</sst>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%"/>
    <numFmt numFmtId="165" formatCode="_(&quot;$&quot;* #,##0.00_);_(&quot;$&quot;* \(#,##0.00\);_(&quot;$&quot;* &quot;-&quot;_);_(@_)"/>
    <numFmt numFmtId="166" formatCode="_-[$$-C09]* #,##0_-;\-[$$-C09]* #,##0_-;_-[$$-C09]* &quot;-&quot;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BE8"/>
        <bgColor indexed="64"/>
      </patternFill>
    </fill>
    <fill>
      <patternFill patternType="solid">
        <fgColor rgb="FFE8F6FF"/>
        <bgColor indexed="64"/>
      </patternFill>
    </fill>
    <fill>
      <patternFill patternType="solid">
        <fgColor rgb="FFE8E4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AF"/>
        <bgColor indexed="64"/>
      </patternFill>
    </fill>
    <fill>
      <patternFill patternType="solid">
        <fgColor rgb="FFFCE5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EAFE"/>
        <bgColor indexed="64"/>
      </patternFill>
    </fill>
    <fill>
      <patternFill patternType="solid">
        <fgColor rgb="FFE2FFE5"/>
        <bgColor indexed="64"/>
      </patternFill>
    </fill>
    <fill>
      <patternFill patternType="solid">
        <fgColor rgb="FFF7FFE7"/>
        <bgColor indexed="64"/>
      </patternFill>
    </fill>
    <fill>
      <patternFill patternType="solid">
        <fgColor rgb="FFEDEA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2" fontId="0" fillId="2" borderId="0" xfId="0" applyNumberFormat="1" applyFill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15" fontId="2" fillId="2" borderId="0" xfId="0" applyNumberFormat="1" applyFont="1" applyFill="1" applyAlignment="1">
      <alignment horizontal="center" vertical="center"/>
    </xf>
    <xf numFmtId="42" fontId="2" fillId="2" borderId="0" xfId="0" applyNumberFormat="1" applyFont="1" applyFill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2" fontId="2" fillId="3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2" fontId="2" fillId="4" borderId="3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2" fontId="2" fillId="5" borderId="3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42" fontId="2" fillId="6" borderId="3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2" fillId="7" borderId="3" xfId="1" applyNumberFormat="1" applyFont="1" applyFill="1" applyBorder="1" applyAlignment="1">
      <alignment horizontal="center" vertical="center"/>
    </xf>
    <xf numFmtId="42" fontId="2" fillId="8" borderId="3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2" fontId="2" fillId="5" borderId="2" xfId="0" applyNumberFormat="1" applyFont="1" applyFill="1" applyBorder="1" applyAlignment="1">
      <alignment horizontal="center" vertical="center"/>
    </xf>
    <xf numFmtId="42" fontId="2" fillId="5" borderId="4" xfId="0" applyNumberFormat="1" applyFont="1" applyFill="1" applyBorder="1" applyAlignment="1">
      <alignment horizontal="center" vertical="center"/>
    </xf>
    <xf numFmtId="42" fontId="2" fillId="3" borderId="2" xfId="0" applyNumberFormat="1" applyFont="1" applyFill="1" applyBorder="1" applyAlignment="1">
      <alignment horizontal="center" vertical="center"/>
    </xf>
    <xf numFmtId="42" fontId="2" fillId="3" borderId="4" xfId="0" applyNumberFormat="1" applyFont="1" applyFill="1" applyBorder="1" applyAlignment="1">
      <alignment horizontal="center" vertical="center"/>
    </xf>
    <xf numFmtId="42" fontId="2" fillId="4" borderId="2" xfId="0" applyNumberFormat="1" applyFont="1" applyFill="1" applyBorder="1" applyAlignment="1">
      <alignment horizontal="center" vertical="center"/>
    </xf>
    <xf numFmtId="42" fontId="2" fillId="4" borderId="4" xfId="0" applyNumberFormat="1" applyFont="1" applyFill="1" applyBorder="1" applyAlignment="1">
      <alignment horizontal="center" vertical="center"/>
    </xf>
    <xf numFmtId="42" fontId="2" fillId="9" borderId="2" xfId="0" applyNumberFormat="1" applyFont="1" applyFill="1" applyBorder="1" applyAlignment="1">
      <alignment horizontal="center" vertical="center"/>
    </xf>
    <xf numFmtId="42" fontId="2" fillId="9" borderId="4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9" fontId="2" fillId="11" borderId="3" xfId="0" applyNumberFormat="1" applyFont="1" applyFill="1" applyBorder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9" fontId="2" fillId="12" borderId="3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42" fontId="2" fillId="13" borderId="2" xfId="0" applyNumberFormat="1" applyFont="1" applyFill="1" applyBorder="1" applyAlignment="1">
      <alignment horizontal="center" vertical="center"/>
    </xf>
    <xf numFmtId="42" fontId="2" fillId="13" borderId="4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4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42" fontId="2" fillId="2" borderId="1" xfId="0" applyNumberFormat="1" applyFont="1" applyFill="1" applyBorder="1" applyAlignment="1">
      <alignment horizontal="center"/>
    </xf>
    <xf numFmtId="42" fontId="2" fillId="2" borderId="1" xfId="2" applyNumberFormat="1" applyFont="1" applyFill="1" applyBorder="1" applyAlignment="1">
      <alignment horizontal="center"/>
    </xf>
    <xf numFmtId="0" fontId="0" fillId="2" borderId="0" xfId="0" applyFill="1"/>
    <xf numFmtId="15" fontId="0" fillId="2" borderId="0" xfId="0" applyNumberFormat="1" applyFill="1"/>
    <xf numFmtId="10" fontId="0" fillId="2" borderId="0" xfId="0" applyNumberFormat="1" applyFill="1"/>
    <xf numFmtId="15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44" fontId="2" fillId="2" borderId="1" xfId="0" applyNumberFormat="1" applyFont="1" applyFill="1" applyBorder="1" applyAlignment="1">
      <alignment horizontal="center"/>
    </xf>
    <xf numFmtId="44" fontId="2" fillId="2" borderId="1" xfId="2" applyFont="1" applyFill="1" applyBorder="1" applyAlignment="1">
      <alignment horizontal="center"/>
    </xf>
    <xf numFmtId="10" fontId="0" fillId="2" borderId="0" xfId="0" applyNumberFormat="1" applyFill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/>
    </xf>
    <xf numFmtId="0" fontId="2" fillId="2" borderId="0" xfId="0" applyFont="1" applyFill="1"/>
    <xf numFmtId="9" fontId="0" fillId="10" borderId="5" xfId="0" applyNumberForma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9" fontId="2" fillId="10" borderId="5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0" fillId="10" borderId="5" xfId="0" applyFill="1" applyBorder="1" applyAlignment="1">
      <alignment horizontal="center"/>
    </xf>
    <xf numFmtId="42" fontId="2" fillId="2" borderId="2" xfId="0" applyNumberFormat="1" applyFont="1" applyFill="1" applyBorder="1" applyAlignment="1">
      <alignment horizontal="center" vertical="center"/>
    </xf>
    <xf numFmtId="42" fontId="2" fillId="2" borderId="4" xfId="0" applyNumberFormat="1" applyFont="1" applyFill="1" applyBorder="1" applyAlignment="1">
      <alignment horizontal="center" vertical="center"/>
    </xf>
    <xf numFmtId="42" fontId="2" fillId="14" borderId="2" xfId="0" applyNumberFormat="1" applyFont="1" applyFill="1" applyBorder="1" applyAlignment="1">
      <alignment horizontal="center" vertical="center"/>
    </xf>
    <xf numFmtId="42" fontId="2" fillId="14" borderId="4" xfId="0" applyNumberFormat="1" applyFont="1" applyFill="1" applyBorder="1" applyAlignment="1">
      <alignment horizontal="center" vertical="center"/>
    </xf>
    <xf numFmtId="15" fontId="0" fillId="0" borderId="0" xfId="0" applyNumberFormat="1"/>
    <xf numFmtId="3" fontId="0" fillId="0" borderId="0" xfId="0" applyNumberFormat="1"/>
    <xf numFmtId="4" fontId="0" fillId="2" borderId="0" xfId="0" applyNumberFormat="1" applyFill="1" applyAlignment="1">
      <alignment horizontal="center" vertical="center"/>
    </xf>
    <xf numFmtId="15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44" fontId="0" fillId="2" borderId="0" xfId="2" applyFont="1" applyFill="1" applyAlignment="1">
      <alignment horizontal="center" vertical="center"/>
    </xf>
    <xf numFmtId="42" fontId="0" fillId="2" borderId="0" xfId="0" applyNumberForma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5" fontId="2" fillId="2" borderId="0" xfId="0" applyNumberFormat="1" applyFont="1" applyFill="1" applyAlignment="1">
      <alignment horizontal="center" vertical="center"/>
    </xf>
    <xf numFmtId="4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42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" xfId="2" builtinId="4"/>
    <cellStyle name="Normal" xfId="0" builtinId="0"/>
    <cellStyle name="Per cent" xfId="1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DEAFF"/>
      <color rgb="FFF7FFE7"/>
      <color rgb="FFE2FFE5"/>
      <color rgb="FFD5F8FC"/>
      <color rgb="FFD3FCF7"/>
      <color rgb="FFFDEAFE"/>
      <color rgb="FFFFD7FF"/>
      <color rgb="FFFCE5D7"/>
      <color rgb="FFFBEBE8"/>
      <color rgb="FFE8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unreichman/Documents/laptop%20backup/Work/Money/Inputs.xlsx" TargetMode="External"/><Relationship Id="rId1" Type="http://schemas.openxmlformats.org/officeDocument/2006/relationships/externalLinkPath" Target="/Users/shaunreichman/Documents/laptop%20backup/Work/Money/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BA"/>
      <sheetName val="CompoundingRate"/>
      <sheetName val="FX"/>
    </sheetNames>
    <sheetDataSet>
      <sheetData sheetId="0">
        <row r="1">
          <cell r="A1" t="str">
            <v>AUD Date</v>
          </cell>
          <cell r="B1" t="str">
            <v>AUD Rate</v>
          </cell>
        </row>
        <row r="2">
          <cell r="A2">
            <v>40849</v>
          </cell>
          <cell r="B2">
            <v>4.4999999999999998E-2</v>
          </cell>
        </row>
        <row r="3">
          <cell r="A3">
            <v>40884</v>
          </cell>
          <cell r="B3">
            <v>4.2500000000000003E-2</v>
          </cell>
        </row>
        <row r="4">
          <cell r="A4">
            <v>41031</v>
          </cell>
          <cell r="B4">
            <v>3.7499999999999999E-2</v>
          </cell>
        </row>
        <row r="5">
          <cell r="A5">
            <v>41066</v>
          </cell>
          <cell r="B5">
            <v>3.5000000000000003E-2</v>
          </cell>
        </row>
        <row r="6">
          <cell r="A6">
            <v>41185</v>
          </cell>
          <cell r="B6">
            <v>3.2500000000000001E-2</v>
          </cell>
        </row>
        <row r="7">
          <cell r="A7">
            <v>41248</v>
          </cell>
          <cell r="B7">
            <v>0.03</v>
          </cell>
        </row>
        <row r="8">
          <cell r="A8">
            <v>41402</v>
          </cell>
          <cell r="B8">
            <v>2.75E-2</v>
          </cell>
        </row>
        <row r="9">
          <cell r="A9">
            <v>41493</v>
          </cell>
          <cell r="B9">
            <v>2.5000000000000001E-2</v>
          </cell>
        </row>
        <row r="10">
          <cell r="A10">
            <v>42039</v>
          </cell>
          <cell r="B10">
            <v>2.2499999999999999E-2</v>
          </cell>
        </row>
        <row r="11">
          <cell r="A11">
            <v>42130</v>
          </cell>
          <cell r="B11">
            <v>0.02</v>
          </cell>
        </row>
        <row r="12">
          <cell r="A12">
            <v>42494</v>
          </cell>
          <cell r="B12">
            <v>1.7500000000000002E-2</v>
          </cell>
        </row>
        <row r="13">
          <cell r="A13">
            <v>42585</v>
          </cell>
          <cell r="B13">
            <v>1.4999999999999999E-2</v>
          </cell>
        </row>
        <row r="14">
          <cell r="A14">
            <v>43621</v>
          </cell>
          <cell r="B14">
            <v>1.2500000000000001E-2</v>
          </cell>
        </row>
        <row r="15">
          <cell r="A15">
            <v>43649</v>
          </cell>
          <cell r="B15">
            <v>0.01</v>
          </cell>
        </row>
        <row r="16">
          <cell r="A16">
            <v>43740</v>
          </cell>
          <cell r="B16">
            <v>7.4999999999999997E-3</v>
          </cell>
        </row>
        <row r="17">
          <cell r="A17">
            <v>43894</v>
          </cell>
          <cell r="B17">
            <v>5.0000000000000001E-3</v>
          </cell>
        </row>
        <row r="18">
          <cell r="A18">
            <v>43910</v>
          </cell>
          <cell r="B18">
            <v>2.5000000000000001E-3</v>
          </cell>
        </row>
        <row r="19">
          <cell r="A19">
            <v>44139</v>
          </cell>
          <cell r="B19">
            <v>1E-3</v>
          </cell>
        </row>
        <row r="20">
          <cell r="A20">
            <v>44685</v>
          </cell>
          <cell r="B20">
            <v>3.5000000000000001E-3</v>
          </cell>
        </row>
        <row r="21">
          <cell r="A21">
            <v>44720</v>
          </cell>
          <cell r="B21">
            <v>8.5000000000000006E-3</v>
          </cell>
        </row>
        <row r="22">
          <cell r="A22">
            <v>44748</v>
          </cell>
          <cell r="B22">
            <v>1.35E-2</v>
          </cell>
        </row>
        <row r="23">
          <cell r="A23">
            <v>44776</v>
          </cell>
          <cell r="B23">
            <v>1.8499999999999999E-2</v>
          </cell>
        </row>
        <row r="24">
          <cell r="A24">
            <v>44811</v>
          </cell>
          <cell r="B24">
            <v>2.35E-2</v>
          </cell>
        </row>
        <row r="25">
          <cell r="A25">
            <v>44839</v>
          </cell>
          <cell r="B25">
            <v>2.5999999999999999E-2</v>
          </cell>
        </row>
        <row r="26">
          <cell r="A26">
            <v>44867</v>
          </cell>
          <cell r="B26">
            <v>2.8500000000000001E-2</v>
          </cell>
        </row>
        <row r="27">
          <cell r="A27">
            <v>44902</v>
          </cell>
          <cell r="B27">
            <v>3.1E-2</v>
          </cell>
        </row>
        <row r="28">
          <cell r="A28">
            <v>44965</v>
          </cell>
          <cell r="B28">
            <v>3.3500000000000002E-2</v>
          </cell>
        </row>
        <row r="29">
          <cell r="A29">
            <v>44993</v>
          </cell>
          <cell r="B29">
            <v>3.5999999999999997E-2</v>
          </cell>
        </row>
        <row r="30">
          <cell r="A30">
            <v>45049</v>
          </cell>
          <cell r="B30">
            <v>3.85E-2</v>
          </cell>
        </row>
        <row r="31">
          <cell r="A31">
            <v>45084</v>
          </cell>
          <cell r="B31">
            <v>4.1000000000000002E-2</v>
          </cell>
        </row>
        <row r="32">
          <cell r="A32">
            <v>45238</v>
          </cell>
          <cell r="B32">
            <v>4.3499999999999997E-2</v>
          </cell>
        </row>
        <row r="33">
          <cell r="A33">
            <v>45707</v>
          </cell>
          <cell r="B33">
            <v>4.1000000000000002E-2</v>
          </cell>
        </row>
        <row r="34">
          <cell r="A34">
            <v>45798</v>
          </cell>
          <cell r="B34">
            <v>3.85E-2</v>
          </cell>
        </row>
      </sheetData>
      <sheetData sheetId="1">
        <row r="2">
          <cell r="A2">
            <v>12</v>
          </cell>
        </row>
      </sheetData>
      <sheetData sheetId="2">
        <row r="1">
          <cell r="A1" t="str">
            <v>Date</v>
          </cell>
          <cell r="B1" t="str">
            <v>AUD</v>
          </cell>
          <cell r="C1" t="str">
            <v>USD</v>
          </cell>
          <cell r="D1" t="str">
            <v>EUR</v>
          </cell>
          <cell r="E1" t="str">
            <v>CNY</v>
          </cell>
          <cell r="F1" t="str">
            <v>SGD</v>
          </cell>
          <cell r="G1" t="str">
            <v>GBP</v>
          </cell>
        </row>
        <row r="2">
          <cell r="A2">
            <v>40209</v>
          </cell>
          <cell r="B2">
            <v>1</v>
          </cell>
          <cell r="C2">
            <v>0.88432999999999995</v>
          </cell>
          <cell r="D2">
            <v>0.63731000000000004</v>
          </cell>
          <cell r="E2">
            <v>6.0228000000000002</v>
          </cell>
          <cell r="F2">
            <v>1.2435</v>
          </cell>
          <cell r="G2">
            <v>0.55266999999999999</v>
          </cell>
        </row>
        <row r="3">
          <cell r="A3">
            <v>40237</v>
          </cell>
          <cell r="B3">
            <v>1</v>
          </cell>
          <cell r="C3">
            <v>0.89589700000000005</v>
          </cell>
          <cell r="D3">
            <v>0.65707000000000004</v>
          </cell>
          <cell r="E3">
            <v>6.1165000000000003</v>
          </cell>
          <cell r="F3">
            <v>1.2585</v>
          </cell>
          <cell r="G3">
            <v>0.58623000000000003</v>
          </cell>
        </row>
        <row r="4">
          <cell r="A4">
            <v>40268</v>
          </cell>
          <cell r="B4">
            <v>1</v>
          </cell>
          <cell r="C4">
            <v>0.91558300000000004</v>
          </cell>
          <cell r="D4">
            <v>0.67745999999999995</v>
          </cell>
          <cell r="E4">
            <v>6.2434000000000003</v>
          </cell>
          <cell r="F4">
            <v>1.2806999999999999</v>
          </cell>
          <cell r="G4">
            <v>0.60270000000000001</v>
          </cell>
        </row>
        <row r="5">
          <cell r="A5">
            <v>40298</v>
          </cell>
          <cell r="B5">
            <v>1</v>
          </cell>
          <cell r="C5">
            <v>0.924813</v>
          </cell>
          <cell r="D5">
            <v>0.69527000000000005</v>
          </cell>
          <cell r="E5">
            <v>6.3002000000000002</v>
          </cell>
          <cell r="F5">
            <v>1.2648999999999999</v>
          </cell>
          <cell r="G5">
            <v>0.60424999999999995</v>
          </cell>
        </row>
        <row r="6">
          <cell r="A6">
            <v>40329</v>
          </cell>
          <cell r="B6">
            <v>1</v>
          </cell>
          <cell r="C6">
            <v>0.84659700000000004</v>
          </cell>
          <cell r="D6">
            <v>0.68859999999999999</v>
          </cell>
          <cell r="E6">
            <v>5.7632000000000003</v>
          </cell>
          <cell r="F6">
            <v>1.1842999999999999</v>
          </cell>
          <cell r="G6">
            <v>0.58260000000000001</v>
          </cell>
        </row>
        <row r="7">
          <cell r="A7">
            <v>40359</v>
          </cell>
          <cell r="B7">
            <v>1</v>
          </cell>
          <cell r="C7">
            <v>0.84132600000000002</v>
          </cell>
          <cell r="D7">
            <v>0.68762999999999996</v>
          </cell>
          <cell r="E7">
            <v>5.7187999999999999</v>
          </cell>
          <cell r="F7">
            <v>1.1771</v>
          </cell>
          <cell r="G7">
            <v>0.56259999999999999</v>
          </cell>
        </row>
        <row r="8">
          <cell r="A8">
            <v>40390</v>
          </cell>
          <cell r="B8">
            <v>1</v>
          </cell>
          <cell r="C8">
            <v>0.90440399999999999</v>
          </cell>
          <cell r="D8">
            <v>0.69342999999999999</v>
          </cell>
          <cell r="E8">
            <v>6.1241000000000003</v>
          </cell>
          <cell r="F8">
            <v>1.2307999999999999</v>
          </cell>
          <cell r="G8">
            <v>0.57689000000000001</v>
          </cell>
        </row>
        <row r="9">
          <cell r="A9">
            <v>40421</v>
          </cell>
          <cell r="B9">
            <v>1</v>
          </cell>
          <cell r="C9">
            <v>0.891822</v>
          </cell>
          <cell r="D9">
            <v>0.70379999999999998</v>
          </cell>
          <cell r="E9">
            <v>6.0617999999999999</v>
          </cell>
          <cell r="F9">
            <v>1.2081</v>
          </cell>
          <cell r="G9">
            <v>0.57630000000000003</v>
          </cell>
        </row>
        <row r="10">
          <cell r="A10">
            <v>40451</v>
          </cell>
          <cell r="B10">
            <v>1</v>
          </cell>
          <cell r="C10">
            <v>0.96936800000000001</v>
          </cell>
          <cell r="D10">
            <v>0.71109999999999995</v>
          </cell>
          <cell r="E10">
            <v>6.4691000000000001</v>
          </cell>
          <cell r="F10">
            <v>1.2769999999999999</v>
          </cell>
          <cell r="G10">
            <v>0.61338000000000004</v>
          </cell>
        </row>
        <row r="11">
          <cell r="A11">
            <v>40482</v>
          </cell>
          <cell r="B11">
            <v>1</v>
          </cell>
          <cell r="C11">
            <v>0.97276300000000004</v>
          </cell>
          <cell r="D11">
            <v>0.70589999999999997</v>
          </cell>
          <cell r="E11">
            <v>6.4884000000000004</v>
          </cell>
          <cell r="F11">
            <v>1.2685</v>
          </cell>
          <cell r="G11">
            <v>0.61629999999999996</v>
          </cell>
        </row>
        <row r="12">
          <cell r="A12">
            <v>40512</v>
          </cell>
          <cell r="B12">
            <v>1</v>
          </cell>
          <cell r="C12">
            <v>0.96070699999999998</v>
          </cell>
          <cell r="D12">
            <v>0.73319999999999996</v>
          </cell>
          <cell r="E12">
            <v>6.3819999999999997</v>
          </cell>
          <cell r="F12">
            <v>1.2689999999999999</v>
          </cell>
          <cell r="G12">
            <v>0.61780000000000002</v>
          </cell>
        </row>
        <row r="13">
          <cell r="A13">
            <v>40543</v>
          </cell>
          <cell r="B13">
            <v>1</v>
          </cell>
          <cell r="C13">
            <v>1.0157750000000001</v>
          </cell>
          <cell r="D13">
            <v>0.76319999999999999</v>
          </cell>
          <cell r="E13">
            <v>6.6737000000000002</v>
          </cell>
          <cell r="F13">
            <v>1.3069999999999999</v>
          </cell>
          <cell r="G13">
            <v>0.65790000000000004</v>
          </cell>
        </row>
        <row r="14">
          <cell r="A14">
            <v>40574</v>
          </cell>
          <cell r="B14">
            <v>1</v>
          </cell>
          <cell r="C14">
            <v>0.98736199999999996</v>
          </cell>
          <cell r="D14">
            <v>0.72709999999999997</v>
          </cell>
          <cell r="E14">
            <v>6.4983000000000004</v>
          </cell>
          <cell r="F14">
            <v>1.2706999999999999</v>
          </cell>
          <cell r="G14">
            <v>0.62373000000000001</v>
          </cell>
        </row>
        <row r="15">
          <cell r="A15">
            <v>40602</v>
          </cell>
          <cell r="B15">
            <v>1</v>
          </cell>
          <cell r="C15">
            <v>1.014497</v>
          </cell>
          <cell r="D15">
            <v>0.73819999999999997</v>
          </cell>
          <cell r="E15">
            <v>6.6661999999999999</v>
          </cell>
          <cell r="F15">
            <v>1.2922</v>
          </cell>
          <cell r="G15">
            <v>0.62968999999999997</v>
          </cell>
        </row>
        <row r="16">
          <cell r="A16">
            <v>40633</v>
          </cell>
          <cell r="B16">
            <v>1</v>
          </cell>
          <cell r="C16">
            <v>1.031917</v>
          </cell>
          <cell r="D16">
            <v>0.73050000000000004</v>
          </cell>
          <cell r="E16">
            <v>6.7439</v>
          </cell>
          <cell r="F16">
            <v>1.3013999999999999</v>
          </cell>
          <cell r="G16">
            <v>0.64200999999999997</v>
          </cell>
        </row>
        <row r="17">
          <cell r="A17">
            <v>40663</v>
          </cell>
          <cell r="B17">
            <v>1</v>
          </cell>
          <cell r="C17">
            <v>1.0939000000000001</v>
          </cell>
          <cell r="D17">
            <v>0.73670000000000002</v>
          </cell>
          <cell r="E17">
            <v>7.0753000000000004</v>
          </cell>
          <cell r="F17">
            <v>1.341</v>
          </cell>
          <cell r="G17">
            <v>0.65669999999999995</v>
          </cell>
        </row>
        <row r="18">
          <cell r="A18">
            <v>40694</v>
          </cell>
          <cell r="B18">
            <v>1</v>
          </cell>
          <cell r="C18">
            <v>1.0702970000000001</v>
          </cell>
          <cell r="D18">
            <v>0.74709999999999999</v>
          </cell>
          <cell r="E18">
            <v>6.9090999999999996</v>
          </cell>
          <cell r="F18">
            <v>1.3190999999999999</v>
          </cell>
          <cell r="G18">
            <v>0.64900000000000002</v>
          </cell>
        </row>
        <row r="19">
          <cell r="A19">
            <v>40724</v>
          </cell>
          <cell r="B19">
            <v>1</v>
          </cell>
          <cell r="C19">
            <v>1.069267</v>
          </cell>
          <cell r="D19">
            <v>0.73819999999999997</v>
          </cell>
          <cell r="E19">
            <v>6.8794000000000004</v>
          </cell>
          <cell r="F19">
            <v>1.3176000000000001</v>
          </cell>
          <cell r="G19">
            <v>0.66486999999999996</v>
          </cell>
        </row>
        <row r="20">
          <cell r="A20">
            <v>40755</v>
          </cell>
          <cell r="B20">
            <v>1</v>
          </cell>
          <cell r="C20">
            <v>1.100001</v>
          </cell>
          <cell r="D20">
            <v>0.76719999999999999</v>
          </cell>
          <cell r="E20">
            <v>7.0652999999999997</v>
          </cell>
          <cell r="F20">
            <v>1.3221000000000001</v>
          </cell>
          <cell r="G20">
            <v>0.67179999999999995</v>
          </cell>
        </row>
        <row r="21">
          <cell r="A21">
            <v>40786</v>
          </cell>
          <cell r="B21">
            <v>1</v>
          </cell>
          <cell r="C21">
            <v>1.0676000000000001</v>
          </cell>
          <cell r="D21">
            <v>0.73939999999999995</v>
          </cell>
          <cell r="E21">
            <v>6.8029999999999999</v>
          </cell>
          <cell r="F21">
            <v>1.2869999999999999</v>
          </cell>
          <cell r="G21">
            <v>0.65429999999999999</v>
          </cell>
        </row>
        <row r="22">
          <cell r="A22">
            <v>40816</v>
          </cell>
          <cell r="B22">
            <v>1</v>
          </cell>
          <cell r="C22">
            <v>0.97646699999999997</v>
          </cell>
          <cell r="D22">
            <v>0.71860000000000002</v>
          </cell>
          <cell r="E22">
            <v>6.2671000000000001</v>
          </cell>
          <cell r="F22">
            <v>1.2664</v>
          </cell>
          <cell r="G22">
            <v>0.62602999999999998</v>
          </cell>
        </row>
        <row r="23">
          <cell r="A23">
            <v>40847</v>
          </cell>
          <cell r="B23">
            <v>1</v>
          </cell>
          <cell r="C23">
            <v>1.0673950000000001</v>
          </cell>
          <cell r="D23">
            <v>0.75438000000000005</v>
          </cell>
          <cell r="E23">
            <v>6.7892000000000001</v>
          </cell>
          <cell r="F23">
            <v>1.327</v>
          </cell>
          <cell r="G23">
            <v>0.66210000000000002</v>
          </cell>
        </row>
        <row r="24">
          <cell r="A24">
            <v>40877</v>
          </cell>
          <cell r="B24">
            <v>1</v>
          </cell>
          <cell r="C24">
            <v>1.001803</v>
          </cell>
          <cell r="D24">
            <v>0.75160000000000005</v>
          </cell>
          <cell r="E24">
            <v>6.3883999999999999</v>
          </cell>
          <cell r="F24">
            <v>1.2988999999999999</v>
          </cell>
          <cell r="G24">
            <v>0.6421</v>
          </cell>
        </row>
        <row r="25">
          <cell r="A25">
            <v>40908</v>
          </cell>
          <cell r="B25">
            <v>1</v>
          </cell>
          <cell r="C25">
            <v>1.0140960000000001</v>
          </cell>
          <cell r="D25">
            <v>0.78249999999999997</v>
          </cell>
          <cell r="E25">
            <v>6.3975</v>
          </cell>
          <cell r="F25">
            <v>1.3169</v>
          </cell>
          <cell r="G25">
            <v>0.65759999999999996</v>
          </cell>
        </row>
        <row r="26">
          <cell r="A26">
            <v>40939</v>
          </cell>
          <cell r="B26">
            <v>1</v>
          </cell>
          <cell r="C26">
            <v>1.0586040000000001</v>
          </cell>
          <cell r="D26">
            <v>0.80559999999999998</v>
          </cell>
          <cell r="E26">
            <v>6.6908000000000003</v>
          </cell>
          <cell r="F26">
            <v>1.3309</v>
          </cell>
          <cell r="G26">
            <v>0.67390000000000005</v>
          </cell>
        </row>
        <row r="27">
          <cell r="A27">
            <v>40968</v>
          </cell>
          <cell r="B27">
            <v>1</v>
          </cell>
          <cell r="C27">
            <v>1.07996</v>
          </cell>
          <cell r="D27">
            <v>0.80089999999999995</v>
          </cell>
          <cell r="E27">
            <v>6.7914000000000003</v>
          </cell>
          <cell r="F27">
            <v>1.3472</v>
          </cell>
          <cell r="G27">
            <v>0.67800000000000005</v>
          </cell>
        </row>
        <row r="28">
          <cell r="A28">
            <v>40999</v>
          </cell>
          <cell r="B28">
            <v>1</v>
          </cell>
          <cell r="C28">
            <v>1.0374950000000001</v>
          </cell>
          <cell r="D28">
            <v>0.77900000000000003</v>
          </cell>
          <cell r="E28">
            <v>6.5366999999999997</v>
          </cell>
          <cell r="F28">
            <v>1.3057000000000001</v>
          </cell>
          <cell r="G28">
            <v>0.65</v>
          </cell>
        </row>
        <row r="29">
          <cell r="A29">
            <v>41029</v>
          </cell>
          <cell r="B29">
            <v>1</v>
          </cell>
          <cell r="C29">
            <v>1.045631</v>
          </cell>
          <cell r="D29">
            <v>0.7893</v>
          </cell>
          <cell r="E29">
            <v>6.5933000000000002</v>
          </cell>
          <cell r="F29">
            <v>1.2936000000000001</v>
          </cell>
          <cell r="G29">
            <v>0.64200000000000002</v>
          </cell>
        </row>
        <row r="30">
          <cell r="A30">
            <v>41060</v>
          </cell>
          <cell r="B30">
            <v>1</v>
          </cell>
          <cell r="C30">
            <v>0.97049700000000005</v>
          </cell>
          <cell r="D30">
            <v>0.78410000000000002</v>
          </cell>
          <cell r="E30">
            <v>6.1618000000000004</v>
          </cell>
          <cell r="F30">
            <v>1.25</v>
          </cell>
          <cell r="G30">
            <v>0.62649999999999995</v>
          </cell>
        </row>
        <row r="31">
          <cell r="A31">
            <v>41090</v>
          </cell>
          <cell r="B31">
            <v>1</v>
          </cell>
          <cell r="C31">
            <v>1.003371</v>
          </cell>
          <cell r="D31">
            <v>0.80620000000000003</v>
          </cell>
          <cell r="E31">
            <v>6.3697999999999997</v>
          </cell>
          <cell r="F31">
            <v>1.2846</v>
          </cell>
          <cell r="G31">
            <v>0.64639999999999997</v>
          </cell>
        </row>
        <row r="32">
          <cell r="A32">
            <v>41121</v>
          </cell>
          <cell r="B32">
            <v>1</v>
          </cell>
          <cell r="C32">
            <v>1.0498689999999999</v>
          </cell>
          <cell r="D32">
            <v>0.85619999999999996</v>
          </cell>
          <cell r="E32">
            <v>6.6890999999999998</v>
          </cell>
          <cell r="F32">
            <v>1.3085</v>
          </cell>
          <cell r="G32">
            <v>0.66805000000000003</v>
          </cell>
        </row>
        <row r="33">
          <cell r="A33">
            <v>41152</v>
          </cell>
          <cell r="B33">
            <v>1</v>
          </cell>
          <cell r="C33">
            <v>1.028098</v>
          </cell>
          <cell r="D33">
            <v>0.82150000000000001</v>
          </cell>
          <cell r="E33">
            <v>6.5187999999999997</v>
          </cell>
          <cell r="F33">
            <v>1.2885</v>
          </cell>
          <cell r="G33">
            <v>0.65090000000000003</v>
          </cell>
        </row>
        <row r="34">
          <cell r="A34">
            <v>41182</v>
          </cell>
          <cell r="B34">
            <v>1</v>
          </cell>
          <cell r="C34">
            <v>1.0437650000000001</v>
          </cell>
          <cell r="D34">
            <v>0.80820000000000003</v>
          </cell>
          <cell r="E34">
            <v>6.5690999999999997</v>
          </cell>
          <cell r="F34">
            <v>1.27938</v>
          </cell>
          <cell r="G34">
            <v>0.64280000000000004</v>
          </cell>
        </row>
        <row r="35">
          <cell r="A35">
            <v>41213</v>
          </cell>
          <cell r="B35">
            <v>1</v>
          </cell>
          <cell r="C35">
            <v>1.036602</v>
          </cell>
          <cell r="D35">
            <v>0.79959999999999998</v>
          </cell>
          <cell r="E35">
            <v>6.4612999999999996</v>
          </cell>
          <cell r="F35">
            <v>1.2638400000000001</v>
          </cell>
          <cell r="G35">
            <v>0.64470000000000005</v>
          </cell>
        </row>
        <row r="36">
          <cell r="A36">
            <v>41243</v>
          </cell>
          <cell r="B36">
            <v>1</v>
          </cell>
          <cell r="C36">
            <v>1.0429379999999999</v>
          </cell>
          <cell r="D36">
            <v>0.80369999999999997</v>
          </cell>
          <cell r="E36">
            <v>6.4865000000000004</v>
          </cell>
          <cell r="F36">
            <v>1.2724</v>
          </cell>
          <cell r="G36">
            <v>0.65</v>
          </cell>
        </row>
        <row r="37">
          <cell r="A37">
            <v>41274</v>
          </cell>
          <cell r="B37">
            <v>1</v>
          </cell>
          <cell r="C37">
            <v>1.039199</v>
          </cell>
          <cell r="D37">
            <v>0.78539999999999999</v>
          </cell>
          <cell r="E37">
            <v>6.2950999999999997</v>
          </cell>
          <cell r="F37">
            <v>1.2705</v>
          </cell>
          <cell r="G37">
            <v>0.64270000000000005</v>
          </cell>
        </row>
        <row r="38">
          <cell r="A38">
            <v>41305</v>
          </cell>
          <cell r="B38">
            <v>1</v>
          </cell>
          <cell r="C38">
            <v>1.041884</v>
          </cell>
          <cell r="D38">
            <v>0.76770000000000005</v>
          </cell>
          <cell r="E38">
            <v>6.4741</v>
          </cell>
          <cell r="F38">
            <v>1.2873000000000001</v>
          </cell>
          <cell r="G38">
            <v>0.6593</v>
          </cell>
        </row>
        <row r="39">
          <cell r="A39">
            <v>41333</v>
          </cell>
          <cell r="B39">
            <v>1</v>
          </cell>
          <cell r="C39">
            <v>1.0232270000000001</v>
          </cell>
          <cell r="D39">
            <v>0.77759999999999996</v>
          </cell>
          <cell r="E39">
            <v>6.3613999999999997</v>
          </cell>
          <cell r="F39">
            <v>1.26494</v>
          </cell>
          <cell r="G39">
            <v>0.67449999999999999</v>
          </cell>
        </row>
        <row r="40">
          <cell r="A40">
            <v>41364</v>
          </cell>
          <cell r="B40">
            <v>1</v>
          </cell>
          <cell r="C40">
            <v>1.0418289999999999</v>
          </cell>
          <cell r="D40">
            <v>0.81279999999999997</v>
          </cell>
          <cell r="E40">
            <v>6.4646999999999997</v>
          </cell>
          <cell r="F40">
            <v>1.292</v>
          </cell>
          <cell r="G40">
            <v>0.68520000000000003</v>
          </cell>
        </row>
        <row r="41">
          <cell r="A41">
            <v>41394</v>
          </cell>
          <cell r="B41">
            <v>1</v>
          </cell>
          <cell r="C41">
            <v>1.0344040000000001</v>
          </cell>
          <cell r="D41">
            <v>0.78969999999999996</v>
          </cell>
          <cell r="E41">
            <v>6.3685999999999998</v>
          </cell>
          <cell r="F41">
            <v>1.2757000000000001</v>
          </cell>
          <cell r="G41">
            <v>0.66739999999999999</v>
          </cell>
        </row>
        <row r="42">
          <cell r="A42">
            <v>41425</v>
          </cell>
          <cell r="B42">
            <v>1</v>
          </cell>
          <cell r="C42">
            <v>0.96693099999999998</v>
          </cell>
          <cell r="D42">
            <v>0.74099999999999999</v>
          </cell>
          <cell r="E42">
            <v>5.9172000000000002</v>
          </cell>
          <cell r="F42">
            <v>1.2172000000000001</v>
          </cell>
          <cell r="G42">
            <v>0.63460000000000005</v>
          </cell>
        </row>
        <row r="43">
          <cell r="A43">
            <v>41455</v>
          </cell>
          <cell r="B43">
            <v>1</v>
          </cell>
          <cell r="C43">
            <v>0.92815999999999999</v>
          </cell>
          <cell r="D43">
            <v>0.71182999999999996</v>
          </cell>
          <cell r="E43">
            <v>5.7011000000000003</v>
          </cell>
          <cell r="F43">
            <v>1.17533</v>
          </cell>
          <cell r="G43">
            <v>0.60809999999999997</v>
          </cell>
        </row>
        <row r="44">
          <cell r="A44">
            <v>41486</v>
          </cell>
          <cell r="B44">
            <v>1</v>
          </cell>
          <cell r="C44">
            <v>0.90727599999999997</v>
          </cell>
          <cell r="D44">
            <v>0.68389999999999995</v>
          </cell>
          <cell r="E44">
            <v>5.5519999999999996</v>
          </cell>
          <cell r="F44">
            <v>1.1521399999999999</v>
          </cell>
          <cell r="G44">
            <v>0.59502999999999995</v>
          </cell>
        </row>
        <row r="45">
          <cell r="A45">
            <v>41517</v>
          </cell>
          <cell r="B45">
            <v>1</v>
          </cell>
          <cell r="C45">
            <v>0.89261800000000002</v>
          </cell>
          <cell r="D45">
            <v>0.67410000000000003</v>
          </cell>
          <cell r="E45">
            <v>5.4568000000000003</v>
          </cell>
          <cell r="F45">
            <v>1.13829</v>
          </cell>
          <cell r="G45">
            <v>0.57533999999999996</v>
          </cell>
        </row>
        <row r="46">
          <cell r="A46">
            <v>41547</v>
          </cell>
          <cell r="B46">
            <v>1</v>
          </cell>
          <cell r="C46">
            <v>0.93014600000000003</v>
          </cell>
          <cell r="D46">
            <v>0.68910000000000005</v>
          </cell>
          <cell r="E46">
            <v>5.6957000000000004</v>
          </cell>
          <cell r="F46">
            <v>1.1687399999999999</v>
          </cell>
          <cell r="G46">
            <v>0.57509999999999994</v>
          </cell>
        </row>
        <row r="47">
          <cell r="A47">
            <v>41578</v>
          </cell>
          <cell r="B47">
            <v>1</v>
          </cell>
          <cell r="C47">
            <v>0.94703199999999998</v>
          </cell>
          <cell r="D47">
            <v>0.68974000000000002</v>
          </cell>
          <cell r="E47">
            <v>5.7633000000000001</v>
          </cell>
          <cell r="F47">
            <v>1.17377</v>
          </cell>
          <cell r="G47">
            <v>0.59065000000000001</v>
          </cell>
        </row>
        <row r="48">
          <cell r="A48">
            <v>41608</v>
          </cell>
          <cell r="B48">
            <v>1</v>
          </cell>
          <cell r="C48">
            <v>0.90842999999999996</v>
          </cell>
          <cell r="D48">
            <v>0.66759999999999997</v>
          </cell>
          <cell r="E48">
            <v>5.5252999999999997</v>
          </cell>
          <cell r="F48">
            <v>1.1402099999999999</v>
          </cell>
          <cell r="G48">
            <v>0.55569999999999997</v>
          </cell>
        </row>
        <row r="49">
          <cell r="A49">
            <v>41639</v>
          </cell>
          <cell r="B49">
            <v>1</v>
          </cell>
          <cell r="C49">
            <v>0.89198100000000002</v>
          </cell>
          <cell r="D49">
            <v>0.64576</v>
          </cell>
          <cell r="E49">
            <v>5.3973000000000004</v>
          </cell>
          <cell r="F49">
            <v>1.12974</v>
          </cell>
          <cell r="G49">
            <v>0.54063000000000005</v>
          </cell>
        </row>
        <row r="50">
          <cell r="A50">
            <v>41670</v>
          </cell>
          <cell r="B50">
            <v>1</v>
          </cell>
          <cell r="C50">
            <v>0.87958499999999995</v>
          </cell>
          <cell r="D50">
            <v>0.64859999999999995</v>
          </cell>
          <cell r="E50">
            <v>5.3266</v>
          </cell>
          <cell r="F50">
            <v>1.1209</v>
          </cell>
          <cell r="G50">
            <v>0.53300000000000003</v>
          </cell>
        </row>
        <row r="51">
          <cell r="A51">
            <v>41698</v>
          </cell>
          <cell r="B51">
            <v>1</v>
          </cell>
          <cell r="C51">
            <v>0.89617000000000002</v>
          </cell>
          <cell r="D51">
            <v>0.65354000000000001</v>
          </cell>
          <cell r="E51">
            <v>5.4851999999999999</v>
          </cell>
          <cell r="F51">
            <v>1.1326799999999999</v>
          </cell>
          <cell r="G51">
            <v>0.53664000000000001</v>
          </cell>
        </row>
        <row r="52">
          <cell r="A52">
            <v>41729</v>
          </cell>
          <cell r="B52">
            <v>1</v>
          </cell>
          <cell r="C52">
            <v>0.92601199999999995</v>
          </cell>
          <cell r="D52">
            <v>0.67300000000000004</v>
          </cell>
          <cell r="E52">
            <v>5.7397999999999998</v>
          </cell>
          <cell r="F52">
            <v>1.1658999999999999</v>
          </cell>
          <cell r="G52">
            <v>0.55600000000000005</v>
          </cell>
        </row>
        <row r="53">
          <cell r="A53">
            <v>41759</v>
          </cell>
          <cell r="B53">
            <v>1</v>
          </cell>
          <cell r="C53">
            <v>0.92747199999999996</v>
          </cell>
          <cell r="D53">
            <v>0.67130000000000001</v>
          </cell>
          <cell r="E53">
            <v>5.7949000000000002</v>
          </cell>
          <cell r="F53">
            <v>1.1638999999999999</v>
          </cell>
          <cell r="G53">
            <v>0.55110000000000003</v>
          </cell>
        </row>
        <row r="54">
          <cell r="A54">
            <v>41790</v>
          </cell>
          <cell r="B54">
            <v>1</v>
          </cell>
          <cell r="C54">
            <v>0.93109900000000001</v>
          </cell>
          <cell r="D54">
            <v>0.6845</v>
          </cell>
          <cell r="E54">
            <v>5.8014999999999999</v>
          </cell>
          <cell r="F54">
            <v>1.1672199999999999</v>
          </cell>
          <cell r="G54">
            <v>0.55659999999999998</v>
          </cell>
        </row>
        <row r="55">
          <cell r="A55">
            <v>41820</v>
          </cell>
          <cell r="B55">
            <v>1</v>
          </cell>
          <cell r="C55">
            <v>0.94170799999999999</v>
          </cell>
          <cell r="D55">
            <v>0.69</v>
          </cell>
          <cell r="E55">
            <v>5.8498000000000001</v>
          </cell>
          <cell r="F55">
            <v>1.1762999999999999</v>
          </cell>
          <cell r="G55">
            <v>0.55259999999999998</v>
          </cell>
        </row>
        <row r="56">
          <cell r="A56">
            <v>41851</v>
          </cell>
          <cell r="B56">
            <v>1</v>
          </cell>
          <cell r="C56">
            <v>0.93257500000000004</v>
          </cell>
          <cell r="D56">
            <v>0.69594999999999996</v>
          </cell>
          <cell r="E56">
            <v>5.7474999999999996</v>
          </cell>
          <cell r="F56">
            <v>1.16038</v>
          </cell>
          <cell r="G56">
            <v>0.55127999999999999</v>
          </cell>
        </row>
        <row r="57">
          <cell r="A57">
            <v>41882</v>
          </cell>
          <cell r="B57">
            <v>1</v>
          </cell>
          <cell r="C57">
            <v>0.93554099999999996</v>
          </cell>
          <cell r="D57">
            <v>0.70930000000000004</v>
          </cell>
          <cell r="E57">
            <v>5.7390999999999996</v>
          </cell>
          <cell r="F57">
            <v>1.1680299999999999</v>
          </cell>
          <cell r="G57">
            <v>0.56359000000000004</v>
          </cell>
        </row>
        <row r="58">
          <cell r="A58">
            <v>41912</v>
          </cell>
          <cell r="B58">
            <v>1</v>
          </cell>
          <cell r="C58">
            <v>0.87168800000000002</v>
          </cell>
          <cell r="D58">
            <v>0.68669999999999998</v>
          </cell>
          <cell r="E58">
            <v>5.3526999999999996</v>
          </cell>
          <cell r="F58">
            <v>1.1102000000000001</v>
          </cell>
          <cell r="G58">
            <v>0.53639999999999999</v>
          </cell>
        </row>
        <row r="59">
          <cell r="A59">
            <v>41943</v>
          </cell>
          <cell r="B59">
            <v>1</v>
          </cell>
          <cell r="C59">
            <v>0.88245700000000005</v>
          </cell>
          <cell r="D59">
            <v>0.69969999999999999</v>
          </cell>
          <cell r="E59">
            <v>5.3875000000000002</v>
          </cell>
          <cell r="F59">
            <v>1.1269</v>
          </cell>
          <cell r="G59">
            <v>0.5514</v>
          </cell>
        </row>
        <row r="60">
          <cell r="A60">
            <v>41973</v>
          </cell>
          <cell r="B60">
            <v>1</v>
          </cell>
          <cell r="C60">
            <v>0.85244200000000003</v>
          </cell>
          <cell r="D60">
            <v>0.68400000000000005</v>
          </cell>
          <cell r="E60">
            <v>5.2245999999999997</v>
          </cell>
          <cell r="F60">
            <v>1.1077999999999999</v>
          </cell>
          <cell r="G60">
            <v>0.54179999999999995</v>
          </cell>
        </row>
        <row r="61">
          <cell r="A61">
            <v>42004</v>
          </cell>
          <cell r="B61">
            <v>1</v>
          </cell>
          <cell r="C61">
            <v>0.81839799999999996</v>
          </cell>
          <cell r="D61">
            <v>0.67269999999999996</v>
          </cell>
          <cell r="E61">
            <v>5.0682999999999998</v>
          </cell>
          <cell r="F61">
            <v>1.0810999999999999</v>
          </cell>
          <cell r="G61">
            <v>0.52559999999999996</v>
          </cell>
        </row>
        <row r="62">
          <cell r="A62">
            <v>42035</v>
          </cell>
          <cell r="B62">
            <v>1</v>
          </cell>
          <cell r="C62">
            <v>0.77820999999999996</v>
          </cell>
          <cell r="D62">
            <v>0.6865</v>
          </cell>
          <cell r="E62">
            <v>4.8532999999999999</v>
          </cell>
          <cell r="F62">
            <v>1.0525</v>
          </cell>
          <cell r="G62">
            <v>0.51592000000000005</v>
          </cell>
        </row>
        <row r="63">
          <cell r="A63">
            <v>42063</v>
          </cell>
          <cell r="B63">
            <v>1</v>
          </cell>
          <cell r="C63">
            <v>0.78057900000000002</v>
          </cell>
          <cell r="D63">
            <v>0.69650000000000001</v>
          </cell>
          <cell r="E63">
            <v>4.8783000000000003</v>
          </cell>
          <cell r="F63">
            <v>1.05843</v>
          </cell>
          <cell r="G63">
            <v>0.50609999999999999</v>
          </cell>
        </row>
        <row r="64">
          <cell r="A64">
            <v>42094</v>
          </cell>
          <cell r="B64">
            <v>1</v>
          </cell>
          <cell r="C64">
            <v>0.76581399999999999</v>
          </cell>
          <cell r="D64">
            <v>0.70679999999999998</v>
          </cell>
          <cell r="E64">
            <v>4.7454999999999998</v>
          </cell>
          <cell r="F64">
            <v>1.05301</v>
          </cell>
          <cell r="G64">
            <v>0.51680000000000004</v>
          </cell>
        </row>
        <row r="65">
          <cell r="A65">
            <v>42124</v>
          </cell>
          <cell r="B65">
            <v>1</v>
          </cell>
          <cell r="C65">
            <v>0.79948799999999998</v>
          </cell>
          <cell r="D65">
            <v>0.71930000000000005</v>
          </cell>
          <cell r="E65">
            <v>4.9493999999999998</v>
          </cell>
          <cell r="F65">
            <v>1.0562</v>
          </cell>
          <cell r="G65">
            <v>0.51819999999999999</v>
          </cell>
        </row>
        <row r="66">
          <cell r="A66">
            <v>42155</v>
          </cell>
          <cell r="B66">
            <v>1</v>
          </cell>
          <cell r="C66">
            <v>0.76581399999999999</v>
          </cell>
          <cell r="D66">
            <v>0.69840000000000002</v>
          </cell>
          <cell r="E66">
            <v>4.7441000000000004</v>
          </cell>
          <cell r="F66">
            <v>1.032</v>
          </cell>
          <cell r="G66">
            <v>0.49959999999999999</v>
          </cell>
        </row>
        <row r="67">
          <cell r="A67">
            <v>42185</v>
          </cell>
          <cell r="B67">
            <v>1</v>
          </cell>
          <cell r="C67">
            <v>0.76728300000000005</v>
          </cell>
          <cell r="D67">
            <v>0.68389999999999995</v>
          </cell>
          <cell r="E67">
            <v>4.7557999999999998</v>
          </cell>
          <cell r="F67">
            <v>1.0331999999999999</v>
          </cell>
          <cell r="G67">
            <v>0.48759999999999998</v>
          </cell>
        </row>
        <row r="68">
          <cell r="A68">
            <v>42216</v>
          </cell>
          <cell r="B68">
            <v>1</v>
          </cell>
          <cell r="C68">
            <v>0.72944799999999999</v>
          </cell>
          <cell r="D68">
            <v>0.66669999999999996</v>
          </cell>
          <cell r="E68">
            <v>4.5239000000000003</v>
          </cell>
          <cell r="F68">
            <v>1.00258</v>
          </cell>
          <cell r="G68">
            <v>0.46739999999999998</v>
          </cell>
        </row>
        <row r="69">
          <cell r="A69">
            <v>42247</v>
          </cell>
          <cell r="B69">
            <v>1</v>
          </cell>
          <cell r="C69">
            <v>0.71408199999999999</v>
          </cell>
          <cell r="D69">
            <v>0.63670000000000004</v>
          </cell>
          <cell r="E69">
            <v>4.5461</v>
          </cell>
          <cell r="F69">
            <v>1.0057799999999999</v>
          </cell>
          <cell r="G69">
            <v>0.46300000000000002</v>
          </cell>
        </row>
        <row r="70">
          <cell r="A70">
            <v>42277</v>
          </cell>
          <cell r="B70">
            <v>1</v>
          </cell>
          <cell r="C70">
            <v>0.70037799999999995</v>
          </cell>
          <cell r="D70">
            <v>0.62209999999999999</v>
          </cell>
          <cell r="E70">
            <v>4.4493999999999998</v>
          </cell>
          <cell r="F70">
            <v>0.99929999999999997</v>
          </cell>
          <cell r="G70">
            <v>0.46179999999999999</v>
          </cell>
        </row>
        <row r="71">
          <cell r="A71">
            <v>42308</v>
          </cell>
          <cell r="B71">
            <v>1</v>
          </cell>
          <cell r="C71">
            <v>0.70901899999999995</v>
          </cell>
          <cell r="D71">
            <v>0.64480000000000004</v>
          </cell>
          <cell r="E71">
            <v>4.4996999999999998</v>
          </cell>
          <cell r="F71">
            <v>0.99429000000000001</v>
          </cell>
          <cell r="G71">
            <v>0.46260000000000001</v>
          </cell>
        </row>
        <row r="72">
          <cell r="A72">
            <v>42338</v>
          </cell>
          <cell r="B72">
            <v>1</v>
          </cell>
          <cell r="C72">
            <v>0.718391</v>
          </cell>
          <cell r="D72">
            <v>0.67869999999999997</v>
          </cell>
          <cell r="E72">
            <v>4.5557999999999996</v>
          </cell>
          <cell r="F72">
            <v>1.0149999999999999</v>
          </cell>
          <cell r="G72">
            <v>0.47749999999999998</v>
          </cell>
        </row>
        <row r="73">
          <cell r="A73">
            <v>42369</v>
          </cell>
          <cell r="B73">
            <v>1</v>
          </cell>
          <cell r="C73">
            <v>0.728491</v>
          </cell>
          <cell r="D73">
            <v>0.66590000000000005</v>
          </cell>
          <cell r="E73">
            <v>4.7198000000000002</v>
          </cell>
          <cell r="F73">
            <v>1.0299799999999999</v>
          </cell>
          <cell r="G73">
            <v>0.49130000000000001</v>
          </cell>
        </row>
        <row r="74">
          <cell r="A74">
            <v>42400</v>
          </cell>
          <cell r="B74">
            <v>1</v>
          </cell>
          <cell r="C74">
            <v>0.70861700000000005</v>
          </cell>
          <cell r="D74">
            <v>0.64770000000000005</v>
          </cell>
          <cell r="E74">
            <v>4.6551</v>
          </cell>
          <cell r="F74">
            <v>1.01105</v>
          </cell>
          <cell r="G74">
            <v>0.49320000000000003</v>
          </cell>
        </row>
        <row r="75">
          <cell r="A75">
            <v>42429</v>
          </cell>
          <cell r="B75">
            <v>1</v>
          </cell>
          <cell r="C75">
            <v>0.71280900000000003</v>
          </cell>
          <cell r="D75">
            <v>0.65229999999999999</v>
          </cell>
          <cell r="E75">
            <v>4.6654</v>
          </cell>
          <cell r="F75">
            <v>1.0037</v>
          </cell>
          <cell r="G75">
            <v>0.51390000000000002</v>
          </cell>
        </row>
        <row r="76">
          <cell r="A76">
            <v>42460</v>
          </cell>
          <cell r="B76">
            <v>1</v>
          </cell>
          <cell r="C76">
            <v>0.76610699999999998</v>
          </cell>
          <cell r="D76">
            <v>0.67559999999999998</v>
          </cell>
          <cell r="E76">
            <v>4.9443000000000001</v>
          </cell>
          <cell r="F76">
            <v>1.0347</v>
          </cell>
          <cell r="G76">
            <v>0.53280000000000005</v>
          </cell>
        </row>
        <row r="77">
          <cell r="A77">
            <v>42490</v>
          </cell>
          <cell r="B77">
            <v>1</v>
          </cell>
          <cell r="C77">
            <v>0.76341700000000001</v>
          </cell>
          <cell r="D77">
            <v>0.67190000000000005</v>
          </cell>
          <cell r="E77">
            <v>4.9339000000000004</v>
          </cell>
          <cell r="F77">
            <v>1.02569</v>
          </cell>
          <cell r="G77">
            <v>0.5222</v>
          </cell>
        </row>
        <row r="78">
          <cell r="A78">
            <v>42521</v>
          </cell>
          <cell r="B78">
            <v>1</v>
          </cell>
          <cell r="C78">
            <v>0.71958</v>
          </cell>
          <cell r="D78">
            <v>0.64512000000000003</v>
          </cell>
          <cell r="E78">
            <v>4.7282999999999999</v>
          </cell>
          <cell r="F78">
            <v>0.99219999999999997</v>
          </cell>
          <cell r="G78">
            <v>0.49153999999999998</v>
          </cell>
        </row>
        <row r="79">
          <cell r="A79">
            <v>42551</v>
          </cell>
          <cell r="B79">
            <v>1</v>
          </cell>
          <cell r="C79">
            <v>0.74699300000000002</v>
          </cell>
          <cell r="D79">
            <v>0.67129000000000005</v>
          </cell>
          <cell r="E79">
            <v>4.9507000000000003</v>
          </cell>
          <cell r="F79">
            <v>1.00562</v>
          </cell>
          <cell r="G79">
            <v>0.55459999999999998</v>
          </cell>
        </row>
        <row r="80">
          <cell r="A80">
            <v>42582</v>
          </cell>
          <cell r="B80">
            <v>1</v>
          </cell>
          <cell r="C80">
            <v>0.75125799999999998</v>
          </cell>
          <cell r="D80">
            <v>0.67747999999999997</v>
          </cell>
          <cell r="E80">
            <v>4.9938000000000002</v>
          </cell>
          <cell r="F80">
            <v>1.0155400000000001</v>
          </cell>
          <cell r="G80">
            <v>0.57064999999999999</v>
          </cell>
        </row>
        <row r="81">
          <cell r="A81">
            <v>42613</v>
          </cell>
          <cell r="B81">
            <v>1</v>
          </cell>
          <cell r="C81">
            <v>0.75244500000000003</v>
          </cell>
          <cell r="D81">
            <v>0.67449999999999999</v>
          </cell>
          <cell r="E81">
            <v>4.9991000000000003</v>
          </cell>
          <cell r="F81">
            <v>1.0255399999999999</v>
          </cell>
          <cell r="G81">
            <v>0.57450000000000001</v>
          </cell>
        </row>
        <row r="82">
          <cell r="A82">
            <v>42643</v>
          </cell>
          <cell r="B82">
            <v>1</v>
          </cell>
          <cell r="C82">
            <v>0.76283500000000004</v>
          </cell>
          <cell r="D82">
            <v>0.67969999999999997</v>
          </cell>
          <cell r="E82">
            <v>5.0533000000000001</v>
          </cell>
          <cell r="F82">
            <v>1.04078</v>
          </cell>
          <cell r="G82">
            <v>0.58809999999999996</v>
          </cell>
        </row>
        <row r="83">
          <cell r="A83">
            <v>42674</v>
          </cell>
          <cell r="B83">
            <v>1</v>
          </cell>
          <cell r="C83">
            <v>0.75982099999999997</v>
          </cell>
          <cell r="D83">
            <v>0.69159999999999999</v>
          </cell>
          <cell r="E83">
            <v>5.0884999999999998</v>
          </cell>
          <cell r="F83">
            <v>1.0565500000000001</v>
          </cell>
          <cell r="G83">
            <v>0.62190000000000001</v>
          </cell>
        </row>
        <row r="84">
          <cell r="A84">
            <v>42704</v>
          </cell>
          <cell r="B84">
            <v>1</v>
          </cell>
          <cell r="C84">
            <v>0.74844699999999997</v>
          </cell>
          <cell r="D84">
            <v>0.70289999999999997</v>
          </cell>
          <cell r="E84">
            <v>5.1548999999999996</v>
          </cell>
          <cell r="F84">
            <v>1.0657000000000001</v>
          </cell>
          <cell r="G84">
            <v>0.59899999999999998</v>
          </cell>
        </row>
        <row r="85">
          <cell r="A85">
            <v>42735</v>
          </cell>
          <cell r="B85">
            <v>1</v>
          </cell>
          <cell r="C85">
            <v>0.72348400000000002</v>
          </cell>
          <cell r="D85">
            <v>0.68410000000000004</v>
          </cell>
          <cell r="E85">
            <v>5.0274000000000001</v>
          </cell>
          <cell r="F85">
            <v>1.04606</v>
          </cell>
          <cell r="G85">
            <v>0.5887</v>
          </cell>
        </row>
        <row r="86">
          <cell r="A86">
            <v>42766</v>
          </cell>
          <cell r="B86">
            <v>1</v>
          </cell>
          <cell r="C86">
            <v>0.75654399999999999</v>
          </cell>
          <cell r="D86">
            <v>0.70640999999999998</v>
          </cell>
          <cell r="E86">
            <v>5.1984000000000004</v>
          </cell>
          <cell r="F86">
            <v>1.0744199999999999</v>
          </cell>
          <cell r="G86">
            <v>0.60499999999999998</v>
          </cell>
        </row>
        <row r="87">
          <cell r="A87">
            <v>42794</v>
          </cell>
          <cell r="B87">
            <v>1</v>
          </cell>
          <cell r="C87">
            <v>0.76763599999999999</v>
          </cell>
          <cell r="D87">
            <v>0.72499999999999998</v>
          </cell>
          <cell r="E87">
            <v>5.2671000000000001</v>
          </cell>
          <cell r="F87">
            <v>1.0785899999999999</v>
          </cell>
          <cell r="G87">
            <v>0.6169</v>
          </cell>
        </row>
        <row r="88">
          <cell r="A88">
            <v>42825</v>
          </cell>
          <cell r="B88">
            <v>1</v>
          </cell>
          <cell r="C88">
            <v>0.76552100000000001</v>
          </cell>
          <cell r="D88">
            <v>0.71589999999999998</v>
          </cell>
          <cell r="E88">
            <v>5.2645999999999997</v>
          </cell>
          <cell r="F88">
            <v>1.0685</v>
          </cell>
          <cell r="G88">
            <v>0.61331999999999998</v>
          </cell>
        </row>
        <row r="89">
          <cell r="A89">
            <v>42855</v>
          </cell>
          <cell r="B89">
            <v>1</v>
          </cell>
          <cell r="C89">
            <v>0.74672000000000005</v>
          </cell>
          <cell r="D89">
            <v>0.68725000000000003</v>
          </cell>
          <cell r="E89">
            <v>5.1421999999999999</v>
          </cell>
          <cell r="F89">
            <v>1.04311</v>
          </cell>
          <cell r="G89">
            <v>0.57908000000000004</v>
          </cell>
        </row>
        <row r="90">
          <cell r="A90">
            <v>42886</v>
          </cell>
          <cell r="B90">
            <v>1</v>
          </cell>
          <cell r="C90">
            <v>0.74593500000000001</v>
          </cell>
          <cell r="D90">
            <v>0.66761000000000004</v>
          </cell>
          <cell r="E90">
            <v>5.1086</v>
          </cell>
          <cell r="F90">
            <v>1.0330999999999999</v>
          </cell>
          <cell r="G90">
            <v>0.58225000000000005</v>
          </cell>
        </row>
        <row r="91">
          <cell r="A91">
            <v>42916</v>
          </cell>
          <cell r="B91">
            <v>1</v>
          </cell>
          <cell r="C91">
            <v>0.76852100000000001</v>
          </cell>
          <cell r="D91">
            <v>0.67169999999999996</v>
          </cell>
          <cell r="E91">
            <v>5.2092000000000001</v>
          </cell>
          <cell r="F91">
            <v>1.0589999999999999</v>
          </cell>
          <cell r="G91">
            <v>0.59050000000000002</v>
          </cell>
        </row>
        <row r="92">
          <cell r="A92">
            <v>42947</v>
          </cell>
          <cell r="B92">
            <v>1</v>
          </cell>
          <cell r="C92">
            <v>0.79859400000000003</v>
          </cell>
          <cell r="D92">
            <v>0.67949999999999999</v>
          </cell>
          <cell r="E92">
            <v>5.3738999999999999</v>
          </cell>
          <cell r="F92">
            <v>1.0828</v>
          </cell>
          <cell r="G92">
            <v>0.60719999999999996</v>
          </cell>
        </row>
        <row r="93">
          <cell r="A93">
            <v>42978</v>
          </cell>
          <cell r="B93">
            <v>1</v>
          </cell>
          <cell r="C93">
            <v>0.79070099999999999</v>
          </cell>
          <cell r="D93">
            <v>0.66485000000000005</v>
          </cell>
          <cell r="E93">
            <v>5.2085999999999997</v>
          </cell>
          <cell r="F93">
            <v>1.0730999999999999</v>
          </cell>
          <cell r="G93">
            <v>0.61185</v>
          </cell>
        </row>
        <row r="94">
          <cell r="A94">
            <v>43008</v>
          </cell>
          <cell r="B94">
            <v>1</v>
          </cell>
          <cell r="C94">
            <v>0.78462799999999999</v>
          </cell>
          <cell r="D94">
            <v>0.66590000000000005</v>
          </cell>
          <cell r="E94">
            <v>5.2222</v>
          </cell>
          <cell r="F94">
            <v>1.06565</v>
          </cell>
          <cell r="G94">
            <v>0.58414999999999995</v>
          </cell>
        </row>
        <row r="95">
          <cell r="A95">
            <v>43039</v>
          </cell>
          <cell r="B95">
            <v>1</v>
          </cell>
          <cell r="C95">
            <v>0.769764</v>
          </cell>
          <cell r="D95">
            <v>0.66054999999999997</v>
          </cell>
          <cell r="E95">
            <v>5.1071</v>
          </cell>
          <cell r="F95">
            <v>1.04691</v>
          </cell>
          <cell r="G95">
            <v>0.58248999999999995</v>
          </cell>
        </row>
        <row r="96">
          <cell r="A96">
            <v>43069</v>
          </cell>
          <cell r="B96">
            <v>1</v>
          </cell>
          <cell r="C96">
            <v>0.75665899999999997</v>
          </cell>
          <cell r="D96">
            <v>0.63834000000000002</v>
          </cell>
          <cell r="E96">
            <v>4.9945000000000004</v>
          </cell>
          <cell r="F96">
            <v>1.01915</v>
          </cell>
          <cell r="G96">
            <v>0.56386999999999998</v>
          </cell>
        </row>
        <row r="97">
          <cell r="A97">
            <v>43100</v>
          </cell>
          <cell r="B97">
            <v>1</v>
          </cell>
          <cell r="C97">
            <v>0.77942900000000004</v>
          </cell>
          <cell r="D97">
            <v>0.65273000000000003</v>
          </cell>
          <cell r="E97">
            <v>5.0860000000000003</v>
          </cell>
          <cell r="F97">
            <v>1.04281</v>
          </cell>
          <cell r="G97">
            <v>0.57986000000000004</v>
          </cell>
        </row>
        <row r="98">
          <cell r="A98">
            <v>43131</v>
          </cell>
          <cell r="B98">
            <v>1</v>
          </cell>
          <cell r="C98">
            <v>0.81011</v>
          </cell>
          <cell r="D98">
            <v>0.65249999999999997</v>
          </cell>
          <cell r="E98">
            <v>5.1143000000000001</v>
          </cell>
          <cell r="F98">
            <v>1.0616000000000001</v>
          </cell>
          <cell r="G98">
            <v>0.57223000000000002</v>
          </cell>
        </row>
        <row r="99">
          <cell r="A99">
            <v>43159</v>
          </cell>
          <cell r="B99">
            <v>1</v>
          </cell>
          <cell r="C99">
            <v>0.779362</v>
          </cell>
          <cell r="D99">
            <v>0.63717999999999997</v>
          </cell>
          <cell r="E99">
            <v>4.9192999999999998</v>
          </cell>
          <cell r="F99">
            <v>1.0319799999999999</v>
          </cell>
          <cell r="G99">
            <v>0.56037000000000003</v>
          </cell>
        </row>
        <row r="100">
          <cell r="A100">
            <v>43190</v>
          </cell>
          <cell r="B100">
            <v>1</v>
          </cell>
          <cell r="C100">
            <v>0.76858000000000004</v>
          </cell>
          <cell r="D100">
            <v>0.62450000000000006</v>
          </cell>
          <cell r="E100">
            <v>4.8269000000000002</v>
          </cell>
          <cell r="F100">
            <v>1.0074700000000001</v>
          </cell>
          <cell r="G100">
            <v>0.54764999999999997</v>
          </cell>
        </row>
        <row r="101">
          <cell r="A101">
            <v>43220</v>
          </cell>
          <cell r="B101">
            <v>1</v>
          </cell>
          <cell r="C101">
            <v>0.75751800000000002</v>
          </cell>
          <cell r="D101">
            <v>0.62470000000000003</v>
          </cell>
          <cell r="E101">
            <v>4.7946</v>
          </cell>
          <cell r="F101">
            <v>1.0018</v>
          </cell>
          <cell r="G101">
            <v>0.54993000000000003</v>
          </cell>
        </row>
        <row r="102">
          <cell r="A102">
            <v>43251</v>
          </cell>
          <cell r="B102">
            <v>1</v>
          </cell>
          <cell r="C102">
            <v>0.75711700000000004</v>
          </cell>
          <cell r="D102">
            <v>0.64898</v>
          </cell>
          <cell r="E102">
            <v>4.8543000000000003</v>
          </cell>
          <cell r="F102">
            <v>1.0136700000000001</v>
          </cell>
          <cell r="G102">
            <v>0.56991000000000003</v>
          </cell>
        </row>
        <row r="103">
          <cell r="A103">
            <v>43281</v>
          </cell>
          <cell r="B103">
            <v>1</v>
          </cell>
          <cell r="C103">
            <v>0.73464600000000002</v>
          </cell>
          <cell r="D103">
            <v>0.63529000000000002</v>
          </cell>
          <cell r="E103">
            <v>4.8628999999999998</v>
          </cell>
          <cell r="F103">
            <v>1.0051099999999999</v>
          </cell>
          <cell r="G103">
            <v>0.56181999999999999</v>
          </cell>
        </row>
        <row r="104">
          <cell r="A104">
            <v>43312</v>
          </cell>
          <cell r="B104">
            <v>1</v>
          </cell>
          <cell r="C104">
            <v>0.74073</v>
          </cell>
          <cell r="D104">
            <v>0.63261000000000001</v>
          </cell>
          <cell r="E104">
            <v>5.0429000000000004</v>
          </cell>
          <cell r="F104">
            <v>1.0080800000000001</v>
          </cell>
          <cell r="G104">
            <v>0.56386000000000003</v>
          </cell>
        </row>
        <row r="105">
          <cell r="A105">
            <v>43343</v>
          </cell>
          <cell r="B105">
            <v>1</v>
          </cell>
          <cell r="C105">
            <v>0.72616400000000003</v>
          </cell>
          <cell r="D105">
            <v>0.62248999999999999</v>
          </cell>
          <cell r="E105">
            <v>4.9638</v>
          </cell>
          <cell r="F105">
            <v>0.99285000000000001</v>
          </cell>
          <cell r="G105">
            <v>0.55808000000000002</v>
          </cell>
        </row>
        <row r="106">
          <cell r="A106">
            <v>43373</v>
          </cell>
          <cell r="B106">
            <v>1</v>
          </cell>
          <cell r="C106">
            <v>0.72051299999999996</v>
          </cell>
          <cell r="D106">
            <v>0.61906000000000005</v>
          </cell>
          <cell r="E106">
            <v>4.9566999999999997</v>
          </cell>
          <cell r="F106">
            <v>0.98553999999999997</v>
          </cell>
          <cell r="G106">
            <v>0.55069999999999997</v>
          </cell>
        </row>
        <row r="107">
          <cell r="A107">
            <v>43404</v>
          </cell>
          <cell r="B107">
            <v>1</v>
          </cell>
          <cell r="C107">
            <v>0.70992500000000003</v>
          </cell>
          <cell r="D107">
            <v>0.62560000000000004</v>
          </cell>
          <cell r="E107">
            <v>4.9391999999999996</v>
          </cell>
          <cell r="F107">
            <v>0.98326000000000002</v>
          </cell>
          <cell r="G107">
            <v>0.55852999999999997</v>
          </cell>
        </row>
        <row r="108">
          <cell r="A108">
            <v>43434</v>
          </cell>
          <cell r="B108">
            <v>1</v>
          </cell>
          <cell r="C108">
            <v>0.73218799999999995</v>
          </cell>
          <cell r="D108">
            <v>0.64261999999999997</v>
          </cell>
          <cell r="E108">
            <v>5.0759999999999996</v>
          </cell>
          <cell r="F108">
            <v>1.0027999999999999</v>
          </cell>
          <cell r="G108">
            <v>0.57269000000000003</v>
          </cell>
        </row>
        <row r="109">
          <cell r="A109">
            <v>43465</v>
          </cell>
          <cell r="B109">
            <v>1</v>
          </cell>
          <cell r="C109">
            <v>0.70447300000000002</v>
          </cell>
          <cell r="D109">
            <v>0.61573999999999995</v>
          </cell>
          <cell r="E109">
            <v>4.8407</v>
          </cell>
          <cell r="F109">
            <v>0.96235000000000004</v>
          </cell>
          <cell r="G109">
            <v>0.55501999999999996</v>
          </cell>
        </row>
        <row r="110">
          <cell r="A110">
            <v>43496</v>
          </cell>
          <cell r="B110">
            <v>1</v>
          </cell>
          <cell r="C110">
            <v>0.725468</v>
          </cell>
          <cell r="D110">
            <v>0.63156999999999996</v>
          </cell>
          <cell r="E110">
            <v>4.8648999999999996</v>
          </cell>
          <cell r="F110">
            <v>0.97682000000000002</v>
          </cell>
          <cell r="G110">
            <v>0.55301</v>
          </cell>
        </row>
        <row r="111">
          <cell r="A111">
            <v>43524</v>
          </cell>
          <cell r="B111">
            <v>1</v>
          </cell>
          <cell r="C111">
            <v>0.71484700000000001</v>
          </cell>
          <cell r="D111">
            <v>0.62805999999999995</v>
          </cell>
          <cell r="E111">
            <v>4.7740999999999998</v>
          </cell>
          <cell r="F111">
            <v>0.96309999999999996</v>
          </cell>
          <cell r="G111">
            <v>0.53669999999999995</v>
          </cell>
        </row>
        <row r="112">
          <cell r="A112">
            <v>43555</v>
          </cell>
          <cell r="B112">
            <v>1</v>
          </cell>
          <cell r="C112">
            <v>0.70831599999999995</v>
          </cell>
          <cell r="D112">
            <v>0.63056000000000001</v>
          </cell>
          <cell r="E112">
            <v>4.7655000000000003</v>
          </cell>
          <cell r="F112">
            <v>0.95989999999999998</v>
          </cell>
          <cell r="G112">
            <v>0.5423</v>
          </cell>
        </row>
        <row r="113">
          <cell r="A113">
            <v>43585</v>
          </cell>
          <cell r="B113">
            <v>1</v>
          </cell>
          <cell r="C113">
            <v>0.70551699999999995</v>
          </cell>
          <cell r="D113">
            <v>0.63068000000000002</v>
          </cell>
          <cell r="E113">
            <v>4.7439</v>
          </cell>
          <cell r="F113">
            <v>0.96016999999999997</v>
          </cell>
          <cell r="G113">
            <v>0.54549000000000003</v>
          </cell>
        </row>
        <row r="114">
          <cell r="A114">
            <v>43616</v>
          </cell>
          <cell r="B114">
            <v>1</v>
          </cell>
          <cell r="C114">
            <v>0.690608</v>
          </cell>
          <cell r="D114">
            <v>0.62019999999999997</v>
          </cell>
          <cell r="E114">
            <v>4.7595999999999998</v>
          </cell>
          <cell r="F114">
            <v>0.95299999999999996</v>
          </cell>
          <cell r="G114">
            <v>0.54761000000000004</v>
          </cell>
        </row>
        <row r="115">
          <cell r="A115">
            <v>43646</v>
          </cell>
          <cell r="B115">
            <v>1</v>
          </cell>
          <cell r="C115">
            <v>0.70037799999999995</v>
          </cell>
          <cell r="D115">
            <v>0.61585000000000001</v>
          </cell>
          <cell r="E115">
            <v>4.8103999999999996</v>
          </cell>
          <cell r="F115">
            <v>0.9476</v>
          </cell>
          <cell r="G115">
            <v>0.55249999999999999</v>
          </cell>
        </row>
        <row r="116">
          <cell r="A116">
            <v>43677</v>
          </cell>
          <cell r="B116">
            <v>1</v>
          </cell>
          <cell r="C116">
            <v>0.68752199999999997</v>
          </cell>
          <cell r="D116">
            <v>0.61611000000000005</v>
          </cell>
          <cell r="E116">
            <v>4.7276999999999996</v>
          </cell>
          <cell r="F116">
            <v>0.94198999999999999</v>
          </cell>
          <cell r="G116">
            <v>0.56525999999999998</v>
          </cell>
        </row>
        <row r="117">
          <cell r="A117">
            <v>43708</v>
          </cell>
          <cell r="B117">
            <v>1</v>
          </cell>
          <cell r="C117">
            <v>0.67358200000000001</v>
          </cell>
          <cell r="D117">
            <v>0.60890999999999995</v>
          </cell>
          <cell r="E117">
            <v>4.8060999999999998</v>
          </cell>
          <cell r="F117">
            <v>0.93459000000000003</v>
          </cell>
          <cell r="G117">
            <v>0.55264999999999997</v>
          </cell>
        </row>
        <row r="118">
          <cell r="A118">
            <v>43738</v>
          </cell>
          <cell r="B118">
            <v>1</v>
          </cell>
          <cell r="C118">
            <v>0.67608699999999999</v>
          </cell>
          <cell r="D118">
            <v>0.61760000000000004</v>
          </cell>
          <cell r="E118">
            <v>4.8089000000000004</v>
          </cell>
          <cell r="F118">
            <v>0.93320000000000003</v>
          </cell>
          <cell r="G118">
            <v>0.54969999999999997</v>
          </cell>
        </row>
        <row r="119">
          <cell r="A119">
            <v>43769</v>
          </cell>
          <cell r="B119">
            <v>1</v>
          </cell>
          <cell r="C119">
            <v>0.68978799999999996</v>
          </cell>
          <cell r="D119">
            <v>0.61823799999999995</v>
          </cell>
          <cell r="E119">
            <v>4.8599389999999998</v>
          </cell>
          <cell r="F119">
            <v>0.93884999999999996</v>
          </cell>
          <cell r="G119">
            <v>0.53458000000000006</v>
          </cell>
        </row>
        <row r="120">
          <cell r="A120">
            <v>43799</v>
          </cell>
          <cell r="B120">
            <v>1</v>
          </cell>
          <cell r="C120">
            <v>0.67689999999999995</v>
          </cell>
          <cell r="D120">
            <v>0.61439999999999995</v>
          </cell>
          <cell r="E120">
            <v>4.7558550000000004</v>
          </cell>
          <cell r="F120">
            <v>0.92349999999999999</v>
          </cell>
          <cell r="G120">
            <v>0.52408999999999994</v>
          </cell>
        </row>
        <row r="121">
          <cell r="A121">
            <v>43830</v>
          </cell>
          <cell r="B121">
            <v>1</v>
          </cell>
          <cell r="C121">
            <v>0.70013999999999998</v>
          </cell>
          <cell r="D121">
            <v>0.62492999999999999</v>
          </cell>
          <cell r="E121">
            <v>4.8873389999999999</v>
          </cell>
          <cell r="F121">
            <v>0.94381999999999999</v>
          </cell>
          <cell r="G121">
            <v>0.53386999999999996</v>
          </cell>
        </row>
        <row r="122">
          <cell r="A122">
            <v>43861</v>
          </cell>
          <cell r="B122">
            <v>1</v>
          </cell>
          <cell r="C122">
            <v>0.67082600000000003</v>
          </cell>
          <cell r="D122">
            <v>0.60799000000000003</v>
          </cell>
          <cell r="E122">
            <v>4.6472660000000001</v>
          </cell>
          <cell r="F122">
            <v>0.91342999999999996</v>
          </cell>
          <cell r="G122">
            <v>0.51244000000000001</v>
          </cell>
        </row>
        <row r="123">
          <cell r="A123">
            <v>43890</v>
          </cell>
          <cell r="B123">
            <v>1</v>
          </cell>
          <cell r="C123">
            <v>0.65802000000000005</v>
          </cell>
          <cell r="D123">
            <v>0.59828000000000003</v>
          </cell>
          <cell r="E123">
            <v>4.6042459999999998</v>
          </cell>
          <cell r="F123">
            <v>0.91764999999999997</v>
          </cell>
          <cell r="G123">
            <v>0.51046000000000002</v>
          </cell>
        </row>
        <row r="124">
          <cell r="A124">
            <v>43921</v>
          </cell>
          <cell r="B124">
            <v>1</v>
          </cell>
          <cell r="C124">
            <v>0.61689899999999998</v>
          </cell>
          <cell r="D124">
            <v>0.55913999999999997</v>
          </cell>
          <cell r="E124">
            <v>4.3714269999999997</v>
          </cell>
          <cell r="F124">
            <v>0.87822</v>
          </cell>
          <cell r="G124">
            <v>0.49848999999999999</v>
          </cell>
        </row>
        <row r="125">
          <cell r="A125">
            <v>43951</v>
          </cell>
          <cell r="B125">
            <v>1</v>
          </cell>
          <cell r="C125">
            <v>0.655501</v>
          </cell>
          <cell r="D125">
            <v>0.60255000000000003</v>
          </cell>
          <cell r="E125">
            <v>4.6334270000000002</v>
          </cell>
          <cell r="F125">
            <v>0.92410000000000003</v>
          </cell>
          <cell r="G125">
            <v>0.52553000000000005</v>
          </cell>
        </row>
        <row r="126">
          <cell r="A126">
            <v>43982</v>
          </cell>
          <cell r="B126">
            <v>1</v>
          </cell>
          <cell r="C126">
            <v>0.66335</v>
          </cell>
          <cell r="D126">
            <v>0.59860000000000002</v>
          </cell>
          <cell r="E126">
            <v>4.7331899999999996</v>
          </cell>
          <cell r="F126">
            <v>0.93979999999999997</v>
          </cell>
          <cell r="G126">
            <v>0.53834000000000004</v>
          </cell>
        </row>
        <row r="127">
          <cell r="A127">
            <v>44012</v>
          </cell>
          <cell r="B127">
            <v>1</v>
          </cell>
          <cell r="C127">
            <v>0.687191</v>
          </cell>
          <cell r="D127">
            <v>0.61097000000000001</v>
          </cell>
          <cell r="E127">
            <v>4.8614059999999997</v>
          </cell>
          <cell r="F127">
            <v>0.95743</v>
          </cell>
          <cell r="G127">
            <v>0.55818999999999996</v>
          </cell>
        </row>
        <row r="128">
          <cell r="A128">
            <v>44043</v>
          </cell>
          <cell r="B128">
            <v>1</v>
          </cell>
          <cell r="C128">
            <v>0.72036800000000001</v>
          </cell>
          <cell r="D128">
            <v>0.60660000000000003</v>
          </cell>
          <cell r="E128">
            <v>5.0417370000000004</v>
          </cell>
          <cell r="F128">
            <v>0.98740000000000006</v>
          </cell>
          <cell r="G128">
            <v>0.54910000000000003</v>
          </cell>
        </row>
        <row r="129">
          <cell r="A129">
            <v>44074</v>
          </cell>
          <cell r="B129">
            <v>1</v>
          </cell>
          <cell r="C129">
            <v>0.73729999999999996</v>
          </cell>
          <cell r="D129">
            <v>0.61829999999999996</v>
          </cell>
          <cell r="E129">
            <v>5.0480479999999996</v>
          </cell>
          <cell r="F129">
            <v>1.0004</v>
          </cell>
          <cell r="G129">
            <v>0.55169999999999997</v>
          </cell>
        </row>
        <row r="130">
          <cell r="A130">
            <v>44104</v>
          </cell>
          <cell r="B130">
            <v>1</v>
          </cell>
          <cell r="C130">
            <v>0.71435999999999999</v>
          </cell>
          <cell r="D130">
            <v>0.60834999999999995</v>
          </cell>
          <cell r="E130">
            <v>4.8634820000000003</v>
          </cell>
          <cell r="F130">
            <v>0.97731999999999997</v>
          </cell>
          <cell r="G130">
            <v>0.55523</v>
          </cell>
        </row>
        <row r="131">
          <cell r="A131">
            <v>44135</v>
          </cell>
          <cell r="B131">
            <v>1</v>
          </cell>
          <cell r="C131">
            <v>0.70376000000000005</v>
          </cell>
          <cell r="D131">
            <v>0.60255999999999998</v>
          </cell>
          <cell r="E131">
            <v>4.7187960000000002</v>
          </cell>
          <cell r="F131">
            <v>0.96130000000000004</v>
          </cell>
          <cell r="G131">
            <v>0.54417000000000004</v>
          </cell>
        </row>
        <row r="132">
          <cell r="A132">
            <v>44165</v>
          </cell>
          <cell r="B132">
            <v>1</v>
          </cell>
          <cell r="C132">
            <v>0.74002800000000002</v>
          </cell>
          <cell r="D132">
            <v>0.61809999999999998</v>
          </cell>
          <cell r="E132">
            <v>4.8576370000000004</v>
          </cell>
          <cell r="F132">
            <v>0.98970999999999998</v>
          </cell>
          <cell r="G132">
            <v>0.55501999999999996</v>
          </cell>
        </row>
        <row r="133">
          <cell r="A133">
            <v>44196</v>
          </cell>
          <cell r="B133">
            <v>1</v>
          </cell>
          <cell r="C133">
            <v>0.76892899999999997</v>
          </cell>
          <cell r="D133">
            <v>0.62509000000000003</v>
          </cell>
          <cell r="E133">
            <v>5.0096590000000001</v>
          </cell>
          <cell r="F133">
            <v>1.0171699999999999</v>
          </cell>
          <cell r="G133">
            <v>0.56406999999999996</v>
          </cell>
        </row>
        <row r="134">
          <cell r="A134">
            <v>44227</v>
          </cell>
          <cell r="B134">
            <v>1</v>
          </cell>
          <cell r="C134">
            <v>0.76697000000000004</v>
          </cell>
          <cell r="D134">
            <v>0.63278000000000001</v>
          </cell>
          <cell r="E134">
            <v>4.9395470000000001</v>
          </cell>
          <cell r="F134">
            <v>1.0189999999999999</v>
          </cell>
          <cell r="G134">
            <v>0.55878000000000005</v>
          </cell>
        </row>
        <row r="135">
          <cell r="A135">
            <v>44255</v>
          </cell>
          <cell r="B135">
            <v>1</v>
          </cell>
          <cell r="C135">
            <v>0.78700000000000003</v>
          </cell>
          <cell r="D135">
            <v>0.64700999999999997</v>
          </cell>
          <cell r="E135">
            <v>5.0747799999999996</v>
          </cell>
          <cell r="F135">
            <v>1.04495</v>
          </cell>
          <cell r="G135">
            <v>0.56167</v>
          </cell>
        </row>
        <row r="136">
          <cell r="A136">
            <v>44286</v>
          </cell>
          <cell r="B136">
            <v>1</v>
          </cell>
          <cell r="C136">
            <v>0.76088</v>
          </cell>
          <cell r="D136">
            <v>0.64895999999999998</v>
          </cell>
          <cell r="E136">
            <v>4.9914849999999999</v>
          </cell>
          <cell r="F136">
            <v>1.0246</v>
          </cell>
          <cell r="G136">
            <v>0.55345</v>
          </cell>
        </row>
        <row r="137">
          <cell r="A137">
            <v>44316</v>
          </cell>
          <cell r="B137">
            <v>1</v>
          </cell>
          <cell r="C137">
            <v>0.77776199999999995</v>
          </cell>
          <cell r="D137">
            <v>0.64139000000000002</v>
          </cell>
          <cell r="E137">
            <v>5.0260389999999999</v>
          </cell>
          <cell r="F137">
            <v>1.03102</v>
          </cell>
          <cell r="G137">
            <v>0.55744000000000005</v>
          </cell>
        </row>
        <row r="138">
          <cell r="A138">
            <v>44347</v>
          </cell>
          <cell r="B138">
            <v>1</v>
          </cell>
          <cell r="C138">
            <v>0.77100999999999997</v>
          </cell>
          <cell r="D138">
            <v>0.63229000000000002</v>
          </cell>
          <cell r="E138">
            <v>4.9061159999999999</v>
          </cell>
          <cell r="F138">
            <v>1.0199</v>
          </cell>
          <cell r="G138">
            <v>0.54349999999999998</v>
          </cell>
        </row>
        <row r="139">
          <cell r="A139">
            <v>44377</v>
          </cell>
          <cell r="B139">
            <v>1</v>
          </cell>
          <cell r="C139">
            <v>0.75136000000000003</v>
          </cell>
          <cell r="D139">
            <v>0.63131999999999999</v>
          </cell>
          <cell r="E139">
            <v>4.8481829999999997</v>
          </cell>
          <cell r="F139">
            <v>1.0105299999999999</v>
          </cell>
          <cell r="G139">
            <v>0.54281999999999997</v>
          </cell>
        </row>
        <row r="140">
          <cell r="A140">
            <v>44408</v>
          </cell>
          <cell r="B140">
            <v>1</v>
          </cell>
          <cell r="C140">
            <v>0.73960999999999999</v>
          </cell>
          <cell r="D140">
            <v>0.62195999999999996</v>
          </cell>
          <cell r="E140">
            <v>4.7713380000000001</v>
          </cell>
          <cell r="F140">
            <v>1.0005900000000001</v>
          </cell>
          <cell r="G140">
            <v>0.52959999999999996</v>
          </cell>
        </row>
        <row r="141">
          <cell r="A141">
            <v>44439</v>
          </cell>
          <cell r="B141">
            <v>1</v>
          </cell>
          <cell r="C141">
            <v>0.72912299999999997</v>
          </cell>
          <cell r="D141">
            <v>0.61782000000000004</v>
          </cell>
          <cell r="E141">
            <v>4.7086959999999998</v>
          </cell>
          <cell r="F141">
            <v>0.98040000000000005</v>
          </cell>
          <cell r="G141">
            <v>0.52959999999999996</v>
          </cell>
        </row>
        <row r="142">
          <cell r="A142">
            <v>44469</v>
          </cell>
          <cell r="B142">
            <v>1</v>
          </cell>
          <cell r="C142">
            <v>0.71799999999999997</v>
          </cell>
          <cell r="D142">
            <v>0.61880000000000002</v>
          </cell>
          <cell r="E142">
            <v>4.6392670000000003</v>
          </cell>
          <cell r="F142">
            <v>0.97736999999999996</v>
          </cell>
          <cell r="G142">
            <v>0.534605</v>
          </cell>
        </row>
        <row r="143">
          <cell r="A143">
            <v>44500</v>
          </cell>
          <cell r="B143">
            <v>1</v>
          </cell>
          <cell r="C143">
            <v>0.75316000000000005</v>
          </cell>
          <cell r="D143">
            <v>0.64449999999999996</v>
          </cell>
          <cell r="E143">
            <v>4.8089890000000004</v>
          </cell>
          <cell r="F143">
            <v>1.0117</v>
          </cell>
          <cell r="G143">
            <v>0.54561899999999997</v>
          </cell>
        </row>
        <row r="144">
          <cell r="A144">
            <v>44530</v>
          </cell>
          <cell r="B144">
            <v>1</v>
          </cell>
          <cell r="C144">
            <v>0.71457999999999999</v>
          </cell>
          <cell r="D144">
            <v>0.63271999999999995</v>
          </cell>
          <cell r="E144">
            <v>4.5585500000000003</v>
          </cell>
          <cell r="F144">
            <v>0.97770999999999997</v>
          </cell>
          <cell r="G144">
            <v>0.53654000000000002</v>
          </cell>
        </row>
        <row r="145">
          <cell r="A145">
            <v>44561</v>
          </cell>
          <cell r="B145">
            <v>1</v>
          </cell>
          <cell r="C145">
            <v>0.72497999999999996</v>
          </cell>
          <cell r="D145">
            <v>0.64024999999999999</v>
          </cell>
          <cell r="E145">
            <v>4.6138870000000001</v>
          </cell>
          <cell r="F145">
            <v>0.97975000000000001</v>
          </cell>
          <cell r="G145">
            <v>0.53703000000000001</v>
          </cell>
        </row>
        <row r="146">
          <cell r="A146">
            <v>44592</v>
          </cell>
          <cell r="B146">
            <v>1</v>
          </cell>
          <cell r="C146">
            <v>0.69979999999999998</v>
          </cell>
          <cell r="D146">
            <v>0.62729999999999997</v>
          </cell>
          <cell r="E146">
            <v>4.4218489999999999</v>
          </cell>
          <cell r="F146">
            <v>0.94857000000000002</v>
          </cell>
          <cell r="G146">
            <v>0.52195000000000003</v>
          </cell>
        </row>
        <row r="147">
          <cell r="A147">
            <v>44620</v>
          </cell>
          <cell r="B147">
            <v>1</v>
          </cell>
          <cell r="C147">
            <v>0.71864899999999998</v>
          </cell>
          <cell r="D147">
            <v>0.64261000000000001</v>
          </cell>
          <cell r="E147">
            <v>4.5115429999999996</v>
          </cell>
          <cell r="F147">
            <v>0.97645999999999999</v>
          </cell>
          <cell r="G147">
            <v>0.53725999999999996</v>
          </cell>
        </row>
        <row r="148">
          <cell r="A148">
            <v>44651</v>
          </cell>
          <cell r="B148">
            <v>1</v>
          </cell>
          <cell r="C148">
            <v>0.75029999999999997</v>
          </cell>
          <cell r="D148">
            <v>0.67203999999999997</v>
          </cell>
          <cell r="E148">
            <v>4.7526039999999998</v>
          </cell>
          <cell r="F148">
            <v>1.0145599999999999</v>
          </cell>
          <cell r="G148">
            <v>0.57079999999999997</v>
          </cell>
        </row>
        <row r="149">
          <cell r="A149">
            <v>44681</v>
          </cell>
          <cell r="B149">
            <v>1</v>
          </cell>
          <cell r="C149">
            <v>0.71088399999999996</v>
          </cell>
          <cell r="D149">
            <v>0.67659999999999998</v>
          </cell>
          <cell r="E149">
            <v>4.6997220000000004</v>
          </cell>
          <cell r="F149">
            <v>0.98499999999999999</v>
          </cell>
          <cell r="G149">
            <v>0.57010000000000005</v>
          </cell>
        </row>
        <row r="150">
          <cell r="A150">
            <v>44712</v>
          </cell>
          <cell r="B150">
            <v>1</v>
          </cell>
          <cell r="C150">
            <v>0.71952000000000005</v>
          </cell>
          <cell r="D150">
            <v>0.66783999999999999</v>
          </cell>
          <cell r="E150">
            <v>4.7862299999999998</v>
          </cell>
          <cell r="F150">
            <v>0.98348000000000002</v>
          </cell>
          <cell r="G150">
            <v>0.56889999999999996</v>
          </cell>
        </row>
        <row r="151">
          <cell r="A151">
            <v>44742</v>
          </cell>
          <cell r="B151">
            <v>1</v>
          </cell>
          <cell r="C151">
            <v>0.68804699999999996</v>
          </cell>
          <cell r="D151">
            <v>0.65849000000000002</v>
          </cell>
          <cell r="E151">
            <v>4.59971</v>
          </cell>
          <cell r="F151">
            <v>0.95799999999999996</v>
          </cell>
          <cell r="G151">
            <v>0.56711</v>
          </cell>
        </row>
        <row r="152">
          <cell r="A152">
            <v>44773</v>
          </cell>
          <cell r="B152">
            <v>1</v>
          </cell>
          <cell r="C152">
            <v>0.70008400000000004</v>
          </cell>
          <cell r="D152">
            <v>0.68654999999999999</v>
          </cell>
          <cell r="E152">
            <v>4.7146379999999999</v>
          </cell>
          <cell r="F152">
            <v>0.96531</v>
          </cell>
          <cell r="G152">
            <v>0.57481000000000004</v>
          </cell>
        </row>
        <row r="153">
          <cell r="A153">
            <v>44804</v>
          </cell>
          <cell r="B153">
            <v>1</v>
          </cell>
          <cell r="C153">
            <v>0.68574000000000002</v>
          </cell>
          <cell r="D153">
            <v>0.68396999999999997</v>
          </cell>
          <cell r="E153">
            <v>4.7328150000000004</v>
          </cell>
          <cell r="F153">
            <v>0.95850999999999997</v>
          </cell>
          <cell r="G153">
            <v>0.58808000000000005</v>
          </cell>
        </row>
        <row r="154">
          <cell r="A154">
            <v>44834</v>
          </cell>
          <cell r="B154">
            <v>1</v>
          </cell>
          <cell r="C154">
            <v>0.65129999999999999</v>
          </cell>
          <cell r="D154">
            <v>0.66218999999999995</v>
          </cell>
          <cell r="E154">
            <v>4.6351370000000003</v>
          </cell>
          <cell r="F154">
            <v>0.93100000000000005</v>
          </cell>
          <cell r="G154">
            <v>0.58260000000000001</v>
          </cell>
        </row>
        <row r="155">
          <cell r="A155">
            <v>44865</v>
          </cell>
          <cell r="B155">
            <v>1</v>
          </cell>
          <cell r="C155">
            <v>0.64013100000000001</v>
          </cell>
          <cell r="D155">
            <v>0.64293999999999996</v>
          </cell>
          <cell r="E155">
            <v>4.6446420000000002</v>
          </cell>
          <cell r="F155">
            <v>0.90364</v>
          </cell>
          <cell r="G155">
            <v>0.55196000000000001</v>
          </cell>
        </row>
        <row r="156">
          <cell r="A156">
            <v>44895</v>
          </cell>
          <cell r="B156">
            <v>1</v>
          </cell>
          <cell r="C156">
            <v>0.66840900000000003</v>
          </cell>
          <cell r="D156">
            <v>0.64732000000000001</v>
          </cell>
          <cell r="E156">
            <v>4.771541</v>
          </cell>
          <cell r="F156">
            <v>0.91912000000000005</v>
          </cell>
          <cell r="G156">
            <v>0.55940000000000001</v>
          </cell>
        </row>
        <row r="157">
          <cell r="A157">
            <v>44926</v>
          </cell>
          <cell r="B157">
            <v>1</v>
          </cell>
          <cell r="C157">
            <v>0.67659999999999998</v>
          </cell>
          <cell r="D157">
            <v>0.63458999999999999</v>
          </cell>
          <cell r="E157">
            <v>4.7118120000000001</v>
          </cell>
          <cell r="F157">
            <v>0.90898999999999996</v>
          </cell>
          <cell r="G157">
            <v>0.56113000000000002</v>
          </cell>
        </row>
        <row r="158">
          <cell r="A158">
            <v>44957</v>
          </cell>
          <cell r="B158">
            <v>1</v>
          </cell>
          <cell r="C158">
            <v>0.70581000000000005</v>
          </cell>
          <cell r="D158">
            <v>0.65029999999999999</v>
          </cell>
          <cell r="E158">
            <v>4.7567009999999996</v>
          </cell>
          <cell r="F158">
            <v>0.92781000000000002</v>
          </cell>
          <cell r="G158">
            <v>0.57142499999999996</v>
          </cell>
        </row>
        <row r="159">
          <cell r="A159">
            <v>44985</v>
          </cell>
          <cell r="B159">
            <v>1</v>
          </cell>
          <cell r="C159">
            <v>0.67430000000000001</v>
          </cell>
          <cell r="D159">
            <v>0.63531000000000004</v>
          </cell>
          <cell r="E159">
            <v>4.6746400000000001</v>
          </cell>
          <cell r="F159">
            <v>0.90778999999999999</v>
          </cell>
          <cell r="G159">
            <v>0.55881000000000003</v>
          </cell>
        </row>
        <row r="160">
          <cell r="A160">
            <v>45016</v>
          </cell>
          <cell r="B160">
            <v>1</v>
          </cell>
          <cell r="C160">
            <v>0.671682</v>
          </cell>
          <cell r="D160">
            <v>0.61570000000000003</v>
          </cell>
          <cell r="E160">
            <v>4.6074599999999997</v>
          </cell>
          <cell r="F160">
            <v>0.89173000000000002</v>
          </cell>
          <cell r="G160">
            <v>0.54210999999999998</v>
          </cell>
        </row>
        <row r="161">
          <cell r="A161">
            <v>45046</v>
          </cell>
          <cell r="B161">
            <v>1</v>
          </cell>
          <cell r="C161">
            <v>0.66303999999999996</v>
          </cell>
          <cell r="D161">
            <v>0.60097</v>
          </cell>
          <cell r="E161">
            <v>4.5852110000000001</v>
          </cell>
          <cell r="F161">
            <v>0.88505999999999996</v>
          </cell>
          <cell r="G161">
            <v>0.53049999999999997</v>
          </cell>
        </row>
        <row r="162">
          <cell r="A162">
            <v>45077</v>
          </cell>
          <cell r="B162">
            <v>1</v>
          </cell>
          <cell r="C162">
            <v>0.65178000000000003</v>
          </cell>
          <cell r="D162">
            <v>0.60719999999999996</v>
          </cell>
          <cell r="E162">
            <v>4.6093060000000001</v>
          </cell>
          <cell r="F162">
            <v>0.88031999999999999</v>
          </cell>
          <cell r="G162">
            <v>0.52507000000000004</v>
          </cell>
        </row>
        <row r="163">
          <cell r="A163">
            <v>45107</v>
          </cell>
          <cell r="B163">
            <v>1</v>
          </cell>
          <cell r="C163">
            <v>0.66197099999999998</v>
          </cell>
          <cell r="D163">
            <v>0.60902999999999996</v>
          </cell>
          <cell r="E163">
            <v>4.7953770000000002</v>
          </cell>
          <cell r="F163">
            <v>0.89761999999999997</v>
          </cell>
          <cell r="G163">
            <v>0.52471000000000001</v>
          </cell>
        </row>
        <row r="164">
          <cell r="A164">
            <v>45138</v>
          </cell>
          <cell r="B164">
            <v>1</v>
          </cell>
          <cell r="C164">
            <v>0.66608100000000003</v>
          </cell>
          <cell r="D164">
            <v>0.60414000000000001</v>
          </cell>
          <cell r="E164">
            <v>4.7098829999999996</v>
          </cell>
          <cell r="F164">
            <v>0.88666</v>
          </cell>
          <cell r="G164">
            <v>0.51815</v>
          </cell>
        </row>
        <row r="165">
          <cell r="A165">
            <v>45169</v>
          </cell>
          <cell r="B165">
            <v>1</v>
          </cell>
          <cell r="C165">
            <v>0.64787799999999995</v>
          </cell>
          <cell r="D165">
            <v>0.59274000000000004</v>
          </cell>
          <cell r="E165">
            <v>4.6447050000000001</v>
          </cell>
          <cell r="F165">
            <v>0.87431999999999999</v>
          </cell>
          <cell r="G165">
            <v>0.50963000000000003</v>
          </cell>
        </row>
        <row r="166">
          <cell r="A166">
            <v>45199</v>
          </cell>
          <cell r="B166">
            <v>1</v>
          </cell>
          <cell r="C166">
            <v>0.64279699999999995</v>
          </cell>
          <cell r="D166">
            <v>0.60838999999999999</v>
          </cell>
          <cell r="E166">
            <v>4.6017169999999998</v>
          </cell>
          <cell r="F166">
            <v>0.87778999999999996</v>
          </cell>
          <cell r="G166">
            <v>0.52653000000000005</v>
          </cell>
        </row>
        <row r="167">
          <cell r="A167">
            <v>45230</v>
          </cell>
          <cell r="B167">
            <v>1</v>
          </cell>
          <cell r="C167">
            <v>0.6371</v>
          </cell>
          <cell r="D167">
            <v>0.5998</v>
          </cell>
          <cell r="E167">
            <v>4.5642500000000004</v>
          </cell>
          <cell r="F167">
            <v>0.86850000000000005</v>
          </cell>
          <cell r="G167">
            <v>0.52339999999999998</v>
          </cell>
        </row>
        <row r="168">
          <cell r="A168">
            <v>45260</v>
          </cell>
          <cell r="B168">
            <v>1</v>
          </cell>
          <cell r="C168">
            <v>0.66190099999999996</v>
          </cell>
          <cell r="D168">
            <v>0.60299000000000003</v>
          </cell>
          <cell r="E168">
            <v>4.6851039999999999</v>
          </cell>
          <cell r="F168">
            <v>0.88166</v>
          </cell>
          <cell r="G168">
            <v>0.5212</v>
          </cell>
        </row>
        <row r="169">
          <cell r="A169">
            <v>45291</v>
          </cell>
          <cell r="B169">
            <v>1</v>
          </cell>
          <cell r="C169">
            <v>0.68262999999999996</v>
          </cell>
          <cell r="D169">
            <v>0.61668000000000001</v>
          </cell>
          <cell r="E169">
            <v>4.8217939999999997</v>
          </cell>
          <cell r="F169">
            <v>0.90114000000000005</v>
          </cell>
          <cell r="G169">
            <v>0.53603000000000001</v>
          </cell>
        </row>
        <row r="170">
          <cell r="A170">
            <v>45322</v>
          </cell>
          <cell r="B170">
            <v>1</v>
          </cell>
          <cell r="C170">
            <v>0.65947999999999996</v>
          </cell>
          <cell r="D170">
            <v>0.60814000000000001</v>
          </cell>
          <cell r="E170">
            <v>4.6785350000000001</v>
          </cell>
          <cell r="F170">
            <v>0.88314999999999999</v>
          </cell>
          <cell r="G170">
            <v>0.51941999999999999</v>
          </cell>
        </row>
        <row r="171">
          <cell r="A171">
            <v>45351</v>
          </cell>
          <cell r="B171">
            <v>1</v>
          </cell>
          <cell r="C171">
            <v>0.64946999999999999</v>
          </cell>
          <cell r="D171">
            <v>0.59916999999999998</v>
          </cell>
          <cell r="E171">
            <v>4.6101450000000002</v>
          </cell>
          <cell r="F171">
            <v>0.87319999999999998</v>
          </cell>
          <cell r="G171">
            <v>0.51293</v>
          </cell>
        </row>
        <row r="172">
          <cell r="A172">
            <v>45382</v>
          </cell>
          <cell r="B172">
            <v>1</v>
          </cell>
          <cell r="C172">
            <v>0.65167799999999998</v>
          </cell>
          <cell r="D172">
            <v>0.60370000000000001</v>
          </cell>
          <cell r="E172">
            <v>4.6251920000000002</v>
          </cell>
          <cell r="F172">
            <v>0.87909999999999999</v>
          </cell>
          <cell r="G172">
            <v>0.51600000000000001</v>
          </cell>
        </row>
        <row r="173">
          <cell r="A173">
            <v>45412</v>
          </cell>
          <cell r="B173">
            <v>1</v>
          </cell>
          <cell r="C173">
            <v>0.65619000000000005</v>
          </cell>
          <cell r="D173">
            <v>0.61231999999999998</v>
          </cell>
          <cell r="E173">
            <v>4.6458199999999996</v>
          </cell>
          <cell r="F173">
            <v>0.89231000000000005</v>
          </cell>
          <cell r="G173">
            <v>0.52241000000000004</v>
          </cell>
        </row>
        <row r="174">
          <cell r="A174">
            <v>45443</v>
          </cell>
          <cell r="B174">
            <v>1</v>
          </cell>
          <cell r="C174">
            <v>0.66303000000000001</v>
          </cell>
          <cell r="D174">
            <v>0.61207</v>
          </cell>
          <cell r="E174">
            <v>4.6965089999999998</v>
          </cell>
          <cell r="F174">
            <v>0.89510000000000001</v>
          </cell>
          <cell r="G174">
            <v>0.52081999999999995</v>
          </cell>
        </row>
        <row r="175">
          <cell r="A175">
            <v>45473</v>
          </cell>
          <cell r="B175">
            <v>1</v>
          </cell>
          <cell r="C175">
            <v>0.66505999999999998</v>
          </cell>
          <cell r="D175">
            <v>0.62104000000000004</v>
          </cell>
          <cell r="E175">
            <v>4.8319609999999997</v>
          </cell>
          <cell r="F175">
            <v>0.90259999999999996</v>
          </cell>
          <cell r="G175">
            <v>0.52590000000000003</v>
          </cell>
        </row>
        <row r="176">
          <cell r="A176">
            <v>45504</v>
          </cell>
          <cell r="B176">
            <v>1</v>
          </cell>
          <cell r="C176">
            <v>0.65415000000000001</v>
          </cell>
          <cell r="D176">
            <v>0.60475000000000001</v>
          </cell>
          <cell r="E176">
            <v>4.7434070000000004</v>
          </cell>
          <cell r="F176">
            <v>0.87719999999999998</v>
          </cell>
          <cell r="G176">
            <v>0.50929999999999997</v>
          </cell>
        </row>
        <row r="177">
          <cell r="A177">
            <v>45535</v>
          </cell>
          <cell r="B177">
            <v>1</v>
          </cell>
          <cell r="C177">
            <v>0.67959999999999998</v>
          </cell>
          <cell r="D177">
            <v>0.61329999999999996</v>
          </cell>
          <cell r="E177">
            <v>4.8219000000000003</v>
          </cell>
          <cell r="F177">
            <v>0.8851</v>
          </cell>
          <cell r="G177">
            <v>0.5161</v>
          </cell>
        </row>
        <row r="178">
          <cell r="A178">
            <v>45565</v>
          </cell>
          <cell r="B178">
            <v>1</v>
          </cell>
          <cell r="C178">
            <v>0.69189999999999996</v>
          </cell>
          <cell r="D178">
            <v>0.61939999999999995</v>
          </cell>
          <cell r="E178">
            <v>4.8503999999999996</v>
          </cell>
          <cell r="F178">
            <v>0.88570000000000004</v>
          </cell>
          <cell r="G178">
            <v>0.51690000000000003</v>
          </cell>
        </row>
        <row r="179">
          <cell r="A179">
            <v>45596</v>
          </cell>
          <cell r="B179">
            <v>1</v>
          </cell>
          <cell r="C179">
            <v>0.6573</v>
          </cell>
          <cell r="D179">
            <v>0.60529999999999995</v>
          </cell>
          <cell r="E179">
            <v>4.6540999999999997</v>
          </cell>
          <cell r="F179">
            <v>0.86890000000000001</v>
          </cell>
          <cell r="G179">
            <v>0.50719999999999998</v>
          </cell>
        </row>
        <row r="180">
          <cell r="A180">
            <v>45626</v>
          </cell>
          <cell r="B180">
            <v>1</v>
          </cell>
          <cell r="C180">
            <v>0.65069999999999995</v>
          </cell>
          <cell r="D180">
            <v>0.61609999999999998</v>
          </cell>
          <cell r="E180">
            <v>4.7130999999999998</v>
          </cell>
          <cell r="F180">
            <v>0.87219999999999998</v>
          </cell>
          <cell r="G180">
            <v>0.51239999999999997</v>
          </cell>
        </row>
        <row r="181">
          <cell r="A181">
            <v>45657</v>
          </cell>
          <cell r="B181">
            <v>1</v>
          </cell>
          <cell r="C181">
            <v>0.622</v>
          </cell>
          <cell r="D181">
            <v>0.59750000000000003</v>
          </cell>
          <cell r="E181">
            <v>4.5385999999999997</v>
          </cell>
          <cell r="F181">
            <v>0.84470000000000001</v>
          </cell>
          <cell r="G181">
            <v>0.4955</v>
          </cell>
        </row>
        <row r="182">
          <cell r="A182">
            <v>45688</v>
          </cell>
          <cell r="B182">
            <v>1</v>
          </cell>
          <cell r="C182">
            <v>0.62150000000000005</v>
          </cell>
          <cell r="D182">
            <v>0.59770000000000001</v>
          </cell>
          <cell r="E182">
            <v>4.4630000000000001</v>
          </cell>
          <cell r="F182">
            <v>0.84</v>
          </cell>
          <cell r="G182">
            <v>0.50019999999999998</v>
          </cell>
        </row>
        <row r="183">
          <cell r="A183">
            <v>45716</v>
          </cell>
          <cell r="B183">
            <v>1</v>
          </cell>
          <cell r="C183">
            <v>0.62319999999999998</v>
          </cell>
          <cell r="D183">
            <v>0.59950000000000003</v>
          </cell>
          <cell r="E183">
            <v>4.5403000000000002</v>
          </cell>
          <cell r="F183">
            <v>0.84019999999999995</v>
          </cell>
          <cell r="G183">
            <v>0.49459999999999998</v>
          </cell>
        </row>
        <row r="184">
          <cell r="A184">
            <v>45747</v>
          </cell>
          <cell r="B184">
            <v>1</v>
          </cell>
          <cell r="C184">
            <v>0.62819999999999998</v>
          </cell>
          <cell r="D184">
            <v>0.58040000000000003</v>
          </cell>
          <cell r="E184">
            <v>4.5625</v>
          </cell>
          <cell r="F184">
            <v>0.84499999999999997</v>
          </cell>
          <cell r="G184">
            <v>0.48549999999999999</v>
          </cell>
        </row>
        <row r="185">
          <cell r="A185">
            <v>45777</v>
          </cell>
          <cell r="B185">
            <v>1</v>
          </cell>
          <cell r="C185">
            <v>0.63870000000000005</v>
          </cell>
          <cell r="D185">
            <v>0.56059999999999999</v>
          </cell>
          <cell r="E185">
            <v>4.6412000000000004</v>
          </cell>
          <cell r="F185">
            <v>0.83530000000000004</v>
          </cell>
          <cell r="G185">
            <v>0.47610000000000002</v>
          </cell>
        </row>
        <row r="186">
          <cell r="A186">
            <v>45808</v>
          </cell>
          <cell r="B186">
            <v>1</v>
          </cell>
          <cell r="C186">
            <v>0.64459999999999995</v>
          </cell>
          <cell r="D186">
            <v>0.56640000000000001</v>
          </cell>
          <cell r="E186">
            <v>4.6433</v>
          </cell>
          <cell r="F186">
            <v>0.82899999999999996</v>
          </cell>
          <cell r="G186">
            <v>0.47739999999999999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4C65-EEBF-354A-AD99-D3EF4DC8EBB4}">
  <sheetPr codeName="Sheet1">
    <tabColor rgb="FF00B0F0"/>
  </sheetPr>
  <dimension ref="A1:AB3"/>
  <sheetViews>
    <sheetView workbookViewId="0">
      <selection activeCell="I3" sqref="I3"/>
    </sheetView>
  </sheetViews>
  <sheetFormatPr baseColWidth="10" defaultRowHeight="16" x14ac:dyDescent="0.2"/>
  <cols>
    <col min="1" max="1" width="19.1640625" style="1" customWidth="1"/>
    <col min="2" max="2" width="14.83203125" style="1" customWidth="1"/>
    <col min="3" max="3" width="5.83203125" style="1" customWidth="1"/>
    <col min="4" max="4" width="10.83203125" style="1"/>
    <col min="5" max="5" width="14.83203125" style="1" bestFit="1" customWidth="1"/>
    <col min="6" max="7" width="7.83203125" style="1" customWidth="1"/>
    <col min="8" max="9" width="9.83203125" style="4" customWidth="1"/>
    <col min="10" max="10" width="6.83203125" style="20" customWidth="1"/>
    <col min="11" max="11" width="9.83203125" style="40" customWidth="1"/>
    <col min="12" max="12" width="13.1640625" style="27" bestFit="1" customWidth="1"/>
    <col min="13" max="13" width="13.1640625" style="46" customWidth="1"/>
    <col min="14" max="15" width="11.5" style="35" bestFit="1" customWidth="1"/>
    <col min="16" max="16" width="7.83203125" style="44" customWidth="1"/>
    <col min="17" max="17" width="12.5" style="31" bestFit="1" customWidth="1"/>
    <col min="18" max="18" width="11" style="3" bestFit="1" customWidth="1"/>
    <col min="19" max="19" width="11" style="3" customWidth="1"/>
    <col min="20" max="20" width="11" style="3" bestFit="1" customWidth="1"/>
    <col min="21" max="21" width="11" style="78" customWidth="1"/>
    <col min="22" max="22" width="11.5" style="76" bestFit="1" customWidth="1"/>
    <col min="23" max="23" width="11.5" style="33" customWidth="1"/>
    <col min="24" max="24" width="11.5" style="29" bestFit="1" customWidth="1"/>
    <col min="25" max="25" width="10.83203125" style="23"/>
    <col min="26" max="26" width="12.1640625" style="23" bestFit="1" customWidth="1"/>
    <col min="27" max="27" width="10.83203125" style="23"/>
    <col min="28" max="16384" width="10.83203125" style="1"/>
  </cols>
  <sheetData>
    <row r="1" spans="1:28" s="2" customFormat="1" x14ac:dyDescent="0.2">
      <c r="A1" s="86" t="s">
        <v>39</v>
      </c>
      <c r="B1" s="86"/>
      <c r="C1" s="86"/>
      <c r="D1" s="86"/>
      <c r="E1" s="86"/>
      <c r="F1" s="86" t="s">
        <v>95</v>
      </c>
      <c r="G1" s="86"/>
      <c r="H1" s="87" t="s">
        <v>40</v>
      </c>
      <c r="I1" s="87"/>
      <c r="J1" s="87"/>
      <c r="K1" s="38"/>
      <c r="L1" s="88" t="s">
        <v>15</v>
      </c>
      <c r="M1" s="88"/>
      <c r="N1" s="88"/>
      <c r="O1" s="88"/>
      <c r="P1" s="88"/>
      <c r="Q1" s="88"/>
      <c r="R1" s="88" t="s">
        <v>98</v>
      </c>
      <c r="S1" s="88"/>
      <c r="T1" s="88"/>
      <c r="U1" s="88"/>
      <c r="V1" s="88"/>
      <c r="W1" s="88"/>
      <c r="X1" s="88" t="s">
        <v>97</v>
      </c>
      <c r="Y1" s="88"/>
      <c r="Z1" s="88"/>
      <c r="AA1" s="88"/>
    </row>
    <row r="2" spans="1:28" s="2" customFormat="1" ht="17" thickBot="1" x14ac:dyDescent="0.25">
      <c r="A2" s="8" t="s">
        <v>0</v>
      </c>
      <c r="B2" s="8" t="s">
        <v>2</v>
      </c>
      <c r="C2" s="8" t="s">
        <v>93</v>
      </c>
      <c r="D2" s="8" t="s">
        <v>1</v>
      </c>
      <c r="E2" s="8" t="s">
        <v>32</v>
      </c>
      <c r="F2" s="8" t="s">
        <v>8</v>
      </c>
      <c r="G2" s="8" t="s">
        <v>51</v>
      </c>
      <c r="H2" s="7" t="s">
        <v>34</v>
      </c>
      <c r="I2" s="7" t="s">
        <v>35</v>
      </c>
      <c r="J2" s="24" t="s">
        <v>51</v>
      </c>
      <c r="K2" s="39" t="s">
        <v>61</v>
      </c>
      <c r="L2" s="9" t="s">
        <v>5</v>
      </c>
      <c r="M2" s="9" t="s">
        <v>63</v>
      </c>
      <c r="N2" s="34" t="s">
        <v>9</v>
      </c>
      <c r="O2" s="34" t="s">
        <v>13</v>
      </c>
      <c r="P2" s="43" t="s">
        <v>62</v>
      </c>
      <c r="Q2" s="9" t="s">
        <v>36</v>
      </c>
      <c r="R2" s="9" t="s">
        <v>11</v>
      </c>
      <c r="S2" s="9" t="s">
        <v>41</v>
      </c>
      <c r="T2" s="9" t="s">
        <v>28</v>
      </c>
      <c r="U2" s="9" t="s">
        <v>27</v>
      </c>
      <c r="V2" s="9" t="s">
        <v>37</v>
      </c>
      <c r="W2" s="9" t="s">
        <v>94</v>
      </c>
      <c r="X2" s="9" t="s">
        <v>38</v>
      </c>
      <c r="Y2" s="25" t="s">
        <v>8</v>
      </c>
      <c r="Z2" s="25" t="s">
        <v>29</v>
      </c>
      <c r="AA2" s="25" t="s">
        <v>72</v>
      </c>
      <c r="AB2" s="25" t="s">
        <v>73</v>
      </c>
    </row>
    <row r="3" spans="1:28" x14ac:dyDescent="0.2">
      <c r="A3" s="2" t="s">
        <v>3</v>
      </c>
      <c r="B3" s="2" t="s">
        <v>4</v>
      </c>
      <c r="C3" s="2" t="str" cm="1">
        <f t="array" aca="1" ref="C3" ca="1">INDIRECT("'" &amp; $A3&amp; "'!R13")</f>
        <v>AUD</v>
      </c>
      <c r="D3" s="1" t="str" cm="1">
        <f t="array" aca="1" ref="D3" ca="1">INDIRECT("'" &amp; $A3&amp; "'!R16")</f>
        <v>Property</v>
      </c>
      <c r="E3" s="1" t="str" cm="1">
        <f t="array" aca="1" ref="E3" ca="1">INDIRECT("'" &amp; $A3&amp; "'!R10")</f>
        <v>Shaun Reichman</v>
      </c>
      <c r="F3" s="1" t="s">
        <v>96</v>
      </c>
      <c r="G3" s="1" t="s">
        <v>96</v>
      </c>
      <c r="H3" s="4">
        <f ca="1">MIN(INDIRECT("'" &amp; $A3&amp; "'!A:A"))</f>
        <v>44351</v>
      </c>
      <c r="I3" s="4" t="str" cm="1">
        <f t="array" aca="1" ref="I3" ca="1">IF(N3=0, LOOKUP(2, 1/(INDIRECT("'"&amp;A3&amp;"'!B:B")="Return"), INDIRECT("'"&amp;A3&amp;"'!A:A")), "")</f>
        <v/>
      </c>
      <c r="J3" s="20">
        <f ca="1">YEARFRAC(H3, IF(V3=0, NOW(), I3))*12</f>
        <v>48.8</v>
      </c>
      <c r="K3" s="40" cm="1">
        <f t="array" aca="1" ref="K3" ca="1">INDIRECT("'" &amp; $A3&amp; "'!R6")</f>
        <v>1</v>
      </c>
      <c r="L3" s="26" cm="1">
        <f t="array" aca="1" ref="L3" ca="1">INDIRECT("'" &amp; $A3&amp; "'!P3")</f>
        <v>3450000</v>
      </c>
      <c r="M3" s="45" cm="1">
        <f t="array" aca="1" ref="M3" ca="1">INDIRECT("'" &amp; $A3&amp; "'!R3")</f>
        <v>3750000.0000000061</v>
      </c>
      <c r="N3" s="35" cm="1">
        <f t="array" aca="1" ref="N3" ca="1">INDIRECT("'" &amp; $A3&amp; "'!T3")</f>
        <v>215863.12999999957</v>
      </c>
      <c r="O3" s="35" cm="1">
        <f t="array" aca="1" ref="O3" ca="1">INDIRECT("'" &amp; $A3&amp; "'!V3")</f>
        <v>3534136.8700000066</v>
      </c>
      <c r="P3" s="44" cm="1">
        <f t="array" aca="1" ref="P3" ca="1">INDIRECT("'" &amp; $A3&amp; "'!V6")</f>
        <v>0.9424364986666669</v>
      </c>
      <c r="Q3" s="30" t="e" cm="1">
        <f t="array" aca="1" ref="Q3" ca="1">INDIRECT("'" &amp; $A3&amp; "'!T6")</f>
        <v>#VALUE!</v>
      </c>
      <c r="R3" s="3">
        <f ca="1">-SUM(INDIRECT("'" &amp; $A3&amp; "'!G:G"))</f>
        <v>-318413.49000000017</v>
      </c>
      <c r="S3" s="3">
        <f ca="1">-(SUM(INDIRECT("'"&amp;$A3&amp;"'!H:H")))</f>
        <v>-279091.20000000007</v>
      </c>
      <c r="T3" s="3">
        <f ca="1">SUM(INDIRECT("'" &amp; $A3&amp; "'!I:I"))</f>
        <v>427960</v>
      </c>
      <c r="U3" s="77">
        <f ca="1">SUM(R3:T3)</f>
        <v>-169544.69000000018</v>
      </c>
      <c r="V3" s="75">
        <f ca="1">SUM(INDIRECT("'" &amp; $A3&amp; "'!J:J"))</f>
        <v>0</v>
      </c>
      <c r="W3" s="32">
        <f ca="1">IF(V3&lt;&gt;0, (V3-L3)*K3, 0)</f>
        <v>0</v>
      </c>
      <c r="X3" s="28">
        <f ca="1">IF(V3&gt;0, (V3-L3+R3+S3+T3)*K3, 0)</f>
        <v>0</v>
      </c>
      <c r="Y3" s="23" t="e">
        <f ca="1">(X3/K3)/Q3</f>
        <v>#VALUE!</v>
      </c>
      <c r="Z3" s="23" t="str" cm="1">
        <f t="array" aca="1" ref="Z3" ca="1">IF(INDIRECT("'" &amp; $A3&amp; "'!X3")&lt;&gt;0, INDIRECT("'" &amp; $A3&amp; "'!X3"), "")</f>
        <v/>
      </c>
      <c r="AA3" s="23" t="str" cm="1">
        <f t="array" aca="1" ref="AA3" ca="1">IF(INDIRECT("'" &amp; $A3&amp; "'!X6")&lt;&gt;0, INDIRECT("'" &amp; $A3&amp; "'!X6"), "")</f>
        <v/>
      </c>
      <c r="AB3" s="1" t="str" cm="1">
        <f t="array" aca="1" ref="AB3" ca="1">IF(INDIRECT("'" &amp; $A3&amp; "'!X9")&lt;&gt;0, INDIRECT("'" &amp; $A3&amp; "'!X9"), "")</f>
        <v/>
      </c>
    </row>
  </sheetData>
  <mergeCells count="6">
    <mergeCell ref="A1:E1"/>
    <mergeCell ref="H1:J1"/>
    <mergeCell ref="X1:AA1"/>
    <mergeCell ref="L1:Q1"/>
    <mergeCell ref="F1:G1"/>
    <mergeCell ref="R1:W1"/>
  </mergeCells>
  <conditionalFormatting sqref="A3:K100 N3:P100 R3:T100 V3:V100 Y3:AB100">
    <cfRule type="expression" dxfId="2" priority="1">
      <formula>AND($A3&lt;&gt;"", ISODD(ROW($A3)))</formula>
    </cfRule>
  </conditionalFormatting>
  <conditionalFormatting sqref="Y3:Y10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{69B4BE7D-77DF-A345-9840-5DA56CE2D82C}</x14:id>
        </ext>
      </extLst>
    </cfRule>
  </conditionalFormatting>
  <conditionalFormatting sqref="Z3:Z10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{B745C4B8-F302-AA47-8068-1D611DAD4D75}</x14:id>
        </ext>
      </extLst>
    </cfRule>
  </conditionalFormatting>
  <conditionalFormatting sqref="AA3:AA10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{73C2814C-F5B2-2042-A5B6-F184DD3363A3}</x14:id>
        </ext>
      </extLst>
    </cfRule>
  </conditionalFormatting>
  <conditionalFormatting sqref="AB3:AB10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{179B568F-FBA0-5740-9600-36D5D4EDD9DE}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B4BE7D-77DF-A345-9840-5DA56CE2D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Y3:Y100</xm:sqref>
        </x14:conditionalFormatting>
        <x14:conditionalFormatting xmlns:xm="http://schemas.microsoft.com/office/excel/2006/main">
          <x14:cfRule type="dataBar" id="{B745C4B8-F302-AA47-8068-1D611DAD4D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Z3:Z100</xm:sqref>
        </x14:conditionalFormatting>
        <x14:conditionalFormatting xmlns:xm="http://schemas.microsoft.com/office/excel/2006/main">
          <x14:cfRule type="dataBar" id="{73C2814C-F5B2-2042-A5B6-F184DD3363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AA3:AA100</xm:sqref>
        </x14:conditionalFormatting>
        <x14:conditionalFormatting xmlns:xm="http://schemas.microsoft.com/office/excel/2006/main">
          <x14:cfRule type="dataBar" id="{179B568F-FBA0-5740-9600-36D5D4EDD9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89A3-B801-814E-8133-CA592E44F3AA}">
  <sheetPr codeName="Sheet2"/>
  <dimension ref="A1:BD2400"/>
  <sheetViews>
    <sheetView tabSelected="1" zoomScaleNormal="100" workbookViewId="0">
      <pane ySplit="2" topLeftCell="A371" activePane="bottomLeft" state="frozen"/>
      <selection pane="bottomLeft" activeCell="A410" sqref="A410"/>
    </sheetView>
  </sheetViews>
  <sheetFormatPr baseColWidth="10" defaultRowHeight="16" x14ac:dyDescent="0.2"/>
  <cols>
    <col min="1" max="1" width="10.83203125" style="4"/>
    <col min="2" max="2" width="33.1640625" style="1" bestFit="1" customWidth="1"/>
    <col min="3" max="11" width="12.83203125" style="3" customWidth="1"/>
    <col min="12" max="12" width="6.83203125" style="65" customWidth="1"/>
    <col min="13" max="13" width="12.83203125" style="3" customWidth="1"/>
    <col min="14" max="15" width="11.5" style="1" bestFit="1" customWidth="1"/>
    <col min="16" max="16" width="12.83203125" style="1" customWidth="1"/>
    <col min="17" max="17" width="4.83203125" style="1" customWidth="1"/>
    <col min="18" max="18" width="12.83203125" style="1" customWidth="1"/>
    <col min="19" max="19" width="4.83203125" style="1" customWidth="1"/>
    <col min="20" max="20" width="12.83203125" style="1" customWidth="1"/>
    <col min="21" max="21" width="4.83203125" style="1" customWidth="1"/>
    <col min="22" max="22" width="12.83203125" style="1" customWidth="1"/>
    <col min="23" max="23" width="4.83203125" style="1" customWidth="1"/>
    <col min="24" max="24" width="12.83203125" style="1" customWidth="1"/>
    <col min="25" max="25" width="10.83203125" style="1"/>
    <col min="26" max="26" width="14" style="1" bestFit="1" customWidth="1"/>
    <col min="27" max="27" width="12.33203125" style="1" customWidth="1"/>
    <col min="28" max="28" width="12.33203125" style="3" customWidth="1"/>
    <col min="29" max="30" width="11.5" style="3" customWidth="1"/>
    <col min="31" max="31" width="6.83203125" style="1" customWidth="1"/>
    <col min="32" max="32" width="4.83203125" style="1" customWidth="1"/>
    <col min="33" max="33" width="11.5" style="3" customWidth="1"/>
    <col min="34" max="34" width="6.83203125" style="1" customWidth="1"/>
    <col min="35" max="35" width="12.5" style="3" bestFit="1" customWidth="1"/>
    <col min="36" max="36" width="12.83203125" style="48" customWidth="1"/>
    <col min="37" max="37" width="4.83203125" style="1" customWidth="1"/>
    <col min="38" max="38" width="11.6640625" style="3" bestFit="1" customWidth="1"/>
    <col min="39" max="39" width="11.5" style="3" bestFit="1" customWidth="1"/>
    <col min="40" max="40" width="12.83203125" style="48" customWidth="1"/>
    <col min="41" max="41" width="4.83203125" style="1" customWidth="1"/>
    <col min="42" max="42" width="10.83203125" style="1"/>
    <col min="43" max="43" width="10.83203125" style="4"/>
    <col min="44" max="44" width="11.5" style="3" bestFit="1" customWidth="1"/>
    <col min="45" max="45" width="6.83203125" style="63" customWidth="1"/>
    <col min="46" max="46" width="10.83203125" style="48"/>
    <col min="47" max="47" width="11.6640625" style="3" bestFit="1" customWidth="1"/>
    <col min="48" max="48" width="11.5" style="3" bestFit="1" customWidth="1"/>
    <col min="49" max="49" width="12.83203125" style="48" customWidth="1"/>
    <col min="50" max="50" width="10.83203125" style="63"/>
    <col min="51" max="16384" width="10.83203125" style="1"/>
  </cols>
  <sheetData>
    <row r="1" spans="1:56" s="2" customFormat="1" ht="17" thickBot="1" x14ac:dyDescent="0.25">
      <c r="A1" s="5"/>
      <c r="C1" s="86"/>
      <c r="D1" s="86"/>
      <c r="E1" s="86"/>
      <c r="F1" s="86"/>
      <c r="G1" s="6" t="s">
        <v>16</v>
      </c>
      <c r="H1" s="6" t="s">
        <v>30</v>
      </c>
      <c r="I1" s="6" t="s">
        <v>26</v>
      </c>
      <c r="J1" s="6" t="s">
        <v>25</v>
      </c>
      <c r="K1" s="88" t="s">
        <v>69</v>
      </c>
      <c r="L1" s="88"/>
      <c r="M1" s="88"/>
      <c r="AA1" s="88" t="s">
        <v>100</v>
      </c>
      <c r="AB1" s="88"/>
      <c r="AC1" s="86" t="s">
        <v>23</v>
      </c>
      <c r="AD1" s="86"/>
      <c r="AE1" s="86"/>
      <c r="AG1" s="86" t="s">
        <v>22</v>
      </c>
      <c r="AH1" s="86"/>
      <c r="AI1" s="86"/>
      <c r="AJ1" s="86"/>
      <c r="AL1" s="90" t="s">
        <v>71</v>
      </c>
      <c r="AM1" s="90"/>
      <c r="AN1" s="90"/>
      <c r="AP1" s="89" t="s">
        <v>76</v>
      </c>
      <c r="AQ1" s="89"/>
      <c r="AR1" s="89"/>
      <c r="AS1" s="89"/>
      <c r="AT1" s="89"/>
      <c r="AU1" s="89"/>
      <c r="AV1" s="89"/>
      <c r="AW1" s="89"/>
      <c r="AX1" s="89"/>
    </row>
    <row r="2" spans="1:56" s="2" customFormat="1" ht="17" thickBot="1" x14ac:dyDescent="0.25">
      <c r="A2" s="7" t="s">
        <v>6</v>
      </c>
      <c r="B2" s="8" t="s">
        <v>7</v>
      </c>
      <c r="C2" s="9" t="s">
        <v>13</v>
      </c>
      <c r="D2" s="9" t="s">
        <v>9</v>
      </c>
      <c r="E2" s="9" t="s">
        <v>146</v>
      </c>
      <c r="F2" s="9" t="s">
        <v>12</v>
      </c>
      <c r="G2" s="9" t="s">
        <v>17</v>
      </c>
      <c r="H2" s="9" t="s">
        <v>17</v>
      </c>
      <c r="I2" s="9" t="s">
        <v>27</v>
      </c>
      <c r="J2" s="9" t="s">
        <v>17</v>
      </c>
      <c r="K2" s="9" t="s">
        <v>67</v>
      </c>
      <c r="L2" s="64" t="s">
        <v>70</v>
      </c>
      <c r="M2" s="9" t="s">
        <v>68</v>
      </c>
      <c r="P2" s="10" t="s">
        <v>5</v>
      </c>
      <c r="R2" s="12" t="s">
        <v>63</v>
      </c>
      <c r="T2" s="14" t="s">
        <v>9</v>
      </c>
      <c r="V2" s="16" t="s">
        <v>13</v>
      </c>
      <c r="X2" s="18" t="s">
        <v>29</v>
      </c>
      <c r="AA2" s="9" t="s">
        <v>5</v>
      </c>
      <c r="AB2" s="9" t="s">
        <v>63</v>
      </c>
      <c r="AC2" s="9" t="s">
        <v>9</v>
      </c>
      <c r="AD2" s="9" t="s">
        <v>13</v>
      </c>
      <c r="AE2" s="8" t="s">
        <v>19</v>
      </c>
      <c r="AG2" s="9" t="s">
        <v>18</v>
      </c>
      <c r="AH2" s="8" t="s">
        <v>19</v>
      </c>
      <c r="AI2" s="9" t="s">
        <v>20</v>
      </c>
      <c r="AJ2" s="47" t="s">
        <v>21</v>
      </c>
      <c r="AL2" s="54" t="s">
        <v>18</v>
      </c>
      <c r="AM2" s="55" t="s">
        <v>20</v>
      </c>
      <c r="AN2" s="62" t="s">
        <v>21</v>
      </c>
      <c r="AP2" s="53" t="s">
        <v>77</v>
      </c>
      <c r="AQ2" s="59" t="s">
        <v>6</v>
      </c>
      <c r="AR2" s="54" t="s">
        <v>24</v>
      </c>
      <c r="AS2" s="60" t="s">
        <v>70</v>
      </c>
      <c r="AT2" s="61" t="s">
        <v>11</v>
      </c>
      <c r="AU2" s="54" t="s">
        <v>18</v>
      </c>
      <c r="AV2" s="54" t="s">
        <v>20</v>
      </c>
      <c r="AW2" s="61" t="s">
        <v>21</v>
      </c>
      <c r="AX2" s="60" t="s">
        <v>78</v>
      </c>
    </row>
    <row r="3" spans="1:56" ht="17" thickBot="1" x14ac:dyDescent="0.25">
      <c r="A3" s="4">
        <v>44351</v>
      </c>
      <c r="B3" s="1" t="s">
        <v>14</v>
      </c>
      <c r="D3" s="3">
        <v>172500</v>
      </c>
      <c r="E3" s="3">
        <v>-172500</v>
      </c>
      <c r="M3" s="3" t="str">
        <f t="shared" ref="M3:M66" si="0">IF($A3&lt;&gt;"", IF(ISNUMBER(SEARCH("Debt Cost (est.)",B3)), SUMIFS(AT:AT, AQ:AQ, "&gt;="&amp;DATE("20"&amp;RIGHT(LEFT(B3,4),2)-1,7,1), AQ:AQ, "&lt;="&amp;DATE("20"&amp;RIGHT(LEFT(B3,4),2),6,30)), ""), "")</f>
        <v/>
      </c>
      <c r="P3" s="11">
        <v>3450000</v>
      </c>
      <c r="Q3" s="3"/>
      <c r="R3" s="13">
        <f>V3+T3</f>
        <v>3750000.0000000061</v>
      </c>
      <c r="T3" s="15" cm="1">
        <f t="array" ref="T3">LOOKUP(2,1/(AC:AC&lt;&gt;""),AC:AC)</f>
        <v>215863.12999999957</v>
      </c>
      <c r="V3" s="17" cm="1">
        <f t="array" ref="V3">LOOKUP(2,1/(AD:AD&lt;&gt;""),AD:AD)</f>
        <v>3534136.8700000066</v>
      </c>
      <c r="X3" s="21"/>
      <c r="AA3" s="3">
        <f t="shared" ref="AA3:AA66" si="1">IF($A3&lt;&gt;"", MIN(AB3,$P$3), "")</f>
        <v>172500</v>
      </c>
      <c r="AB3" s="3">
        <f>AD3+AC3</f>
        <v>172500</v>
      </c>
      <c r="AC3" s="3">
        <f>D3</f>
        <v>172500</v>
      </c>
      <c r="AD3" s="3">
        <v>0</v>
      </c>
      <c r="AE3" s="1">
        <f ca="1">IF(A5&lt;&gt;"", A5-A3, IF(A3&lt;&gt;"",IF(AC3&lt;&gt;0,TODAY()-A3,0), ""))</f>
        <v>41</v>
      </c>
      <c r="AG3" s="3">
        <f>IF($A3&lt;&gt;"", I3+J3+E3-F3-H3, "")</f>
        <v>-172500</v>
      </c>
      <c r="AH3" s="1">
        <f t="shared" ref="AH3:AH66" si="2">IF(A3&lt;&gt;"", A3-A$3, "")</f>
        <v>0</v>
      </c>
      <c r="AI3" s="3">
        <f t="shared" ref="AI3:AI66" si="3">IF(A3&lt;&gt;"", AG3*(1+$X$3)^-(AH3/365), "")</f>
        <v>-172500</v>
      </c>
      <c r="AJ3" s="48">
        <f>SUM(AI:AI)</f>
        <v>-85407.819999999541</v>
      </c>
      <c r="AL3" s="3">
        <f t="shared" ref="AL3:AL66" si="4">IF($A3&lt;&gt;"", AG3-IF(ISNUMBER(K3),K3*L3,0), "")</f>
        <v>-172500</v>
      </c>
      <c r="AM3" s="3">
        <f t="shared" ref="AM3:AM66" si="5">IF(A3&lt;&gt;"", AL3*(1+$X$6/CompoundingRate)^-(AH3/(365/CompoundingRate)), "")</f>
        <v>-172500</v>
      </c>
      <c r="AN3" s="48">
        <f>SUM(AM:AM)</f>
        <v>-96003.981886334077</v>
      </c>
      <c r="AP3" s="4">
        <f ca="1">IF(T3=0, MAX(A:A), TODAY())</f>
        <v>45836</v>
      </c>
      <c r="AQ3" s="4">
        <f>A3</f>
        <v>44351</v>
      </c>
      <c r="AR3" s="3">
        <f t="shared" ref="AR3:AR66" si="6">IF($AQ3&lt;&gt;"", INDEX($AC$3:$AC$1055, MATCH($AQ3,$A$3:$A$1055,1)), "")</f>
        <v>172500</v>
      </c>
      <c r="AS3" s="63">
        <f>IF($AQ3&lt;&gt;"", INDEX(Inputs!$B$3:$B$101, MATCH($AQ3,Inputs!$A$3:$A$101,1)), "")</f>
        <v>1E-3</v>
      </c>
      <c r="AT3" s="48">
        <f>IF($AQ3&lt;&gt;"", AR3*AS3/365, "")</f>
        <v>0.4726027397260274</v>
      </c>
      <c r="AU3" s="3">
        <f t="shared" ref="AU3:AU66" si="7">IF($AQ3&lt;&gt;"", SUMIFS($AL$3:$AL$1054, $A$3:$A$1054,$AQ3) + SUMIFS($M$3:$M$1054, $A$3:$A$1054,$AQ3)*IFERROR(AVERAGEIFS($L$3:$L$1054, $A$3:$A$1054,$AQ3, $M$3:$M$1054,"&gt;0"),0) - AT3, "")</f>
        <v>-172500.47260273973</v>
      </c>
      <c r="AV3" s="3">
        <f t="shared" ref="AV3:AV66" si="8">IF(AQ3&lt;&gt;"", AU3*(1+$X$9/CompoundingRate)^-((AQ3-AQ$3)/(365/CompoundingRate)), "")</f>
        <v>-172500.47260273973</v>
      </c>
      <c r="AW3" s="48">
        <f ca="1">SUM(AV:AV)</f>
        <v>-160561.45434900353</v>
      </c>
      <c r="AX3" s="63">
        <f ca="1">SUMPRODUCT(AR:AR,AS:AS)/SUM(AR:AR)</f>
        <v>3.0269514016402797E-2</v>
      </c>
      <c r="BA3" s="82">
        <v>42917</v>
      </c>
      <c r="BB3" s="82">
        <v>43281</v>
      </c>
      <c r="BC3" s="71">
        <f t="shared" ref="BC3:BC10" ca="1" si="9">COUNTIFS(AQ:AQ,"&gt;="&amp;BA3, AQ:AQ,"&lt;="&amp;BB3, AR:AR, "&lt;&gt;0")</f>
        <v>0</v>
      </c>
      <c r="BD3" s="83" t="e">
        <f t="shared" ref="BD3:BD10" ca="1" si="10">AVERAGEIFS(AR:AR, AQ:AQ,"&gt;="&amp;BA3, AQ:AQ,"&lt;="&amp;BB3, AR:AR, "&lt;&gt;0")</f>
        <v>#DIV/0!</v>
      </c>
    </row>
    <row r="4" spans="1:56" ht="17" thickBot="1" x14ac:dyDescent="0.25">
      <c r="A4" s="4">
        <v>44377</v>
      </c>
      <c r="B4" s="1" t="s">
        <v>79</v>
      </c>
      <c r="L4" s="65">
        <v>0.32500000000000001</v>
      </c>
      <c r="M4" s="3">
        <f t="shared" ca="1" si="0"/>
        <v>12.760273972602747</v>
      </c>
      <c r="AA4" s="3">
        <f t="shared" si="1"/>
        <v>172500</v>
      </c>
      <c r="AB4" s="3">
        <f t="shared" ref="AB4:AB67" si="11">IF($A4&lt;&gt;"", AC4+AD4, "")</f>
        <v>172500</v>
      </c>
      <c r="AC4" s="3">
        <f t="shared" ref="AC4:AC67" si="12">IF(A4&lt;&gt;"", AC3+D4+F4-G4, "")</f>
        <v>172500</v>
      </c>
      <c r="AD4" s="3">
        <f t="shared" ref="AD4:AD67" si="13">IF(A4&lt;&gt;"", AD3+C4-F4+G4, "")</f>
        <v>0</v>
      </c>
      <c r="AE4" s="1">
        <f t="shared" ref="AE4:AE67" ca="1" si="14">IF(A5&lt;&gt;"", A5-A4, IF(A4&lt;&gt;"",IF(AC4&lt;&gt;0,TODAY()-A4,0), ""))</f>
        <v>15</v>
      </c>
      <c r="AG4" s="3">
        <f t="shared" ref="AG4:AG67" si="15">IF($A4&lt;&gt;"", I4+J4+E4-F4-H4, "")</f>
        <v>0</v>
      </c>
      <c r="AH4" s="1">
        <f t="shared" si="2"/>
        <v>26</v>
      </c>
      <c r="AI4" s="3">
        <f t="shared" si="3"/>
        <v>0</v>
      </c>
      <c r="AL4" s="3">
        <f t="shared" si="4"/>
        <v>0</v>
      </c>
      <c r="AM4" s="3">
        <f t="shared" si="5"/>
        <v>0</v>
      </c>
      <c r="AQ4" s="4">
        <f t="shared" ref="AQ4:AQ6" ca="1" si="16">IF(AQ3&lt;$AP$3,AQ3+1,"")</f>
        <v>44352</v>
      </c>
      <c r="AR4" s="3">
        <f t="shared" ca="1" si="6"/>
        <v>172500</v>
      </c>
      <c r="AS4" s="63">
        <f ca="1">IF($AQ4&lt;&gt;"", INDEX(Inputs!$B$3:$B$101, MATCH($AQ4,Inputs!$A$3:$A$101,1)), "")</f>
        <v>1E-3</v>
      </c>
      <c r="AT4" s="48">
        <f t="shared" ref="AT4:AT6" ca="1" si="17">IF($AQ4&lt;&gt;"", AR4*AS4/365, "")</f>
        <v>0.4726027397260274</v>
      </c>
      <c r="AU4" s="3">
        <f t="shared" ca="1" si="7"/>
        <v>-0.4726027397260274</v>
      </c>
      <c r="AV4" s="3">
        <f t="shared" ca="1" si="8"/>
        <v>-0.4726027397260274</v>
      </c>
      <c r="BA4" s="82">
        <v>43282</v>
      </c>
      <c r="BB4" s="82">
        <v>43646</v>
      </c>
      <c r="BC4" s="71">
        <f t="shared" ca="1" si="9"/>
        <v>0</v>
      </c>
      <c r="BD4" s="83" t="e">
        <f t="shared" ca="1" si="10"/>
        <v>#DIV/0!</v>
      </c>
    </row>
    <row r="5" spans="1:56" x14ac:dyDescent="0.2">
      <c r="A5" s="4">
        <v>44392</v>
      </c>
      <c r="B5" s="1" t="s">
        <v>10</v>
      </c>
      <c r="D5" s="3">
        <v>345000</v>
      </c>
      <c r="E5" s="3">
        <v>-345000</v>
      </c>
      <c r="M5" s="3" t="str">
        <f t="shared" si="0"/>
        <v/>
      </c>
      <c r="R5" s="36" t="s">
        <v>61</v>
      </c>
      <c r="T5" s="19" t="s">
        <v>36</v>
      </c>
      <c r="V5" s="41" t="s">
        <v>62</v>
      </c>
      <c r="X5" s="18" t="s">
        <v>72</v>
      </c>
      <c r="AA5" s="3">
        <f t="shared" si="1"/>
        <v>517500</v>
      </c>
      <c r="AB5" s="3">
        <f t="shared" si="11"/>
        <v>517500</v>
      </c>
      <c r="AC5" s="3">
        <f t="shared" si="12"/>
        <v>517500</v>
      </c>
      <c r="AD5" s="3">
        <f t="shared" si="13"/>
        <v>0</v>
      </c>
      <c r="AE5" s="1">
        <f t="shared" ca="1" si="14"/>
        <v>0</v>
      </c>
      <c r="AG5" s="3">
        <f t="shared" si="15"/>
        <v>-345000</v>
      </c>
      <c r="AH5" s="1">
        <f t="shared" si="2"/>
        <v>41</v>
      </c>
      <c r="AI5" s="3">
        <f t="shared" si="3"/>
        <v>-345000</v>
      </c>
      <c r="AL5" s="3">
        <f t="shared" si="4"/>
        <v>-345000</v>
      </c>
      <c r="AM5" s="3">
        <f t="shared" si="5"/>
        <v>-345000</v>
      </c>
      <c r="AQ5" s="4">
        <f t="shared" ca="1" si="16"/>
        <v>44353</v>
      </c>
      <c r="AR5" s="3">
        <f t="shared" ca="1" si="6"/>
        <v>172500</v>
      </c>
      <c r="AS5" s="63">
        <f ca="1">IF($AQ5&lt;&gt;"", INDEX(Inputs!$B$3:$B$101, MATCH($AQ5,Inputs!$A$3:$A$101,1)), "")</f>
        <v>1E-3</v>
      </c>
      <c r="AT5" s="48">
        <f t="shared" ca="1" si="17"/>
        <v>0.4726027397260274</v>
      </c>
      <c r="AU5" s="3">
        <f t="shared" ca="1" si="7"/>
        <v>-0.4726027397260274</v>
      </c>
      <c r="AV5" s="3">
        <f t="shared" ca="1" si="8"/>
        <v>-0.4726027397260274</v>
      </c>
      <c r="BA5" s="82">
        <v>43647</v>
      </c>
      <c r="BB5" s="82">
        <v>44012</v>
      </c>
      <c r="BC5" s="71">
        <f t="shared" ca="1" si="9"/>
        <v>0</v>
      </c>
      <c r="BD5" s="83" t="e">
        <f t="shared" ca="1" si="10"/>
        <v>#DIV/0!</v>
      </c>
    </row>
    <row r="6" spans="1:56" ht="17" thickBot="1" x14ac:dyDescent="0.25">
      <c r="A6" s="4">
        <v>44392</v>
      </c>
      <c r="B6" s="1" t="s">
        <v>107</v>
      </c>
      <c r="C6" s="3">
        <v>2432500</v>
      </c>
      <c r="M6" s="3" t="str">
        <f t="shared" si="0"/>
        <v/>
      </c>
      <c r="N6" s="3"/>
      <c r="R6" s="37">
        <v>1</v>
      </c>
      <c r="T6" s="22" t="e">
        <f ca="1">SUMPRODUCT(AC:AC,AE:AE)/SUM(AE:AE)</f>
        <v>#VALUE!</v>
      </c>
      <c r="V6" s="42">
        <f>V3/R3</f>
        <v>0.9424364986666669</v>
      </c>
      <c r="X6" s="21"/>
      <c r="AA6" s="3">
        <f t="shared" si="1"/>
        <v>2950000</v>
      </c>
      <c r="AB6" s="3">
        <f t="shared" si="11"/>
        <v>2950000</v>
      </c>
      <c r="AC6" s="3">
        <f t="shared" si="12"/>
        <v>517500</v>
      </c>
      <c r="AD6" s="3">
        <f t="shared" si="13"/>
        <v>2432500</v>
      </c>
      <c r="AE6" s="1">
        <f t="shared" ca="1" si="14"/>
        <v>0</v>
      </c>
      <c r="AG6" s="3">
        <f t="shared" si="15"/>
        <v>0</v>
      </c>
      <c r="AH6" s="1">
        <f t="shared" si="2"/>
        <v>41</v>
      </c>
      <c r="AI6" s="3">
        <f t="shared" si="3"/>
        <v>0</v>
      </c>
      <c r="AL6" s="3">
        <f t="shared" si="4"/>
        <v>0</v>
      </c>
      <c r="AM6" s="3">
        <f t="shared" si="5"/>
        <v>0</v>
      </c>
      <c r="AQ6" s="4">
        <f t="shared" ca="1" si="16"/>
        <v>44354</v>
      </c>
      <c r="AR6" s="3">
        <f t="shared" ca="1" si="6"/>
        <v>172500</v>
      </c>
      <c r="AS6" s="63">
        <f ca="1">IF($AQ6&lt;&gt;"", INDEX(Inputs!$B$3:$B$101, MATCH($AQ6,Inputs!$A$3:$A$101,1)), "")</f>
        <v>1E-3</v>
      </c>
      <c r="AT6" s="48">
        <f t="shared" ca="1" si="17"/>
        <v>0.4726027397260274</v>
      </c>
      <c r="AU6" s="3">
        <f t="shared" ca="1" si="7"/>
        <v>-0.4726027397260274</v>
      </c>
      <c r="AV6" s="3">
        <f t="shared" ca="1" si="8"/>
        <v>-0.4726027397260274</v>
      </c>
      <c r="BA6" s="82">
        <v>44013</v>
      </c>
      <c r="BB6" s="82">
        <v>44377</v>
      </c>
      <c r="BC6" s="71">
        <f t="shared" ca="1" si="9"/>
        <v>27</v>
      </c>
      <c r="BD6" s="83">
        <f t="shared" ca="1" si="10"/>
        <v>172500</v>
      </c>
    </row>
    <row r="7" spans="1:56" ht="17" thickBot="1" x14ac:dyDescent="0.25">
      <c r="A7" s="4">
        <v>44392</v>
      </c>
      <c r="B7" s="1" t="s">
        <v>108</v>
      </c>
      <c r="C7" s="3">
        <v>500000</v>
      </c>
      <c r="M7" s="3" t="str">
        <f t="shared" si="0"/>
        <v/>
      </c>
      <c r="N7" s="3"/>
      <c r="AA7" s="3">
        <f t="shared" si="1"/>
        <v>3450000</v>
      </c>
      <c r="AB7" s="3">
        <f t="shared" si="11"/>
        <v>3450000</v>
      </c>
      <c r="AC7" s="3">
        <f t="shared" si="12"/>
        <v>517500</v>
      </c>
      <c r="AD7" s="3">
        <f t="shared" si="13"/>
        <v>2932500</v>
      </c>
      <c r="AE7" s="1">
        <f t="shared" ca="1" si="14"/>
        <v>0</v>
      </c>
      <c r="AG7" s="3">
        <f t="shared" si="15"/>
        <v>0</v>
      </c>
      <c r="AH7" s="1">
        <f t="shared" si="2"/>
        <v>41</v>
      </c>
      <c r="AI7" s="3">
        <f t="shared" si="3"/>
        <v>0</v>
      </c>
      <c r="AL7" s="3">
        <f t="shared" si="4"/>
        <v>0</v>
      </c>
      <c r="AM7" s="3">
        <f t="shared" si="5"/>
        <v>0</v>
      </c>
      <c r="AQ7" s="4">
        <f t="shared" ref="AQ7:AQ13" ca="1" si="18">IF(AQ6&lt;$AP$3,AQ6+1,"")</f>
        <v>44355</v>
      </c>
      <c r="AR7" s="3">
        <f t="shared" ca="1" si="6"/>
        <v>172500</v>
      </c>
      <c r="AS7" s="63">
        <f ca="1">IF($AQ7&lt;&gt;"", INDEX(Inputs!$B$3:$B$101, MATCH($AQ7,Inputs!$A$3:$A$101,1)), "")</f>
        <v>1E-3</v>
      </c>
      <c r="AT7" s="48">
        <f t="shared" ref="AT7:AT13" ca="1" si="19">IF($AQ7&lt;&gt;"", AR7*AS7/365, "")</f>
        <v>0.4726027397260274</v>
      </c>
      <c r="AU7" s="3">
        <f t="shared" ca="1" si="7"/>
        <v>-0.4726027397260274</v>
      </c>
      <c r="AV7" s="3">
        <f t="shared" ca="1" si="8"/>
        <v>-0.4726027397260274</v>
      </c>
      <c r="BA7" s="82">
        <v>44378</v>
      </c>
      <c r="BB7" s="82">
        <v>44742</v>
      </c>
      <c r="BC7" s="71">
        <f t="shared" ca="1" si="9"/>
        <v>365</v>
      </c>
      <c r="BD7" s="83">
        <f t="shared" ca="1" si="10"/>
        <v>540545.37838356197</v>
      </c>
    </row>
    <row r="8" spans="1:56" x14ac:dyDescent="0.2">
      <c r="A8" s="4">
        <v>44392</v>
      </c>
      <c r="B8" s="1" t="s">
        <v>31</v>
      </c>
      <c r="H8" s="3">
        <v>180010</v>
      </c>
      <c r="M8" s="3" t="str">
        <f t="shared" si="0"/>
        <v/>
      </c>
      <c r="N8" s="3"/>
      <c r="X8" s="18" t="s">
        <v>73</v>
      </c>
      <c r="AA8" s="3">
        <f t="shared" si="1"/>
        <v>3450000</v>
      </c>
      <c r="AB8" s="3">
        <f t="shared" si="11"/>
        <v>3450000</v>
      </c>
      <c r="AC8" s="3">
        <f t="shared" si="12"/>
        <v>517500</v>
      </c>
      <c r="AD8" s="3">
        <f t="shared" si="13"/>
        <v>2932500</v>
      </c>
      <c r="AE8" s="1">
        <f t="shared" ca="1" si="14"/>
        <v>0</v>
      </c>
      <c r="AG8" s="3">
        <f t="shared" si="15"/>
        <v>-180010</v>
      </c>
      <c r="AH8" s="1">
        <f t="shared" si="2"/>
        <v>41</v>
      </c>
      <c r="AI8" s="3">
        <f t="shared" si="3"/>
        <v>-180010</v>
      </c>
      <c r="AL8" s="3">
        <f t="shared" si="4"/>
        <v>-180010</v>
      </c>
      <c r="AM8" s="3">
        <f t="shared" si="5"/>
        <v>-180010</v>
      </c>
      <c r="AQ8" s="4">
        <f t="shared" ca="1" si="18"/>
        <v>44356</v>
      </c>
      <c r="AR8" s="3">
        <f t="shared" ca="1" si="6"/>
        <v>172500</v>
      </c>
      <c r="AS8" s="63">
        <f ca="1">IF($AQ8&lt;&gt;"", INDEX(Inputs!$B$3:$B$101, MATCH($AQ8,Inputs!$A$3:$A$101,1)), "")</f>
        <v>1E-3</v>
      </c>
      <c r="AT8" s="48">
        <f t="shared" ca="1" si="19"/>
        <v>0.4726027397260274</v>
      </c>
      <c r="AU8" s="3">
        <f t="shared" ca="1" si="7"/>
        <v>-0.4726027397260274</v>
      </c>
      <c r="AV8" s="3">
        <f t="shared" ca="1" si="8"/>
        <v>-0.4726027397260274</v>
      </c>
      <c r="BA8" s="82">
        <v>44743</v>
      </c>
      <c r="BB8" s="82">
        <v>45107</v>
      </c>
      <c r="BC8" s="71">
        <f t="shared" ca="1" si="9"/>
        <v>365</v>
      </c>
      <c r="BD8" s="83">
        <f t="shared" ca="1" si="10"/>
        <v>636306.99709589023</v>
      </c>
    </row>
    <row r="9" spans="1:56" ht="17" thickBot="1" x14ac:dyDescent="0.25">
      <c r="A9" s="4">
        <v>44392</v>
      </c>
      <c r="B9" s="1" t="s">
        <v>48</v>
      </c>
      <c r="H9" s="3">
        <v>4622.8</v>
      </c>
      <c r="M9" s="3" t="str">
        <f t="shared" si="0"/>
        <v/>
      </c>
      <c r="N9" s="3"/>
      <c r="Q9" s="66"/>
      <c r="R9" s="52" t="s">
        <v>32</v>
      </c>
      <c r="S9" s="67"/>
      <c r="X9" s="21"/>
      <c r="AA9" s="3">
        <f t="shared" si="1"/>
        <v>3450000</v>
      </c>
      <c r="AB9" s="3">
        <f t="shared" si="11"/>
        <v>3450000</v>
      </c>
      <c r="AC9" s="3">
        <f t="shared" si="12"/>
        <v>517500</v>
      </c>
      <c r="AD9" s="3">
        <f t="shared" si="13"/>
        <v>2932500</v>
      </c>
      <c r="AE9" s="1">
        <f t="shared" ca="1" si="14"/>
        <v>0</v>
      </c>
      <c r="AG9" s="3">
        <f t="shared" si="15"/>
        <v>-4622.8</v>
      </c>
      <c r="AH9" s="1">
        <f t="shared" si="2"/>
        <v>41</v>
      </c>
      <c r="AI9" s="3">
        <f t="shared" si="3"/>
        <v>-4622.8</v>
      </c>
      <c r="AL9" s="3">
        <f t="shared" si="4"/>
        <v>-4622.8</v>
      </c>
      <c r="AM9" s="3">
        <f t="shared" si="5"/>
        <v>-4622.8</v>
      </c>
      <c r="AQ9" s="4">
        <f t="shared" ca="1" si="18"/>
        <v>44357</v>
      </c>
      <c r="AR9" s="3">
        <f t="shared" ca="1" si="6"/>
        <v>172500</v>
      </c>
      <c r="AS9" s="63">
        <f ca="1">IF($AQ9&lt;&gt;"", INDEX(Inputs!$B$3:$B$101, MATCH($AQ9,Inputs!$A$3:$A$101,1)), "")</f>
        <v>1E-3</v>
      </c>
      <c r="AT9" s="48">
        <f t="shared" ca="1" si="19"/>
        <v>0.4726027397260274</v>
      </c>
      <c r="AU9" s="3">
        <f t="shared" ca="1" si="7"/>
        <v>-0.4726027397260274</v>
      </c>
      <c r="AV9" s="3">
        <f t="shared" ca="1" si="8"/>
        <v>-0.4726027397260274</v>
      </c>
      <c r="BA9" s="82">
        <v>45108</v>
      </c>
      <c r="BB9" s="82">
        <v>45473</v>
      </c>
      <c r="BC9" s="71">
        <f t="shared" ca="1" si="9"/>
        <v>366</v>
      </c>
      <c r="BD9" s="83">
        <f t="shared" ca="1" si="10"/>
        <v>729079.83874317072</v>
      </c>
    </row>
    <row r="10" spans="1:56" x14ac:dyDescent="0.2">
      <c r="A10" s="4">
        <v>44392</v>
      </c>
      <c r="B10" s="1" t="s">
        <v>49</v>
      </c>
      <c r="H10" s="3">
        <f>9.87+147.7+147.7+147.7</f>
        <v>452.96999999999997</v>
      </c>
      <c r="M10" s="3" t="str">
        <f t="shared" si="0"/>
        <v/>
      </c>
      <c r="N10" s="3"/>
      <c r="Q10" s="68"/>
      <c r="R10" s="69" t="s">
        <v>33</v>
      </c>
      <c r="S10" s="70"/>
      <c r="AA10" s="3">
        <f t="shared" si="1"/>
        <v>3450000</v>
      </c>
      <c r="AB10" s="3">
        <f t="shared" si="11"/>
        <v>3450000</v>
      </c>
      <c r="AC10" s="3">
        <f t="shared" si="12"/>
        <v>517500</v>
      </c>
      <c r="AD10" s="3">
        <f t="shared" si="13"/>
        <v>2932500</v>
      </c>
      <c r="AE10" s="1">
        <f t="shared" ca="1" si="14"/>
        <v>0</v>
      </c>
      <c r="AG10" s="3">
        <f t="shared" si="15"/>
        <v>-452.96999999999997</v>
      </c>
      <c r="AH10" s="1">
        <f t="shared" si="2"/>
        <v>41</v>
      </c>
      <c r="AI10" s="3">
        <f t="shared" si="3"/>
        <v>-452.96999999999997</v>
      </c>
      <c r="AL10" s="3">
        <f t="shared" si="4"/>
        <v>-452.96999999999997</v>
      </c>
      <c r="AM10" s="3">
        <f t="shared" si="5"/>
        <v>-452.96999999999997</v>
      </c>
      <c r="AQ10" s="4">
        <f t="shared" ca="1" si="18"/>
        <v>44358</v>
      </c>
      <c r="AR10" s="3">
        <f t="shared" ca="1" si="6"/>
        <v>172500</v>
      </c>
      <c r="AS10" s="63">
        <f ca="1">IF($AQ10&lt;&gt;"", INDEX(Inputs!$B$3:$B$101, MATCH($AQ10,Inputs!$A$3:$A$101,1)), "")</f>
        <v>1E-3</v>
      </c>
      <c r="AT10" s="48">
        <f t="shared" ca="1" si="19"/>
        <v>0.4726027397260274</v>
      </c>
      <c r="AU10" s="3">
        <f t="shared" ca="1" si="7"/>
        <v>-0.4726027397260274</v>
      </c>
      <c r="AV10" s="3">
        <f t="shared" ca="1" si="8"/>
        <v>-0.4726027397260274</v>
      </c>
      <c r="BA10" s="82">
        <v>45474</v>
      </c>
      <c r="BB10" s="82">
        <v>45838</v>
      </c>
      <c r="BC10" s="71">
        <f t="shared" ca="1" si="9"/>
        <v>363</v>
      </c>
      <c r="BD10" s="83">
        <f t="shared" ca="1" si="10"/>
        <v>562311.4813774107</v>
      </c>
    </row>
    <row r="11" spans="1:56" x14ac:dyDescent="0.2">
      <c r="A11" s="4">
        <v>44392</v>
      </c>
      <c r="B11" s="1" t="s">
        <v>46</v>
      </c>
      <c r="H11" s="3">
        <v>117.92</v>
      </c>
      <c r="M11" s="3" t="str">
        <f t="shared" si="0"/>
        <v/>
      </c>
      <c r="N11" s="3"/>
      <c r="AA11" s="3">
        <f t="shared" si="1"/>
        <v>3450000</v>
      </c>
      <c r="AB11" s="3">
        <f t="shared" si="11"/>
        <v>3450000</v>
      </c>
      <c r="AC11" s="3">
        <f t="shared" si="12"/>
        <v>517500</v>
      </c>
      <c r="AD11" s="3">
        <f t="shared" si="13"/>
        <v>2932500</v>
      </c>
      <c r="AE11" s="1">
        <f t="shared" ca="1" si="14"/>
        <v>0</v>
      </c>
      <c r="AG11" s="3">
        <f t="shared" si="15"/>
        <v>-117.92</v>
      </c>
      <c r="AH11" s="1">
        <f t="shared" si="2"/>
        <v>41</v>
      </c>
      <c r="AI11" s="3">
        <f t="shared" si="3"/>
        <v>-117.92</v>
      </c>
      <c r="AL11" s="3">
        <f t="shared" si="4"/>
        <v>-117.92</v>
      </c>
      <c r="AM11" s="3">
        <f t="shared" si="5"/>
        <v>-117.92</v>
      </c>
      <c r="AQ11" s="4">
        <f t="shared" ca="1" si="18"/>
        <v>44359</v>
      </c>
      <c r="AR11" s="3">
        <f t="shared" ca="1" si="6"/>
        <v>172500</v>
      </c>
      <c r="AS11" s="63">
        <f ca="1">IF($AQ11&lt;&gt;"", INDEX(Inputs!$B$3:$B$101, MATCH($AQ11,Inputs!$A$3:$A$101,1)), "")</f>
        <v>1E-3</v>
      </c>
      <c r="AT11" s="48">
        <f t="shared" ca="1" si="19"/>
        <v>0.4726027397260274</v>
      </c>
      <c r="AU11" s="3">
        <f t="shared" ca="1" si="7"/>
        <v>-0.4726027397260274</v>
      </c>
      <c r="AV11" s="3">
        <f t="shared" ca="1" si="8"/>
        <v>-0.4726027397260274</v>
      </c>
    </row>
    <row r="12" spans="1:56" ht="17" thickBot="1" x14ac:dyDescent="0.25">
      <c r="A12" s="4">
        <v>44392</v>
      </c>
      <c r="B12" s="1" t="s">
        <v>47</v>
      </c>
      <c r="H12" s="3">
        <v>443.1</v>
      </c>
      <c r="M12" s="3" t="str">
        <f t="shared" si="0"/>
        <v/>
      </c>
      <c r="N12" s="3"/>
      <c r="Q12" s="66"/>
      <c r="R12" s="72" t="s">
        <v>91</v>
      </c>
      <c r="S12" s="73"/>
      <c r="AA12" s="3">
        <f t="shared" si="1"/>
        <v>3450000</v>
      </c>
      <c r="AB12" s="3">
        <f t="shared" si="11"/>
        <v>3450000</v>
      </c>
      <c r="AC12" s="3">
        <f t="shared" si="12"/>
        <v>517500</v>
      </c>
      <c r="AD12" s="3">
        <f t="shared" si="13"/>
        <v>2932500</v>
      </c>
      <c r="AE12" s="1">
        <f t="shared" ca="1" si="14"/>
        <v>0</v>
      </c>
      <c r="AG12" s="3">
        <f t="shared" si="15"/>
        <v>-443.1</v>
      </c>
      <c r="AH12" s="1">
        <f t="shared" si="2"/>
        <v>41</v>
      </c>
      <c r="AI12" s="3">
        <f t="shared" si="3"/>
        <v>-443.1</v>
      </c>
      <c r="AL12" s="3">
        <f t="shared" si="4"/>
        <v>-443.1</v>
      </c>
      <c r="AM12" s="3">
        <f t="shared" si="5"/>
        <v>-443.1</v>
      </c>
      <c r="AQ12" s="4">
        <f t="shared" ca="1" si="18"/>
        <v>44360</v>
      </c>
      <c r="AR12" s="3">
        <f t="shared" ca="1" si="6"/>
        <v>172500</v>
      </c>
      <c r="AS12" s="63">
        <f ca="1">IF($AQ12&lt;&gt;"", INDEX(Inputs!$B$3:$B$101, MATCH($AQ12,Inputs!$A$3:$A$101,1)), "")</f>
        <v>1E-3</v>
      </c>
      <c r="AT12" s="48">
        <f t="shared" ca="1" si="19"/>
        <v>0.4726027397260274</v>
      </c>
      <c r="AU12" s="3">
        <f t="shared" ca="1" si="7"/>
        <v>-0.4726027397260274</v>
      </c>
      <c r="AV12" s="3">
        <f t="shared" ca="1" si="8"/>
        <v>-0.4726027397260274</v>
      </c>
    </row>
    <row r="13" spans="1:56" x14ac:dyDescent="0.2">
      <c r="A13" s="4">
        <v>44392</v>
      </c>
      <c r="B13" s="1" t="s">
        <v>44</v>
      </c>
      <c r="H13" s="3">
        <v>119.9</v>
      </c>
      <c r="M13" s="3" t="str">
        <f t="shared" si="0"/>
        <v/>
      </c>
      <c r="N13" s="3"/>
      <c r="Q13" s="66"/>
      <c r="R13" s="74" t="s">
        <v>92</v>
      </c>
      <c r="S13" s="71"/>
      <c r="AA13" s="3">
        <f t="shared" si="1"/>
        <v>3450000</v>
      </c>
      <c r="AB13" s="3">
        <f t="shared" si="11"/>
        <v>3450000</v>
      </c>
      <c r="AC13" s="3">
        <f t="shared" si="12"/>
        <v>517500</v>
      </c>
      <c r="AD13" s="3">
        <f t="shared" si="13"/>
        <v>2932500</v>
      </c>
      <c r="AE13" s="1">
        <f t="shared" ca="1" si="14"/>
        <v>0</v>
      </c>
      <c r="AG13" s="3">
        <f t="shared" si="15"/>
        <v>-119.9</v>
      </c>
      <c r="AH13" s="1">
        <f t="shared" si="2"/>
        <v>41</v>
      </c>
      <c r="AI13" s="3">
        <f t="shared" si="3"/>
        <v>-119.9</v>
      </c>
      <c r="AL13" s="3">
        <f t="shared" si="4"/>
        <v>-119.9</v>
      </c>
      <c r="AM13" s="3">
        <f t="shared" si="5"/>
        <v>-119.9</v>
      </c>
      <c r="AQ13" s="4">
        <f t="shared" ca="1" si="18"/>
        <v>44361</v>
      </c>
      <c r="AR13" s="3">
        <f t="shared" ca="1" si="6"/>
        <v>172500</v>
      </c>
      <c r="AS13" s="63">
        <f ca="1">IF($AQ13&lt;&gt;"", INDEX(Inputs!$B$3:$B$101, MATCH($AQ13,Inputs!$A$3:$A$101,1)), "")</f>
        <v>1E-3</v>
      </c>
      <c r="AT13" s="48">
        <f t="shared" ca="1" si="19"/>
        <v>0.4726027397260274</v>
      </c>
      <c r="AU13" s="3">
        <f t="shared" ca="1" si="7"/>
        <v>-0.4726027397260274</v>
      </c>
      <c r="AV13" s="3">
        <f t="shared" ca="1" si="8"/>
        <v>-0.4726027397260274</v>
      </c>
    </row>
    <row r="14" spans="1:56" x14ac:dyDescent="0.2">
      <c r="A14" s="4">
        <v>44392</v>
      </c>
      <c r="B14" s="1" t="s">
        <v>45</v>
      </c>
      <c r="H14" s="3">
        <v>-147.69999999999999</v>
      </c>
      <c r="M14" s="3" t="str">
        <f t="shared" si="0"/>
        <v/>
      </c>
      <c r="N14" s="3"/>
      <c r="Q14" s="66"/>
      <c r="R14" s="71"/>
      <c r="S14" s="71"/>
      <c r="AA14" s="3">
        <f t="shared" si="1"/>
        <v>3450000</v>
      </c>
      <c r="AB14" s="3">
        <f t="shared" si="11"/>
        <v>3450000</v>
      </c>
      <c r="AC14" s="3">
        <f t="shared" si="12"/>
        <v>517500</v>
      </c>
      <c r="AD14" s="3">
        <f t="shared" si="13"/>
        <v>2932500</v>
      </c>
      <c r="AE14" s="1">
        <f t="shared" ca="1" si="14"/>
        <v>0</v>
      </c>
      <c r="AG14" s="3">
        <f t="shared" si="15"/>
        <v>147.69999999999999</v>
      </c>
      <c r="AH14" s="1">
        <f t="shared" si="2"/>
        <v>41</v>
      </c>
      <c r="AI14" s="3">
        <f t="shared" si="3"/>
        <v>147.69999999999999</v>
      </c>
      <c r="AL14" s="3">
        <f t="shared" si="4"/>
        <v>147.69999999999999</v>
      </c>
      <c r="AM14" s="3">
        <f t="shared" si="5"/>
        <v>147.69999999999999</v>
      </c>
      <c r="AQ14" s="4">
        <f t="shared" ref="AQ14:AQ77" ca="1" si="20">IF(AQ13&lt;$AP$3,AQ13+1,"")</f>
        <v>44362</v>
      </c>
      <c r="AR14" s="3">
        <f t="shared" ca="1" si="6"/>
        <v>172500</v>
      </c>
      <c r="AS14" s="63">
        <f ca="1">IF($AQ14&lt;&gt;"", INDEX(Inputs!$B$3:$B$101, MATCH($AQ14,Inputs!$A$3:$A$101,1)), "")</f>
        <v>1E-3</v>
      </c>
      <c r="AT14" s="48">
        <f t="shared" ref="AT14:AT77" ca="1" si="21">IF($AQ14&lt;&gt;"", AR14*AS14/365, "")</f>
        <v>0.4726027397260274</v>
      </c>
      <c r="AU14" s="3">
        <f t="shared" ca="1" si="7"/>
        <v>-0.4726027397260274</v>
      </c>
      <c r="AV14" s="3">
        <f t="shared" ca="1" si="8"/>
        <v>-0.4726027397260274</v>
      </c>
    </row>
    <row r="15" spans="1:56" ht="17" thickBot="1" x14ac:dyDescent="0.25">
      <c r="A15" s="4">
        <v>44392</v>
      </c>
      <c r="B15" s="1" t="s">
        <v>60</v>
      </c>
      <c r="H15" s="3">
        <v>35</v>
      </c>
      <c r="M15" s="3" t="str">
        <f t="shared" si="0"/>
        <v/>
      </c>
      <c r="N15" s="3"/>
      <c r="Q15" s="66"/>
      <c r="R15" s="52" t="s">
        <v>1</v>
      </c>
      <c r="S15" s="52"/>
      <c r="AA15" s="3">
        <f t="shared" si="1"/>
        <v>3450000</v>
      </c>
      <c r="AB15" s="3">
        <f t="shared" si="11"/>
        <v>3450000</v>
      </c>
      <c r="AC15" s="3">
        <f t="shared" si="12"/>
        <v>517500</v>
      </c>
      <c r="AD15" s="3">
        <f t="shared" si="13"/>
        <v>2932500</v>
      </c>
      <c r="AE15" s="1">
        <f t="shared" ca="1" si="14"/>
        <v>0</v>
      </c>
      <c r="AG15" s="3">
        <f t="shared" si="15"/>
        <v>-35</v>
      </c>
      <c r="AH15" s="1">
        <f t="shared" si="2"/>
        <v>41</v>
      </c>
      <c r="AI15" s="3">
        <f t="shared" si="3"/>
        <v>-35</v>
      </c>
      <c r="AL15" s="3">
        <f t="shared" si="4"/>
        <v>-35</v>
      </c>
      <c r="AM15" s="3">
        <f t="shared" si="5"/>
        <v>-35</v>
      </c>
      <c r="AQ15" s="4">
        <f t="shared" ca="1" si="20"/>
        <v>44363</v>
      </c>
      <c r="AR15" s="3">
        <f t="shared" ca="1" si="6"/>
        <v>172500</v>
      </c>
      <c r="AS15" s="63">
        <f ca="1">IF($AQ15&lt;&gt;"", INDEX(Inputs!$B$3:$B$101, MATCH($AQ15,Inputs!$A$3:$A$101,1)), "")</f>
        <v>1E-3</v>
      </c>
      <c r="AT15" s="48">
        <f t="shared" ca="1" si="21"/>
        <v>0.4726027397260274</v>
      </c>
      <c r="AU15" s="3">
        <f t="shared" ca="1" si="7"/>
        <v>-0.4726027397260274</v>
      </c>
      <c r="AV15" s="3">
        <f t="shared" ca="1" si="8"/>
        <v>-0.4726027397260274</v>
      </c>
    </row>
    <row r="16" spans="1:56" x14ac:dyDescent="0.2">
      <c r="A16" s="4">
        <v>44392</v>
      </c>
      <c r="B16" s="1" t="s">
        <v>58</v>
      </c>
      <c r="H16" s="3">
        <v>286.95</v>
      </c>
      <c r="M16" s="3" t="str">
        <f t="shared" si="0"/>
        <v/>
      </c>
      <c r="N16" s="3"/>
      <c r="Q16" s="68"/>
      <c r="R16" s="74" t="s">
        <v>99</v>
      </c>
      <c r="S16" s="70"/>
      <c r="AA16" s="3">
        <f t="shared" si="1"/>
        <v>3450000</v>
      </c>
      <c r="AB16" s="3">
        <f t="shared" si="11"/>
        <v>3450000</v>
      </c>
      <c r="AC16" s="3">
        <f t="shared" si="12"/>
        <v>517500</v>
      </c>
      <c r="AD16" s="3">
        <f t="shared" si="13"/>
        <v>2932500</v>
      </c>
      <c r="AE16" s="1">
        <f t="shared" ca="1" si="14"/>
        <v>0</v>
      </c>
      <c r="AG16" s="3">
        <f t="shared" si="15"/>
        <v>-286.95</v>
      </c>
      <c r="AH16" s="1">
        <f t="shared" si="2"/>
        <v>41</v>
      </c>
      <c r="AI16" s="3">
        <f t="shared" si="3"/>
        <v>-286.95</v>
      </c>
      <c r="AL16" s="3">
        <f t="shared" si="4"/>
        <v>-286.95</v>
      </c>
      <c r="AM16" s="3">
        <f t="shared" si="5"/>
        <v>-286.95</v>
      </c>
      <c r="AQ16" s="4">
        <f t="shared" ca="1" si="20"/>
        <v>44364</v>
      </c>
      <c r="AR16" s="3">
        <f t="shared" ca="1" si="6"/>
        <v>172500</v>
      </c>
      <c r="AS16" s="63">
        <f ca="1">IF($AQ16&lt;&gt;"", INDEX(Inputs!$B$3:$B$101, MATCH($AQ16,Inputs!$A$3:$A$101,1)), "")</f>
        <v>1E-3</v>
      </c>
      <c r="AT16" s="48">
        <f t="shared" ca="1" si="21"/>
        <v>0.4726027397260274</v>
      </c>
      <c r="AU16" s="3">
        <f t="shared" ca="1" si="7"/>
        <v>-0.4726027397260274</v>
      </c>
      <c r="AV16" s="3">
        <f t="shared" ca="1" si="8"/>
        <v>-0.4726027397260274</v>
      </c>
    </row>
    <row r="17" spans="1:48" x14ac:dyDescent="0.2">
      <c r="A17" s="4">
        <v>44392</v>
      </c>
      <c r="B17" s="1" t="s">
        <v>42</v>
      </c>
      <c r="H17" s="3">
        <v>1470.73</v>
      </c>
      <c r="M17" s="3" t="str">
        <f t="shared" si="0"/>
        <v/>
      </c>
      <c r="N17" s="3"/>
      <c r="AA17" s="3">
        <f t="shared" si="1"/>
        <v>3450000</v>
      </c>
      <c r="AB17" s="3">
        <f t="shared" si="11"/>
        <v>3450000</v>
      </c>
      <c r="AC17" s="3">
        <f t="shared" si="12"/>
        <v>517500</v>
      </c>
      <c r="AD17" s="3">
        <f t="shared" si="13"/>
        <v>2932500</v>
      </c>
      <c r="AE17" s="1">
        <f t="shared" ca="1" si="14"/>
        <v>0</v>
      </c>
      <c r="AG17" s="3">
        <f t="shared" si="15"/>
        <v>-1470.73</v>
      </c>
      <c r="AH17" s="1">
        <f t="shared" si="2"/>
        <v>41</v>
      </c>
      <c r="AI17" s="3">
        <f t="shared" si="3"/>
        <v>-1470.73</v>
      </c>
      <c r="AL17" s="3">
        <f t="shared" si="4"/>
        <v>-1470.73</v>
      </c>
      <c r="AM17" s="3">
        <f t="shared" si="5"/>
        <v>-1470.73</v>
      </c>
      <c r="AQ17" s="4">
        <f t="shared" ca="1" si="20"/>
        <v>44365</v>
      </c>
      <c r="AR17" s="3">
        <f t="shared" ca="1" si="6"/>
        <v>172500</v>
      </c>
      <c r="AS17" s="63">
        <f ca="1">IF($AQ17&lt;&gt;"", INDEX(Inputs!$B$3:$B$101, MATCH($AQ17,Inputs!$A$3:$A$101,1)), "")</f>
        <v>1E-3</v>
      </c>
      <c r="AT17" s="48">
        <f t="shared" ca="1" si="21"/>
        <v>0.4726027397260274</v>
      </c>
      <c r="AU17" s="3">
        <f t="shared" ca="1" si="7"/>
        <v>-0.4726027397260274</v>
      </c>
      <c r="AV17" s="3">
        <f t="shared" ca="1" si="8"/>
        <v>-0.4726027397260274</v>
      </c>
    </row>
    <row r="18" spans="1:48" x14ac:dyDescent="0.2">
      <c r="A18" s="4">
        <v>44392</v>
      </c>
      <c r="B18" s="1" t="s">
        <v>80</v>
      </c>
      <c r="H18" s="3">
        <v>131.66</v>
      </c>
      <c r="M18" s="3" t="str">
        <f t="shared" si="0"/>
        <v/>
      </c>
      <c r="N18" s="3"/>
      <c r="AA18" s="3">
        <f t="shared" si="1"/>
        <v>3450000</v>
      </c>
      <c r="AB18" s="3">
        <f t="shared" si="11"/>
        <v>3450000</v>
      </c>
      <c r="AC18" s="3">
        <f t="shared" si="12"/>
        <v>517500</v>
      </c>
      <c r="AD18" s="3">
        <f t="shared" si="13"/>
        <v>2932500</v>
      </c>
      <c r="AE18" s="1">
        <f t="shared" ca="1" si="14"/>
        <v>0</v>
      </c>
      <c r="AG18" s="3">
        <f t="shared" si="15"/>
        <v>-131.66</v>
      </c>
      <c r="AH18" s="1">
        <f t="shared" si="2"/>
        <v>41</v>
      </c>
      <c r="AI18" s="3">
        <f t="shared" si="3"/>
        <v>-131.66</v>
      </c>
      <c r="AL18" s="3">
        <f t="shared" si="4"/>
        <v>-131.66</v>
      </c>
      <c r="AM18" s="3">
        <f t="shared" si="5"/>
        <v>-131.66</v>
      </c>
      <c r="AQ18" s="4">
        <f t="shared" ca="1" si="20"/>
        <v>44366</v>
      </c>
      <c r="AR18" s="3">
        <f t="shared" ca="1" si="6"/>
        <v>172500</v>
      </c>
      <c r="AS18" s="63">
        <f ca="1">IF($AQ18&lt;&gt;"", INDEX(Inputs!$B$3:$B$101, MATCH($AQ18,Inputs!$A$3:$A$101,1)), "")</f>
        <v>1E-3</v>
      </c>
      <c r="AT18" s="48">
        <f t="shared" ca="1" si="21"/>
        <v>0.4726027397260274</v>
      </c>
      <c r="AU18" s="3">
        <f t="shared" ca="1" si="7"/>
        <v>-0.4726027397260274</v>
      </c>
      <c r="AV18" s="3">
        <f t="shared" ca="1" si="8"/>
        <v>-0.4726027397260274</v>
      </c>
    </row>
    <row r="19" spans="1:48" x14ac:dyDescent="0.2">
      <c r="A19" s="4">
        <v>44392</v>
      </c>
      <c r="B19" s="1" t="s">
        <v>43</v>
      </c>
      <c r="H19" s="3">
        <v>3407.78</v>
      </c>
      <c r="M19" s="3" t="str">
        <f t="shared" si="0"/>
        <v/>
      </c>
      <c r="N19" s="3"/>
      <c r="AA19" s="3">
        <f t="shared" si="1"/>
        <v>3450000</v>
      </c>
      <c r="AB19" s="3">
        <f t="shared" si="11"/>
        <v>3450000</v>
      </c>
      <c r="AC19" s="3">
        <f t="shared" si="12"/>
        <v>517500</v>
      </c>
      <c r="AD19" s="3">
        <f t="shared" si="13"/>
        <v>2932500</v>
      </c>
      <c r="AE19" s="1">
        <f t="shared" ca="1" si="14"/>
        <v>0</v>
      </c>
      <c r="AG19" s="3">
        <f t="shared" si="15"/>
        <v>-3407.78</v>
      </c>
      <c r="AH19" s="1">
        <f t="shared" si="2"/>
        <v>41</v>
      </c>
      <c r="AI19" s="3">
        <f t="shared" si="3"/>
        <v>-3407.78</v>
      </c>
      <c r="AL19" s="3">
        <f t="shared" si="4"/>
        <v>-3407.78</v>
      </c>
      <c r="AM19" s="3">
        <f t="shared" si="5"/>
        <v>-3407.78</v>
      </c>
      <c r="AQ19" s="4">
        <f t="shared" ca="1" si="20"/>
        <v>44367</v>
      </c>
      <c r="AR19" s="3">
        <f t="shared" ca="1" si="6"/>
        <v>172500</v>
      </c>
      <c r="AS19" s="63">
        <f ca="1">IF($AQ19&lt;&gt;"", INDEX(Inputs!$B$3:$B$101, MATCH($AQ19,Inputs!$A$3:$A$101,1)), "")</f>
        <v>1E-3</v>
      </c>
      <c r="AT19" s="48">
        <f t="shared" ca="1" si="21"/>
        <v>0.4726027397260274</v>
      </c>
      <c r="AU19" s="3">
        <f t="shared" ca="1" si="7"/>
        <v>-0.4726027397260274</v>
      </c>
      <c r="AV19" s="3">
        <f t="shared" ca="1" si="8"/>
        <v>-0.4726027397260274</v>
      </c>
    </row>
    <row r="20" spans="1:48" x14ac:dyDescent="0.2">
      <c r="A20" s="4">
        <v>44392</v>
      </c>
      <c r="B20" s="1" t="s">
        <v>50</v>
      </c>
      <c r="H20" s="3">
        <v>325.22000000000003</v>
      </c>
      <c r="M20" s="3" t="str">
        <f t="shared" si="0"/>
        <v/>
      </c>
      <c r="N20" s="3"/>
      <c r="AA20" s="3">
        <f t="shared" si="1"/>
        <v>3450000</v>
      </c>
      <c r="AB20" s="3">
        <f t="shared" si="11"/>
        <v>3450000</v>
      </c>
      <c r="AC20" s="3">
        <f t="shared" si="12"/>
        <v>517500</v>
      </c>
      <c r="AD20" s="3">
        <f t="shared" si="13"/>
        <v>2932500</v>
      </c>
      <c r="AE20" s="1">
        <f t="shared" ca="1" si="14"/>
        <v>1</v>
      </c>
      <c r="AG20" s="3">
        <f t="shared" si="15"/>
        <v>-325.22000000000003</v>
      </c>
      <c r="AH20" s="1">
        <f t="shared" si="2"/>
        <v>41</v>
      </c>
      <c r="AI20" s="3">
        <f t="shared" si="3"/>
        <v>-325.22000000000003</v>
      </c>
      <c r="AL20" s="3">
        <f t="shared" si="4"/>
        <v>-325.22000000000003</v>
      </c>
      <c r="AM20" s="3">
        <f t="shared" si="5"/>
        <v>-325.22000000000003</v>
      </c>
      <c r="AQ20" s="4">
        <f t="shared" ca="1" si="20"/>
        <v>44368</v>
      </c>
      <c r="AR20" s="3">
        <f t="shared" ca="1" si="6"/>
        <v>172500</v>
      </c>
      <c r="AS20" s="63">
        <f ca="1">IF($AQ20&lt;&gt;"", INDEX(Inputs!$B$3:$B$101, MATCH($AQ20,Inputs!$A$3:$A$101,1)), "")</f>
        <v>1E-3</v>
      </c>
      <c r="AT20" s="48">
        <f t="shared" ca="1" si="21"/>
        <v>0.4726027397260274</v>
      </c>
      <c r="AU20" s="3">
        <f t="shared" ca="1" si="7"/>
        <v>-0.4726027397260274</v>
      </c>
      <c r="AV20" s="3">
        <f t="shared" ca="1" si="8"/>
        <v>-0.4726027397260274</v>
      </c>
    </row>
    <row r="21" spans="1:48" x14ac:dyDescent="0.2">
      <c r="A21" s="4">
        <v>44393</v>
      </c>
      <c r="B21" s="1" t="s">
        <v>52</v>
      </c>
      <c r="H21" s="3">
        <v>2020</v>
      </c>
      <c r="M21" s="3" t="str">
        <f t="shared" si="0"/>
        <v/>
      </c>
      <c r="N21" s="3"/>
      <c r="AA21" s="3">
        <f t="shared" si="1"/>
        <v>3450000</v>
      </c>
      <c r="AB21" s="3">
        <f t="shared" si="11"/>
        <v>3450000</v>
      </c>
      <c r="AC21" s="3">
        <f t="shared" si="12"/>
        <v>517500</v>
      </c>
      <c r="AD21" s="3">
        <f t="shared" si="13"/>
        <v>2932500</v>
      </c>
      <c r="AE21" s="1">
        <f t="shared" ca="1" si="14"/>
        <v>0</v>
      </c>
      <c r="AG21" s="3">
        <f t="shared" si="15"/>
        <v>-2020</v>
      </c>
      <c r="AH21" s="1">
        <f t="shared" si="2"/>
        <v>42</v>
      </c>
      <c r="AI21" s="3">
        <f t="shared" si="3"/>
        <v>-2020</v>
      </c>
      <c r="AL21" s="3">
        <f t="shared" si="4"/>
        <v>-2020</v>
      </c>
      <c r="AM21" s="3">
        <f t="shared" si="5"/>
        <v>-2020</v>
      </c>
      <c r="AQ21" s="4">
        <f t="shared" ca="1" si="20"/>
        <v>44369</v>
      </c>
      <c r="AR21" s="3">
        <f t="shared" ca="1" si="6"/>
        <v>172500</v>
      </c>
      <c r="AS21" s="63">
        <f ca="1">IF($AQ21&lt;&gt;"", INDEX(Inputs!$B$3:$B$101, MATCH($AQ21,Inputs!$A$3:$A$101,1)), "")</f>
        <v>1E-3</v>
      </c>
      <c r="AT21" s="48">
        <f t="shared" ca="1" si="21"/>
        <v>0.4726027397260274</v>
      </c>
      <c r="AU21" s="3">
        <f t="shared" ca="1" si="7"/>
        <v>-0.4726027397260274</v>
      </c>
      <c r="AV21" s="3">
        <f t="shared" ca="1" si="8"/>
        <v>-0.4726027397260274</v>
      </c>
    </row>
    <row r="22" spans="1:48" x14ac:dyDescent="0.2">
      <c r="A22" s="4">
        <v>44393</v>
      </c>
      <c r="B22" s="1" t="s">
        <v>53</v>
      </c>
      <c r="C22" s="49"/>
      <c r="H22" s="3">
        <v>180</v>
      </c>
      <c r="M22" s="3" t="str">
        <f t="shared" si="0"/>
        <v/>
      </c>
      <c r="N22" s="3"/>
      <c r="AA22" s="3">
        <f t="shared" si="1"/>
        <v>3450000</v>
      </c>
      <c r="AB22" s="3">
        <f t="shared" si="11"/>
        <v>3450000</v>
      </c>
      <c r="AC22" s="3">
        <f t="shared" si="12"/>
        <v>517500</v>
      </c>
      <c r="AD22" s="3">
        <f t="shared" si="13"/>
        <v>2932500</v>
      </c>
      <c r="AE22" s="1">
        <f t="shared" ca="1" si="14"/>
        <v>0</v>
      </c>
      <c r="AG22" s="3">
        <f t="shared" si="15"/>
        <v>-180</v>
      </c>
      <c r="AH22" s="1">
        <f t="shared" si="2"/>
        <v>42</v>
      </c>
      <c r="AI22" s="3">
        <f t="shared" si="3"/>
        <v>-180</v>
      </c>
      <c r="AL22" s="3">
        <f t="shared" si="4"/>
        <v>-180</v>
      </c>
      <c r="AM22" s="3">
        <f t="shared" si="5"/>
        <v>-180</v>
      </c>
      <c r="AQ22" s="4">
        <f t="shared" ca="1" si="20"/>
        <v>44370</v>
      </c>
      <c r="AR22" s="3">
        <f t="shared" ca="1" si="6"/>
        <v>172500</v>
      </c>
      <c r="AS22" s="63">
        <f ca="1">IF($AQ22&lt;&gt;"", INDEX(Inputs!$B$3:$B$101, MATCH($AQ22,Inputs!$A$3:$A$101,1)), "")</f>
        <v>1E-3</v>
      </c>
      <c r="AT22" s="48">
        <f t="shared" ca="1" si="21"/>
        <v>0.4726027397260274</v>
      </c>
      <c r="AU22" s="3">
        <f t="shared" ca="1" si="7"/>
        <v>-0.4726027397260274</v>
      </c>
      <c r="AV22" s="3">
        <f t="shared" ca="1" si="8"/>
        <v>-0.4726027397260274</v>
      </c>
    </row>
    <row r="23" spans="1:48" x14ac:dyDescent="0.2">
      <c r="A23" s="4">
        <v>44393</v>
      </c>
      <c r="B23" s="1" t="s">
        <v>54</v>
      </c>
      <c r="C23" s="49"/>
      <c r="H23" s="3">
        <v>1090</v>
      </c>
      <c r="M23" s="3" t="str">
        <f t="shared" si="0"/>
        <v/>
      </c>
      <c r="N23" s="3"/>
      <c r="AA23" s="3">
        <f t="shared" si="1"/>
        <v>3450000</v>
      </c>
      <c r="AB23" s="3">
        <f t="shared" si="11"/>
        <v>3450000</v>
      </c>
      <c r="AC23" s="3">
        <f t="shared" si="12"/>
        <v>517500</v>
      </c>
      <c r="AD23" s="3">
        <f t="shared" si="13"/>
        <v>2932500</v>
      </c>
      <c r="AE23" s="1">
        <f t="shared" ca="1" si="14"/>
        <v>0</v>
      </c>
      <c r="AG23" s="3">
        <f t="shared" si="15"/>
        <v>-1090</v>
      </c>
      <c r="AH23" s="1">
        <f t="shared" si="2"/>
        <v>42</v>
      </c>
      <c r="AI23" s="3">
        <f t="shared" si="3"/>
        <v>-1090</v>
      </c>
      <c r="AL23" s="3">
        <f t="shared" si="4"/>
        <v>-1090</v>
      </c>
      <c r="AM23" s="3">
        <f t="shared" si="5"/>
        <v>-1090</v>
      </c>
      <c r="AQ23" s="4">
        <f t="shared" ca="1" si="20"/>
        <v>44371</v>
      </c>
      <c r="AR23" s="3">
        <f t="shared" ca="1" si="6"/>
        <v>172500</v>
      </c>
      <c r="AS23" s="63">
        <f ca="1">IF($AQ23&lt;&gt;"", INDEX(Inputs!$B$3:$B$101, MATCH($AQ23,Inputs!$A$3:$A$101,1)), "")</f>
        <v>1E-3</v>
      </c>
      <c r="AT23" s="48">
        <f t="shared" ca="1" si="21"/>
        <v>0.4726027397260274</v>
      </c>
      <c r="AU23" s="3">
        <f t="shared" ca="1" si="7"/>
        <v>-0.4726027397260274</v>
      </c>
      <c r="AV23" s="3">
        <f t="shared" ca="1" si="8"/>
        <v>-0.4726027397260274</v>
      </c>
    </row>
    <row r="24" spans="1:48" x14ac:dyDescent="0.2">
      <c r="A24" s="4">
        <v>44393</v>
      </c>
      <c r="B24" s="1" t="s">
        <v>55</v>
      </c>
      <c r="C24" s="49"/>
      <c r="H24" s="3">
        <f>2500+4749</f>
        <v>7249</v>
      </c>
      <c r="M24" s="3" t="str">
        <f t="shared" si="0"/>
        <v/>
      </c>
      <c r="N24" s="3"/>
      <c r="AA24" s="3">
        <f t="shared" si="1"/>
        <v>3450000</v>
      </c>
      <c r="AB24" s="3">
        <f t="shared" si="11"/>
        <v>3450000</v>
      </c>
      <c r="AC24" s="3">
        <f t="shared" si="12"/>
        <v>517500</v>
      </c>
      <c r="AD24" s="3">
        <f t="shared" si="13"/>
        <v>2932500</v>
      </c>
      <c r="AE24" s="1">
        <f t="shared" ca="1" si="14"/>
        <v>0</v>
      </c>
      <c r="AG24" s="3">
        <f t="shared" si="15"/>
        <v>-7249</v>
      </c>
      <c r="AH24" s="1">
        <f t="shared" si="2"/>
        <v>42</v>
      </c>
      <c r="AI24" s="3">
        <f t="shared" si="3"/>
        <v>-7249</v>
      </c>
      <c r="AL24" s="3">
        <f t="shared" si="4"/>
        <v>-7249</v>
      </c>
      <c r="AM24" s="3">
        <f t="shared" si="5"/>
        <v>-7249</v>
      </c>
      <c r="AQ24" s="4">
        <f t="shared" ca="1" si="20"/>
        <v>44372</v>
      </c>
      <c r="AR24" s="3">
        <f t="shared" ca="1" si="6"/>
        <v>172500</v>
      </c>
      <c r="AS24" s="63">
        <f ca="1">IF($AQ24&lt;&gt;"", INDEX(Inputs!$B$3:$B$101, MATCH($AQ24,Inputs!$A$3:$A$101,1)), "")</f>
        <v>1E-3</v>
      </c>
      <c r="AT24" s="48">
        <f t="shared" ca="1" si="21"/>
        <v>0.4726027397260274</v>
      </c>
      <c r="AU24" s="3">
        <f t="shared" ca="1" si="7"/>
        <v>-0.4726027397260274</v>
      </c>
      <c r="AV24" s="3">
        <f t="shared" ca="1" si="8"/>
        <v>-0.4726027397260274</v>
      </c>
    </row>
    <row r="25" spans="1:48" x14ac:dyDescent="0.2">
      <c r="A25" s="4">
        <v>44393</v>
      </c>
      <c r="B25" s="1" t="s">
        <v>56</v>
      </c>
      <c r="C25" s="49"/>
      <c r="H25" s="3">
        <v>2669.95</v>
      </c>
      <c r="M25" s="3" t="str">
        <f t="shared" si="0"/>
        <v/>
      </c>
      <c r="N25" s="3"/>
      <c r="AA25" s="3">
        <f t="shared" si="1"/>
        <v>3450000</v>
      </c>
      <c r="AB25" s="3">
        <f t="shared" si="11"/>
        <v>3450000</v>
      </c>
      <c r="AC25" s="3">
        <f t="shared" si="12"/>
        <v>517500</v>
      </c>
      <c r="AD25" s="3">
        <f t="shared" si="13"/>
        <v>2932500</v>
      </c>
      <c r="AE25" s="1">
        <f t="shared" ca="1" si="14"/>
        <v>0</v>
      </c>
      <c r="AG25" s="3">
        <f t="shared" si="15"/>
        <v>-2669.95</v>
      </c>
      <c r="AH25" s="1">
        <f t="shared" si="2"/>
        <v>42</v>
      </c>
      <c r="AI25" s="3">
        <f t="shared" si="3"/>
        <v>-2669.95</v>
      </c>
      <c r="AL25" s="3">
        <f t="shared" si="4"/>
        <v>-2669.95</v>
      </c>
      <c r="AM25" s="3">
        <f t="shared" si="5"/>
        <v>-2669.95</v>
      </c>
      <c r="AQ25" s="4">
        <f t="shared" ca="1" si="20"/>
        <v>44373</v>
      </c>
      <c r="AR25" s="3">
        <f t="shared" ca="1" si="6"/>
        <v>172500</v>
      </c>
      <c r="AS25" s="63">
        <f ca="1">IF($AQ25&lt;&gt;"", INDEX(Inputs!$B$3:$B$101, MATCH($AQ25,Inputs!$A$3:$A$101,1)), "")</f>
        <v>1E-3</v>
      </c>
      <c r="AT25" s="48">
        <f t="shared" ca="1" si="21"/>
        <v>0.4726027397260274</v>
      </c>
      <c r="AU25" s="3">
        <f t="shared" ca="1" si="7"/>
        <v>-0.4726027397260274</v>
      </c>
      <c r="AV25" s="3">
        <f t="shared" ca="1" si="8"/>
        <v>-0.4726027397260274</v>
      </c>
    </row>
    <row r="26" spans="1:48" x14ac:dyDescent="0.2">
      <c r="A26" s="4">
        <v>44393</v>
      </c>
      <c r="B26" s="1" t="s">
        <v>81</v>
      </c>
      <c r="C26" s="49"/>
      <c r="H26" s="3">
        <v>198</v>
      </c>
      <c r="M26" s="3" t="str">
        <f t="shared" si="0"/>
        <v/>
      </c>
      <c r="N26" s="3"/>
      <c r="AA26" s="3">
        <f t="shared" si="1"/>
        <v>3450000</v>
      </c>
      <c r="AB26" s="3">
        <f t="shared" si="11"/>
        <v>3450000</v>
      </c>
      <c r="AC26" s="3">
        <f t="shared" si="12"/>
        <v>517500</v>
      </c>
      <c r="AD26" s="3">
        <f t="shared" si="13"/>
        <v>2932500</v>
      </c>
      <c r="AE26" s="1">
        <f t="shared" ca="1" si="14"/>
        <v>0</v>
      </c>
      <c r="AG26" s="3">
        <f t="shared" si="15"/>
        <v>-198</v>
      </c>
      <c r="AH26" s="1">
        <f t="shared" si="2"/>
        <v>42</v>
      </c>
      <c r="AI26" s="3">
        <f t="shared" si="3"/>
        <v>-198</v>
      </c>
      <c r="AL26" s="3">
        <f t="shared" si="4"/>
        <v>-198</v>
      </c>
      <c r="AM26" s="3">
        <f t="shared" si="5"/>
        <v>-198</v>
      </c>
      <c r="AQ26" s="4">
        <f t="shared" ca="1" si="20"/>
        <v>44374</v>
      </c>
      <c r="AR26" s="3">
        <f t="shared" ca="1" si="6"/>
        <v>172500</v>
      </c>
      <c r="AS26" s="63">
        <f ca="1">IF($AQ26&lt;&gt;"", INDEX(Inputs!$B$3:$B$101, MATCH($AQ26,Inputs!$A$3:$A$101,1)), "")</f>
        <v>1E-3</v>
      </c>
      <c r="AT26" s="48">
        <f t="shared" ca="1" si="21"/>
        <v>0.4726027397260274</v>
      </c>
      <c r="AU26" s="3">
        <f t="shared" ca="1" si="7"/>
        <v>-0.4726027397260274</v>
      </c>
      <c r="AV26" s="3">
        <f t="shared" ca="1" si="8"/>
        <v>-0.4726027397260274</v>
      </c>
    </row>
    <row r="27" spans="1:48" x14ac:dyDescent="0.2">
      <c r="A27" s="4">
        <v>44393</v>
      </c>
      <c r="B27" s="1" t="s">
        <v>82</v>
      </c>
      <c r="C27" s="49"/>
      <c r="H27" s="3">
        <v>720</v>
      </c>
      <c r="M27" s="3" t="str">
        <f t="shared" si="0"/>
        <v/>
      </c>
      <c r="N27" s="3"/>
      <c r="AA27" s="3">
        <f t="shared" si="1"/>
        <v>3450000</v>
      </c>
      <c r="AB27" s="3">
        <f t="shared" si="11"/>
        <v>3450000</v>
      </c>
      <c r="AC27" s="3">
        <f t="shared" si="12"/>
        <v>517500</v>
      </c>
      <c r="AD27" s="3">
        <f t="shared" si="13"/>
        <v>2932500</v>
      </c>
      <c r="AE27" s="1">
        <f t="shared" ca="1" si="14"/>
        <v>0</v>
      </c>
      <c r="AG27" s="3">
        <f t="shared" si="15"/>
        <v>-720</v>
      </c>
      <c r="AH27" s="1">
        <f t="shared" si="2"/>
        <v>42</v>
      </c>
      <c r="AI27" s="3">
        <f t="shared" si="3"/>
        <v>-720</v>
      </c>
      <c r="AL27" s="3">
        <f t="shared" si="4"/>
        <v>-720</v>
      </c>
      <c r="AM27" s="3">
        <f t="shared" si="5"/>
        <v>-720</v>
      </c>
      <c r="AQ27" s="4">
        <f t="shared" ca="1" si="20"/>
        <v>44375</v>
      </c>
      <c r="AR27" s="3">
        <f t="shared" ca="1" si="6"/>
        <v>172500</v>
      </c>
      <c r="AS27" s="63">
        <f ca="1">IF($AQ27&lt;&gt;"", INDEX(Inputs!$B$3:$B$101, MATCH($AQ27,Inputs!$A$3:$A$101,1)), "")</f>
        <v>1E-3</v>
      </c>
      <c r="AT27" s="48">
        <f t="shared" ca="1" si="21"/>
        <v>0.4726027397260274</v>
      </c>
      <c r="AU27" s="3">
        <f t="shared" ca="1" si="7"/>
        <v>-0.4726027397260274</v>
      </c>
      <c r="AV27" s="3">
        <f t="shared" ca="1" si="8"/>
        <v>-0.4726027397260274</v>
      </c>
    </row>
    <row r="28" spans="1:48" x14ac:dyDescent="0.2">
      <c r="A28" s="4">
        <v>44393</v>
      </c>
      <c r="B28" s="1" t="s">
        <v>57</v>
      </c>
      <c r="C28" s="49"/>
      <c r="I28" s="3">
        <v>1900</v>
      </c>
      <c r="M28" s="3" t="str">
        <f t="shared" si="0"/>
        <v/>
      </c>
      <c r="N28" s="3"/>
      <c r="AA28" s="3">
        <f t="shared" si="1"/>
        <v>3450000</v>
      </c>
      <c r="AB28" s="3">
        <f t="shared" si="11"/>
        <v>3450000</v>
      </c>
      <c r="AC28" s="3">
        <f t="shared" si="12"/>
        <v>517500</v>
      </c>
      <c r="AD28" s="3">
        <f t="shared" si="13"/>
        <v>2932500</v>
      </c>
      <c r="AE28" s="1">
        <f t="shared" ca="1" si="14"/>
        <v>3</v>
      </c>
      <c r="AG28" s="3">
        <f t="shared" si="15"/>
        <v>1900</v>
      </c>
      <c r="AH28" s="1">
        <f t="shared" si="2"/>
        <v>42</v>
      </c>
      <c r="AI28" s="3">
        <f t="shared" si="3"/>
        <v>1900</v>
      </c>
      <c r="AL28" s="3">
        <f t="shared" si="4"/>
        <v>1900</v>
      </c>
      <c r="AM28" s="3">
        <f t="shared" si="5"/>
        <v>1900</v>
      </c>
      <c r="AQ28" s="4">
        <f t="shared" ca="1" si="20"/>
        <v>44376</v>
      </c>
      <c r="AR28" s="3">
        <f t="shared" ca="1" si="6"/>
        <v>172500</v>
      </c>
      <c r="AS28" s="63">
        <f ca="1">IF($AQ28&lt;&gt;"", INDEX(Inputs!$B$3:$B$101, MATCH($AQ28,Inputs!$A$3:$A$101,1)), "")</f>
        <v>1E-3</v>
      </c>
      <c r="AT28" s="48">
        <f t="shared" ca="1" si="21"/>
        <v>0.4726027397260274</v>
      </c>
      <c r="AU28" s="3">
        <f t="shared" ca="1" si="7"/>
        <v>-0.4726027397260274</v>
      </c>
      <c r="AV28" s="3">
        <f t="shared" ca="1" si="8"/>
        <v>-0.4726027397260274</v>
      </c>
    </row>
    <row r="29" spans="1:48" x14ac:dyDescent="0.2">
      <c r="A29" s="4">
        <v>44396</v>
      </c>
      <c r="B29" s="1" t="s">
        <v>65</v>
      </c>
      <c r="C29" s="49"/>
      <c r="H29" s="3">
        <v>587.76</v>
      </c>
      <c r="M29" s="3" t="str">
        <f t="shared" si="0"/>
        <v/>
      </c>
      <c r="N29" s="3"/>
      <c r="AA29" s="3">
        <f t="shared" si="1"/>
        <v>3450000</v>
      </c>
      <c r="AB29" s="3">
        <f t="shared" si="11"/>
        <v>3450000</v>
      </c>
      <c r="AC29" s="3">
        <f t="shared" si="12"/>
        <v>517500</v>
      </c>
      <c r="AD29" s="3">
        <f t="shared" si="13"/>
        <v>2932500</v>
      </c>
      <c r="AE29" s="1">
        <f t="shared" ca="1" si="14"/>
        <v>4</v>
      </c>
      <c r="AG29" s="3">
        <f t="shared" si="15"/>
        <v>-587.76</v>
      </c>
      <c r="AH29" s="1">
        <f t="shared" si="2"/>
        <v>45</v>
      </c>
      <c r="AI29" s="3">
        <f t="shared" si="3"/>
        <v>-587.76</v>
      </c>
      <c r="AL29" s="3">
        <f t="shared" si="4"/>
        <v>-587.76</v>
      </c>
      <c r="AM29" s="3">
        <f t="shared" si="5"/>
        <v>-587.76</v>
      </c>
      <c r="AQ29" s="4">
        <f t="shared" ca="1" si="20"/>
        <v>44377</v>
      </c>
      <c r="AR29" s="3">
        <f t="shared" ca="1" si="6"/>
        <v>172500</v>
      </c>
      <c r="AS29" s="63">
        <f ca="1">IF($AQ29&lt;&gt;"", INDEX(Inputs!$B$3:$B$101, MATCH($AQ29,Inputs!$A$3:$A$101,1)), "")</f>
        <v>1E-3</v>
      </c>
      <c r="AT29" s="48">
        <f t="shared" ca="1" si="21"/>
        <v>0.4726027397260274</v>
      </c>
      <c r="AU29" s="3">
        <f t="shared" ca="1" si="7"/>
        <v>3.6744863013698659</v>
      </c>
      <c r="AV29" s="3">
        <f t="shared" ca="1" si="8"/>
        <v>3.6744863013698659</v>
      </c>
    </row>
    <row r="30" spans="1:48" x14ac:dyDescent="0.2">
      <c r="A30" s="4">
        <v>44400</v>
      </c>
      <c r="B30" s="1" t="s">
        <v>57</v>
      </c>
      <c r="C30" s="49"/>
      <c r="I30" s="3">
        <v>1900</v>
      </c>
      <c r="M30" s="3" t="str">
        <f t="shared" si="0"/>
        <v/>
      </c>
      <c r="N30" s="3"/>
      <c r="AA30" s="3">
        <f t="shared" si="1"/>
        <v>3450000</v>
      </c>
      <c r="AB30" s="3">
        <f t="shared" si="11"/>
        <v>3450000</v>
      </c>
      <c r="AC30" s="3">
        <f t="shared" si="12"/>
        <v>517500</v>
      </c>
      <c r="AD30" s="3">
        <f t="shared" si="13"/>
        <v>2932500</v>
      </c>
      <c r="AE30" s="1">
        <f t="shared" ca="1" si="14"/>
        <v>7</v>
      </c>
      <c r="AG30" s="3">
        <f t="shared" si="15"/>
        <v>1900</v>
      </c>
      <c r="AH30" s="1">
        <f t="shared" si="2"/>
        <v>49</v>
      </c>
      <c r="AI30" s="3">
        <f t="shared" si="3"/>
        <v>1900</v>
      </c>
      <c r="AL30" s="3">
        <f t="shared" si="4"/>
        <v>1900</v>
      </c>
      <c r="AM30" s="3">
        <f t="shared" si="5"/>
        <v>1900</v>
      </c>
      <c r="AQ30" s="4">
        <f t="shared" ca="1" si="20"/>
        <v>44378</v>
      </c>
      <c r="AR30" s="3">
        <f t="shared" ca="1" si="6"/>
        <v>172500</v>
      </c>
      <c r="AS30" s="63">
        <f ca="1">IF($AQ30&lt;&gt;"", INDEX(Inputs!$B$3:$B$101, MATCH($AQ30,Inputs!$A$3:$A$101,1)), "")</f>
        <v>1E-3</v>
      </c>
      <c r="AT30" s="48">
        <f t="shared" ca="1" si="21"/>
        <v>0.4726027397260274</v>
      </c>
      <c r="AU30" s="3">
        <f t="shared" ca="1" si="7"/>
        <v>-0.4726027397260274</v>
      </c>
      <c r="AV30" s="3">
        <f t="shared" ca="1" si="8"/>
        <v>-0.4726027397260274</v>
      </c>
    </row>
    <row r="31" spans="1:48" x14ac:dyDescent="0.2">
      <c r="A31" s="4">
        <v>44407</v>
      </c>
      <c r="B31" s="1" t="s">
        <v>57</v>
      </c>
      <c r="I31" s="3">
        <v>1900</v>
      </c>
      <c r="M31" s="3" t="str">
        <f t="shared" si="0"/>
        <v/>
      </c>
      <c r="N31" s="3"/>
      <c r="AA31" s="3">
        <f t="shared" si="1"/>
        <v>3450000</v>
      </c>
      <c r="AB31" s="3">
        <f t="shared" si="11"/>
        <v>3450000</v>
      </c>
      <c r="AC31" s="3">
        <f t="shared" si="12"/>
        <v>517500</v>
      </c>
      <c r="AD31" s="3">
        <f t="shared" si="13"/>
        <v>2932500</v>
      </c>
      <c r="AE31" s="1">
        <f t="shared" ca="1" si="14"/>
        <v>0</v>
      </c>
      <c r="AG31" s="3">
        <f t="shared" si="15"/>
        <v>1900</v>
      </c>
      <c r="AH31" s="1">
        <f t="shared" si="2"/>
        <v>56</v>
      </c>
      <c r="AI31" s="3">
        <f t="shared" si="3"/>
        <v>1900</v>
      </c>
      <c r="AL31" s="3">
        <f t="shared" si="4"/>
        <v>1900</v>
      </c>
      <c r="AM31" s="3">
        <f t="shared" si="5"/>
        <v>1900</v>
      </c>
      <c r="AQ31" s="4">
        <f t="shared" ca="1" si="20"/>
        <v>44379</v>
      </c>
      <c r="AR31" s="3">
        <f t="shared" ca="1" si="6"/>
        <v>172500</v>
      </c>
      <c r="AS31" s="63">
        <f ca="1">IF($AQ31&lt;&gt;"", INDEX(Inputs!$B$3:$B$101, MATCH($AQ31,Inputs!$A$3:$A$101,1)), "")</f>
        <v>1E-3</v>
      </c>
      <c r="AT31" s="48">
        <f t="shared" ca="1" si="21"/>
        <v>0.4726027397260274</v>
      </c>
      <c r="AU31" s="3">
        <f t="shared" ca="1" si="7"/>
        <v>-0.4726027397260274</v>
      </c>
      <c r="AV31" s="3">
        <f t="shared" ca="1" si="8"/>
        <v>-0.4726027397260274</v>
      </c>
    </row>
    <row r="32" spans="1:48" x14ac:dyDescent="0.2">
      <c r="A32" s="4">
        <v>44407</v>
      </c>
      <c r="B32" s="1" t="s">
        <v>103</v>
      </c>
      <c r="G32" s="3">
        <v>1940.67</v>
      </c>
      <c r="M32" s="3" t="str">
        <f t="shared" si="0"/>
        <v/>
      </c>
      <c r="N32" s="3"/>
      <c r="AA32" s="3">
        <f t="shared" si="1"/>
        <v>3450000</v>
      </c>
      <c r="AB32" s="3">
        <f t="shared" si="11"/>
        <v>3450000</v>
      </c>
      <c r="AC32" s="3">
        <f t="shared" si="12"/>
        <v>515559.33</v>
      </c>
      <c r="AD32" s="3">
        <f t="shared" si="13"/>
        <v>2934440.67</v>
      </c>
      <c r="AE32" s="1">
        <f t="shared" ca="1" si="14"/>
        <v>0</v>
      </c>
      <c r="AG32" s="3">
        <f t="shared" si="15"/>
        <v>0</v>
      </c>
      <c r="AH32" s="1">
        <f t="shared" si="2"/>
        <v>56</v>
      </c>
      <c r="AI32" s="3">
        <f t="shared" si="3"/>
        <v>0</v>
      </c>
      <c r="AL32" s="3">
        <f t="shared" si="4"/>
        <v>0</v>
      </c>
      <c r="AM32" s="3">
        <f t="shared" si="5"/>
        <v>0</v>
      </c>
      <c r="AQ32" s="4">
        <f t="shared" ca="1" si="20"/>
        <v>44380</v>
      </c>
      <c r="AR32" s="3">
        <f t="shared" ca="1" si="6"/>
        <v>172500</v>
      </c>
      <c r="AS32" s="63">
        <f ca="1">IF($AQ32&lt;&gt;"", INDEX(Inputs!$B$3:$B$101, MATCH($AQ32,Inputs!$A$3:$A$101,1)), "")</f>
        <v>1E-3</v>
      </c>
      <c r="AT32" s="48">
        <f t="shared" ca="1" si="21"/>
        <v>0.4726027397260274</v>
      </c>
      <c r="AU32" s="3">
        <f t="shared" ca="1" si="7"/>
        <v>-0.4726027397260274</v>
      </c>
      <c r="AV32" s="3">
        <f t="shared" ca="1" si="8"/>
        <v>-0.4726027397260274</v>
      </c>
    </row>
    <row r="33" spans="1:48" x14ac:dyDescent="0.2">
      <c r="A33" s="4">
        <v>44407</v>
      </c>
      <c r="B33" s="1" t="s">
        <v>106</v>
      </c>
      <c r="G33" s="3">
        <f>171.71-2.44</f>
        <v>169.27</v>
      </c>
      <c r="M33" s="3" t="str">
        <f t="shared" si="0"/>
        <v/>
      </c>
      <c r="N33" s="3"/>
      <c r="P33" s="3"/>
      <c r="AA33" s="3">
        <f t="shared" si="1"/>
        <v>3450000</v>
      </c>
      <c r="AB33" s="3">
        <f t="shared" si="11"/>
        <v>3450000</v>
      </c>
      <c r="AC33" s="3">
        <f t="shared" si="12"/>
        <v>515390.06</v>
      </c>
      <c r="AD33" s="3">
        <f t="shared" si="13"/>
        <v>2934609.94</v>
      </c>
      <c r="AE33" s="1">
        <f t="shared" ca="1" si="14"/>
        <v>7</v>
      </c>
      <c r="AG33" s="3">
        <f t="shared" si="15"/>
        <v>0</v>
      </c>
      <c r="AH33" s="1">
        <f t="shared" si="2"/>
        <v>56</v>
      </c>
      <c r="AI33" s="3">
        <f t="shared" si="3"/>
        <v>0</v>
      </c>
      <c r="AL33" s="3">
        <f t="shared" si="4"/>
        <v>0</v>
      </c>
      <c r="AM33" s="3">
        <f t="shared" si="5"/>
        <v>0</v>
      </c>
      <c r="AQ33" s="4">
        <f t="shared" ca="1" si="20"/>
        <v>44381</v>
      </c>
      <c r="AR33" s="3">
        <f t="shared" ca="1" si="6"/>
        <v>172500</v>
      </c>
      <c r="AS33" s="63">
        <f ca="1">IF($AQ33&lt;&gt;"", INDEX(Inputs!$B$3:$B$101, MATCH($AQ33,Inputs!$A$3:$A$101,1)), "")</f>
        <v>1E-3</v>
      </c>
      <c r="AT33" s="48">
        <f t="shared" ca="1" si="21"/>
        <v>0.4726027397260274</v>
      </c>
      <c r="AU33" s="3">
        <f t="shared" ca="1" si="7"/>
        <v>-0.4726027397260274</v>
      </c>
      <c r="AV33" s="3">
        <f t="shared" ca="1" si="8"/>
        <v>-0.4726027397260274</v>
      </c>
    </row>
    <row r="34" spans="1:48" x14ac:dyDescent="0.2">
      <c r="A34" s="4">
        <v>44414</v>
      </c>
      <c r="B34" s="1" t="s">
        <v>57</v>
      </c>
      <c r="I34" s="3">
        <v>1900</v>
      </c>
      <c r="M34" s="3" t="str">
        <f t="shared" si="0"/>
        <v/>
      </c>
      <c r="N34" s="3"/>
      <c r="AA34" s="3">
        <f t="shared" si="1"/>
        <v>3450000</v>
      </c>
      <c r="AB34" s="3">
        <f t="shared" si="11"/>
        <v>3450000</v>
      </c>
      <c r="AC34" s="3">
        <f t="shared" si="12"/>
        <v>515390.06</v>
      </c>
      <c r="AD34" s="3">
        <f t="shared" si="13"/>
        <v>2934609.94</v>
      </c>
      <c r="AE34" s="1">
        <f t="shared" ca="1" si="14"/>
        <v>7</v>
      </c>
      <c r="AG34" s="3">
        <f t="shared" si="15"/>
        <v>1900</v>
      </c>
      <c r="AH34" s="1">
        <f t="shared" si="2"/>
        <v>63</v>
      </c>
      <c r="AI34" s="3">
        <f t="shared" si="3"/>
        <v>1900</v>
      </c>
      <c r="AL34" s="3">
        <f t="shared" si="4"/>
        <v>1900</v>
      </c>
      <c r="AM34" s="3">
        <f t="shared" si="5"/>
        <v>1900</v>
      </c>
      <c r="AQ34" s="4">
        <f t="shared" ca="1" si="20"/>
        <v>44382</v>
      </c>
      <c r="AR34" s="3">
        <f t="shared" ca="1" si="6"/>
        <v>172500</v>
      </c>
      <c r="AS34" s="63">
        <f ca="1">IF($AQ34&lt;&gt;"", INDEX(Inputs!$B$3:$B$101, MATCH($AQ34,Inputs!$A$3:$A$101,1)), "")</f>
        <v>1E-3</v>
      </c>
      <c r="AT34" s="48">
        <f t="shared" ca="1" si="21"/>
        <v>0.4726027397260274</v>
      </c>
      <c r="AU34" s="3">
        <f t="shared" ca="1" si="7"/>
        <v>-0.4726027397260274</v>
      </c>
      <c r="AV34" s="3">
        <f t="shared" ca="1" si="8"/>
        <v>-0.4726027397260274</v>
      </c>
    </row>
    <row r="35" spans="1:48" x14ac:dyDescent="0.2">
      <c r="A35" s="4">
        <v>44421</v>
      </c>
      <c r="B35" s="1" t="s">
        <v>57</v>
      </c>
      <c r="I35" s="3">
        <v>1900</v>
      </c>
      <c r="M35" s="3" t="str">
        <f t="shared" si="0"/>
        <v/>
      </c>
      <c r="N35" s="3"/>
      <c r="AA35" s="3">
        <f t="shared" si="1"/>
        <v>3450000</v>
      </c>
      <c r="AB35" s="3">
        <f t="shared" si="11"/>
        <v>3450000</v>
      </c>
      <c r="AC35" s="3">
        <f t="shared" si="12"/>
        <v>515390.06</v>
      </c>
      <c r="AD35" s="3">
        <f t="shared" si="13"/>
        <v>2934609.94</v>
      </c>
      <c r="AE35" s="1">
        <f t="shared" ca="1" si="14"/>
        <v>3</v>
      </c>
      <c r="AG35" s="3">
        <f t="shared" si="15"/>
        <v>1900</v>
      </c>
      <c r="AH35" s="1">
        <f t="shared" si="2"/>
        <v>70</v>
      </c>
      <c r="AI35" s="3">
        <f t="shared" si="3"/>
        <v>1900</v>
      </c>
      <c r="AL35" s="3">
        <f t="shared" si="4"/>
        <v>1900</v>
      </c>
      <c r="AM35" s="3">
        <f t="shared" si="5"/>
        <v>1900</v>
      </c>
      <c r="AQ35" s="4">
        <f t="shared" ca="1" si="20"/>
        <v>44383</v>
      </c>
      <c r="AR35" s="3">
        <f t="shared" ca="1" si="6"/>
        <v>172500</v>
      </c>
      <c r="AS35" s="63">
        <f ca="1">IF($AQ35&lt;&gt;"", INDEX(Inputs!$B$3:$B$101, MATCH($AQ35,Inputs!$A$3:$A$101,1)), "")</f>
        <v>1E-3</v>
      </c>
      <c r="AT35" s="48">
        <f t="shared" ca="1" si="21"/>
        <v>0.4726027397260274</v>
      </c>
      <c r="AU35" s="3">
        <f t="shared" ca="1" si="7"/>
        <v>-0.4726027397260274</v>
      </c>
      <c r="AV35" s="3">
        <f t="shared" ca="1" si="8"/>
        <v>-0.4726027397260274</v>
      </c>
    </row>
    <row r="36" spans="1:48" x14ac:dyDescent="0.2">
      <c r="A36" s="4">
        <v>44424</v>
      </c>
      <c r="B36" s="1" t="s">
        <v>104</v>
      </c>
      <c r="F36" s="3">
        <v>9818.51</v>
      </c>
      <c r="M36" s="3" t="str">
        <f t="shared" si="0"/>
        <v/>
      </c>
      <c r="N36" s="3"/>
      <c r="AA36" s="3">
        <f t="shared" si="1"/>
        <v>3450000</v>
      </c>
      <c r="AB36" s="3">
        <f t="shared" si="11"/>
        <v>3450000</v>
      </c>
      <c r="AC36" s="3">
        <f t="shared" si="12"/>
        <v>525208.56999999995</v>
      </c>
      <c r="AD36" s="3">
        <f t="shared" si="13"/>
        <v>2924791.43</v>
      </c>
      <c r="AE36" s="1">
        <f t="shared" ca="1" si="14"/>
        <v>0</v>
      </c>
      <c r="AG36" s="3">
        <f t="shared" si="15"/>
        <v>-9818.51</v>
      </c>
      <c r="AH36" s="1">
        <f t="shared" si="2"/>
        <v>73</v>
      </c>
      <c r="AI36" s="3">
        <f t="shared" si="3"/>
        <v>-9818.51</v>
      </c>
      <c r="AL36" s="3">
        <f t="shared" si="4"/>
        <v>-9818.51</v>
      </c>
      <c r="AM36" s="3">
        <f t="shared" si="5"/>
        <v>-9818.51</v>
      </c>
      <c r="AQ36" s="4">
        <f t="shared" ca="1" si="20"/>
        <v>44384</v>
      </c>
      <c r="AR36" s="3">
        <f t="shared" ca="1" si="6"/>
        <v>172500</v>
      </c>
      <c r="AS36" s="63">
        <f ca="1">IF($AQ36&lt;&gt;"", INDEX(Inputs!$B$3:$B$101, MATCH($AQ36,Inputs!$A$3:$A$101,1)), "")</f>
        <v>1E-3</v>
      </c>
      <c r="AT36" s="48">
        <f t="shared" ca="1" si="21"/>
        <v>0.4726027397260274</v>
      </c>
      <c r="AU36" s="3">
        <f t="shared" ca="1" si="7"/>
        <v>-0.4726027397260274</v>
      </c>
      <c r="AV36" s="3">
        <f t="shared" ca="1" si="8"/>
        <v>-0.4726027397260274</v>
      </c>
    </row>
    <row r="37" spans="1:48" x14ac:dyDescent="0.2">
      <c r="A37" s="4">
        <v>44424</v>
      </c>
      <c r="B37" s="1" t="s">
        <v>105</v>
      </c>
      <c r="F37" s="3">
        <v>2232.44</v>
      </c>
      <c r="M37" s="3" t="str">
        <f t="shared" si="0"/>
        <v/>
      </c>
      <c r="N37" s="3"/>
      <c r="P37" s="3"/>
      <c r="AA37" s="3">
        <f t="shared" si="1"/>
        <v>3450000</v>
      </c>
      <c r="AB37" s="3">
        <f t="shared" si="11"/>
        <v>3450000</v>
      </c>
      <c r="AC37" s="3">
        <f t="shared" si="12"/>
        <v>527441.00999999989</v>
      </c>
      <c r="AD37" s="3">
        <f t="shared" si="13"/>
        <v>2922558.99</v>
      </c>
      <c r="AE37" s="1">
        <f t="shared" ca="1" si="14"/>
        <v>3</v>
      </c>
      <c r="AG37" s="3">
        <f t="shared" si="15"/>
        <v>-2232.44</v>
      </c>
      <c r="AH37" s="1">
        <f t="shared" si="2"/>
        <v>73</v>
      </c>
      <c r="AI37" s="3">
        <f t="shared" si="3"/>
        <v>-2232.44</v>
      </c>
      <c r="AL37" s="3">
        <f t="shared" si="4"/>
        <v>-2232.44</v>
      </c>
      <c r="AM37" s="3">
        <f t="shared" si="5"/>
        <v>-2232.44</v>
      </c>
      <c r="AQ37" s="4">
        <f t="shared" ca="1" si="20"/>
        <v>44385</v>
      </c>
      <c r="AR37" s="3">
        <f t="shared" ca="1" si="6"/>
        <v>172500</v>
      </c>
      <c r="AS37" s="63">
        <f ca="1">IF($AQ37&lt;&gt;"", INDEX(Inputs!$B$3:$B$101, MATCH($AQ37,Inputs!$A$3:$A$101,1)), "")</f>
        <v>1E-3</v>
      </c>
      <c r="AT37" s="48">
        <f t="shared" ca="1" si="21"/>
        <v>0.4726027397260274</v>
      </c>
      <c r="AU37" s="3">
        <f t="shared" ca="1" si="7"/>
        <v>-0.4726027397260274</v>
      </c>
      <c r="AV37" s="3">
        <f t="shared" ca="1" si="8"/>
        <v>-0.4726027397260274</v>
      </c>
    </row>
    <row r="38" spans="1:48" x14ac:dyDescent="0.2">
      <c r="A38" s="4">
        <v>44427</v>
      </c>
      <c r="B38" s="1" t="s">
        <v>59</v>
      </c>
      <c r="H38" s="3">
        <v>-335.05</v>
      </c>
      <c r="M38" s="3" t="str">
        <f t="shared" si="0"/>
        <v/>
      </c>
      <c r="N38" s="3"/>
      <c r="AA38" s="3">
        <f t="shared" si="1"/>
        <v>3450000</v>
      </c>
      <c r="AB38" s="3">
        <f t="shared" si="11"/>
        <v>3450000</v>
      </c>
      <c r="AC38" s="3">
        <f t="shared" si="12"/>
        <v>527441.00999999989</v>
      </c>
      <c r="AD38" s="3">
        <f t="shared" si="13"/>
        <v>2922558.99</v>
      </c>
      <c r="AE38" s="1">
        <f t="shared" ca="1" si="14"/>
        <v>1</v>
      </c>
      <c r="AG38" s="3">
        <f t="shared" si="15"/>
        <v>335.05</v>
      </c>
      <c r="AH38" s="1">
        <f t="shared" si="2"/>
        <v>76</v>
      </c>
      <c r="AI38" s="3">
        <f t="shared" si="3"/>
        <v>335.05</v>
      </c>
      <c r="AL38" s="3">
        <f t="shared" si="4"/>
        <v>335.05</v>
      </c>
      <c r="AM38" s="3">
        <f t="shared" si="5"/>
        <v>335.05</v>
      </c>
      <c r="AQ38" s="4">
        <f t="shared" ca="1" si="20"/>
        <v>44386</v>
      </c>
      <c r="AR38" s="3">
        <f t="shared" ca="1" si="6"/>
        <v>172500</v>
      </c>
      <c r="AS38" s="63">
        <f ca="1">IF($AQ38&lt;&gt;"", INDEX(Inputs!$B$3:$B$101, MATCH($AQ38,Inputs!$A$3:$A$101,1)), "")</f>
        <v>1E-3</v>
      </c>
      <c r="AT38" s="48">
        <f t="shared" ca="1" si="21"/>
        <v>0.4726027397260274</v>
      </c>
      <c r="AU38" s="3">
        <f t="shared" ca="1" si="7"/>
        <v>-0.4726027397260274</v>
      </c>
      <c r="AV38" s="3">
        <f t="shared" ca="1" si="8"/>
        <v>-0.4726027397260274</v>
      </c>
    </row>
    <row r="39" spans="1:48" x14ac:dyDescent="0.2">
      <c r="A39" s="4">
        <v>44428</v>
      </c>
      <c r="B39" s="1" t="s">
        <v>57</v>
      </c>
      <c r="I39" s="3">
        <v>1900</v>
      </c>
      <c r="M39" s="3" t="str">
        <f t="shared" si="0"/>
        <v/>
      </c>
      <c r="N39" s="3"/>
      <c r="AA39" s="3">
        <f t="shared" si="1"/>
        <v>3450000</v>
      </c>
      <c r="AB39" s="3">
        <f t="shared" si="11"/>
        <v>3450000</v>
      </c>
      <c r="AC39" s="3">
        <f t="shared" si="12"/>
        <v>527441.00999999989</v>
      </c>
      <c r="AD39" s="3">
        <f t="shared" si="13"/>
        <v>2922558.99</v>
      </c>
      <c r="AE39" s="1">
        <f t="shared" ca="1" si="14"/>
        <v>7</v>
      </c>
      <c r="AG39" s="3">
        <f t="shared" si="15"/>
        <v>1900</v>
      </c>
      <c r="AH39" s="1">
        <f t="shared" si="2"/>
        <v>77</v>
      </c>
      <c r="AI39" s="3">
        <f t="shared" si="3"/>
        <v>1900</v>
      </c>
      <c r="AL39" s="3">
        <f t="shared" si="4"/>
        <v>1900</v>
      </c>
      <c r="AM39" s="3">
        <f t="shared" si="5"/>
        <v>1900</v>
      </c>
      <c r="AQ39" s="4">
        <f t="shared" ca="1" si="20"/>
        <v>44387</v>
      </c>
      <c r="AR39" s="3">
        <f t="shared" ca="1" si="6"/>
        <v>172500</v>
      </c>
      <c r="AS39" s="63">
        <f ca="1">IF($AQ39&lt;&gt;"", INDEX(Inputs!$B$3:$B$101, MATCH($AQ39,Inputs!$A$3:$A$101,1)), "")</f>
        <v>1E-3</v>
      </c>
      <c r="AT39" s="48">
        <f t="shared" ca="1" si="21"/>
        <v>0.4726027397260274</v>
      </c>
      <c r="AU39" s="3">
        <f t="shared" ca="1" si="7"/>
        <v>-0.4726027397260274</v>
      </c>
      <c r="AV39" s="3">
        <f t="shared" ca="1" si="8"/>
        <v>-0.4726027397260274</v>
      </c>
    </row>
    <row r="40" spans="1:48" x14ac:dyDescent="0.2">
      <c r="A40" s="4">
        <v>44435</v>
      </c>
      <c r="B40" s="1" t="s">
        <v>57</v>
      </c>
      <c r="I40" s="3">
        <v>1900</v>
      </c>
      <c r="M40" s="3" t="str">
        <f t="shared" si="0"/>
        <v/>
      </c>
      <c r="N40" s="3"/>
      <c r="AA40" s="3">
        <f t="shared" si="1"/>
        <v>3450000</v>
      </c>
      <c r="AB40" s="3">
        <f t="shared" si="11"/>
        <v>3450000</v>
      </c>
      <c r="AC40" s="3">
        <f t="shared" si="12"/>
        <v>527441.00999999989</v>
      </c>
      <c r="AD40" s="3">
        <f t="shared" si="13"/>
        <v>2922558.99</v>
      </c>
      <c r="AE40" s="1">
        <f t="shared" ca="1" si="14"/>
        <v>4</v>
      </c>
      <c r="AG40" s="3">
        <f t="shared" si="15"/>
        <v>1900</v>
      </c>
      <c r="AH40" s="1">
        <f t="shared" si="2"/>
        <v>84</v>
      </c>
      <c r="AI40" s="3">
        <f t="shared" si="3"/>
        <v>1900</v>
      </c>
      <c r="AL40" s="3">
        <f t="shared" si="4"/>
        <v>1900</v>
      </c>
      <c r="AM40" s="3">
        <f t="shared" si="5"/>
        <v>1900</v>
      </c>
      <c r="AQ40" s="4">
        <f t="shared" ca="1" si="20"/>
        <v>44388</v>
      </c>
      <c r="AR40" s="3">
        <f t="shared" ca="1" si="6"/>
        <v>172500</v>
      </c>
      <c r="AS40" s="63">
        <f ca="1">IF($AQ40&lt;&gt;"", INDEX(Inputs!$B$3:$B$101, MATCH($AQ40,Inputs!$A$3:$A$101,1)), "")</f>
        <v>1E-3</v>
      </c>
      <c r="AT40" s="48">
        <f t="shared" ca="1" si="21"/>
        <v>0.4726027397260274</v>
      </c>
      <c r="AU40" s="3">
        <f t="shared" ca="1" si="7"/>
        <v>-0.4726027397260274</v>
      </c>
      <c r="AV40" s="3">
        <f t="shared" ca="1" si="8"/>
        <v>-0.4726027397260274</v>
      </c>
    </row>
    <row r="41" spans="1:48" x14ac:dyDescent="0.2">
      <c r="A41" s="4">
        <v>44439</v>
      </c>
      <c r="B41" s="1" t="s">
        <v>103</v>
      </c>
      <c r="G41" s="3">
        <v>4430.96</v>
      </c>
      <c r="M41" s="3" t="str">
        <f t="shared" si="0"/>
        <v/>
      </c>
      <c r="N41" s="3"/>
      <c r="AA41" s="3">
        <f t="shared" si="1"/>
        <v>3450000</v>
      </c>
      <c r="AB41" s="3">
        <f t="shared" si="11"/>
        <v>3450000</v>
      </c>
      <c r="AC41" s="3">
        <f t="shared" si="12"/>
        <v>523010.04999999987</v>
      </c>
      <c r="AD41" s="3">
        <f t="shared" si="13"/>
        <v>2926989.95</v>
      </c>
      <c r="AE41" s="1">
        <f t="shared" ca="1" si="14"/>
        <v>0</v>
      </c>
      <c r="AG41" s="3">
        <f t="shared" si="15"/>
        <v>0</v>
      </c>
      <c r="AH41" s="1">
        <f t="shared" si="2"/>
        <v>88</v>
      </c>
      <c r="AI41" s="3">
        <f t="shared" si="3"/>
        <v>0</v>
      </c>
      <c r="AL41" s="3">
        <f t="shared" si="4"/>
        <v>0</v>
      </c>
      <c r="AM41" s="3">
        <f t="shared" si="5"/>
        <v>0</v>
      </c>
      <c r="AQ41" s="4">
        <f t="shared" ca="1" si="20"/>
        <v>44389</v>
      </c>
      <c r="AR41" s="3">
        <f t="shared" ca="1" si="6"/>
        <v>172500</v>
      </c>
      <c r="AS41" s="63">
        <f ca="1">IF($AQ41&lt;&gt;"", INDEX(Inputs!$B$3:$B$101, MATCH($AQ41,Inputs!$A$3:$A$101,1)), "")</f>
        <v>1E-3</v>
      </c>
      <c r="AT41" s="48">
        <f t="shared" ca="1" si="21"/>
        <v>0.4726027397260274</v>
      </c>
      <c r="AU41" s="3">
        <f t="shared" ca="1" si="7"/>
        <v>-0.4726027397260274</v>
      </c>
      <c r="AV41" s="3">
        <f t="shared" ca="1" si="8"/>
        <v>-0.4726027397260274</v>
      </c>
    </row>
    <row r="42" spans="1:48" x14ac:dyDescent="0.2">
      <c r="A42" s="4">
        <v>44439</v>
      </c>
      <c r="B42" s="1" t="s">
        <v>106</v>
      </c>
      <c r="G42" s="3">
        <v>331.9</v>
      </c>
      <c r="M42" s="3" t="str">
        <f t="shared" si="0"/>
        <v/>
      </c>
      <c r="N42" s="3"/>
      <c r="P42" s="3"/>
      <c r="AA42" s="3">
        <f t="shared" si="1"/>
        <v>3450000</v>
      </c>
      <c r="AB42" s="3">
        <f t="shared" si="11"/>
        <v>3450000</v>
      </c>
      <c r="AC42" s="3">
        <f t="shared" si="12"/>
        <v>522678.14999999985</v>
      </c>
      <c r="AD42" s="3">
        <f t="shared" si="13"/>
        <v>2927321.85</v>
      </c>
      <c r="AE42" s="1">
        <f t="shared" ca="1" si="14"/>
        <v>3</v>
      </c>
      <c r="AG42" s="3">
        <f t="shared" si="15"/>
        <v>0</v>
      </c>
      <c r="AH42" s="1">
        <f t="shared" si="2"/>
        <v>88</v>
      </c>
      <c r="AI42" s="3">
        <f t="shared" si="3"/>
        <v>0</v>
      </c>
      <c r="AL42" s="3">
        <f t="shared" si="4"/>
        <v>0</v>
      </c>
      <c r="AM42" s="3">
        <f t="shared" si="5"/>
        <v>0</v>
      </c>
      <c r="AQ42" s="4">
        <f t="shared" ca="1" si="20"/>
        <v>44390</v>
      </c>
      <c r="AR42" s="3">
        <f t="shared" ca="1" si="6"/>
        <v>172500</v>
      </c>
      <c r="AS42" s="63">
        <f ca="1">IF($AQ42&lt;&gt;"", INDEX(Inputs!$B$3:$B$101, MATCH($AQ42,Inputs!$A$3:$A$101,1)), "")</f>
        <v>1E-3</v>
      </c>
      <c r="AT42" s="48">
        <f t="shared" ca="1" si="21"/>
        <v>0.4726027397260274</v>
      </c>
      <c r="AU42" s="3">
        <f t="shared" ca="1" si="7"/>
        <v>-0.4726027397260274</v>
      </c>
      <c r="AV42" s="3">
        <f t="shared" ca="1" si="8"/>
        <v>-0.4726027397260274</v>
      </c>
    </row>
    <row r="43" spans="1:48" x14ac:dyDescent="0.2">
      <c r="A43" s="4">
        <v>44442</v>
      </c>
      <c r="B43" s="1" t="s">
        <v>57</v>
      </c>
      <c r="I43" s="3">
        <v>1900</v>
      </c>
      <c r="M43" s="3" t="str">
        <f t="shared" si="0"/>
        <v/>
      </c>
      <c r="N43" s="3"/>
      <c r="AA43" s="3">
        <f t="shared" si="1"/>
        <v>3450000</v>
      </c>
      <c r="AB43" s="3">
        <f t="shared" si="11"/>
        <v>3450000</v>
      </c>
      <c r="AC43" s="3">
        <f t="shared" si="12"/>
        <v>522678.14999999985</v>
      </c>
      <c r="AD43" s="3">
        <f t="shared" si="13"/>
        <v>2927321.85</v>
      </c>
      <c r="AE43" s="1">
        <f t="shared" ca="1" si="14"/>
        <v>7</v>
      </c>
      <c r="AG43" s="3">
        <f t="shared" si="15"/>
        <v>1900</v>
      </c>
      <c r="AH43" s="1">
        <f t="shared" si="2"/>
        <v>91</v>
      </c>
      <c r="AI43" s="3">
        <f t="shared" si="3"/>
        <v>1900</v>
      </c>
      <c r="AL43" s="3">
        <f t="shared" si="4"/>
        <v>1900</v>
      </c>
      <c r="AM43" s="3">
        <f t="shared" si="5"/>
        <v>1900</v>
      </c>
      <c r="AQ43" s="4">
        <f t="shared" ca="1" si="20"/>
        <v>44391</v>
      </c>
      <c r="AR43" s="3">
        <f t="shared" ca="1" si="6"/>
        <v>172500</v>
      </c>
      <c r="AS43" s="63">
        <f ca="1">IF($AQ43&lt;&gt;"", INDEX(Inputs!$B$3:$B$101, MATCH($AQ43,Inputs!$A$3:$A$101,1)), "")</f>
        <v>1E-3</v>
      </c>
      <c r="AT43" s="48">
        <f t="shared" ca="1" si="21"/>
        <v>0.4726027397260274</v>
      </c>
      <c r="AU43" s="3">
        <f t="shared" ca="1" si="7"/>
        <v>-0.4726027397260274</v>
      </c>
      <c r="AV43" s="3">
        <f t="shared" ca="1" si="8"/>
        <v>-0.4726027397260274</v>
      </c>
    </row>
    <row r="44" spans="1:48" x14ac:dyDescent="0.2">
      <c r="A44" s="4">
        <v>44449</v>
      </c>
      <c r="B44" s="1" t="s">
        <v>57</v>
      </c>
      <c r="I44" s="3">
        <v>1900</v>
      </c>
      <c r="M44" s="3" t="str">
        <f t="shared" si="0"/>
        <v/>
      </c>
      <c r="N44" s="3"/>
      <c r="AA44" s="3">
        <f t="shared" si="1"/>
        <v>3450000</v>
      </c>
      <c r="AB44" s="3">
        <f t="shared" si="11"/>
        <v>3450000</v>
      </c>
      <c r="AC44" s="3">
        <f t="shared" si="12"/>
        <v>522678.14999999985</v>
      </c>
      <c r="AD44" s="3">
        <f t="shared" si="13"/>
        <v>2927321.85</v>
      </c>
      <c r="AE44" s="1">
        <f t="shared" ca="1" si="14"/>
        <v>2</v>
      </c>
      <c r="AG44" s="3">
        <f t="shared" si="15"/>
        <v>1900</v>
      </c>
      <c r="AH44" s="1">
        <f t="shared" si="2"/>
        <v>98</v>
      </c>
      <c r="AI44" s="3">
        <f t="shared" si="3"/>
        <v>1900</v>
      </c>
      <c r="AL44" s="3">
        <f t="shared" si="4"/>
        <v>1900</v>
      </c>
      <c r="AM44" s="3">
        <f t="shared" si="5"/>
        <v>1900</v>
      </c>
      <c r="AQ44" s="4">
        <f t="shared" ca="1" si="20"/>
        <v>44392</v>
      </c>
      <c r="AR44" s="3">
        <f t="shared" ca="1" si="6"/>
        <v>517500</v>
      </c>
      <c r="AS44" s="63">
        <f ca="1">IF($AQ44&lt;&gt;"", INDEX(Inputs!$B$3:$B$101, MATCH($AQ44,Inputs!$A$3:$A$101,1)), "")</f>
        <v>1E-3</v>
      </c>
      <c r="AT44" s="48">
        <f t="shared" ca="1" si="21"/>
        <v>1.4178082191780821</v>
      </c>
      <c r="AU44" s="3">
        <f t="shared" ca="1" si="7"/>
        <v>-536277.74780821928</v>
      </c>
      <c r="AV44" s="3">
        <f t="shared" ca="1" si="8"/>
        <v>-536277.74780821928</v>
      </c>
    </row>
    <row r="45" spans="1:48" x14ac:dyDescent="0.2">
      <c r="A45" s="4">
        <v>44451</v>
      </c>
      <c r="B45" s="1" t="s">
        <v>50</v>
      </c>
      <c r="H45" s="3">
        <v>1896.96</v>
      </c>
      <c r="M45" s="3" t="str">
        <f t="shared" si="0"/>
        <v/>
      </c>
      <c r="N45" s="3"/>
      <c r="AA45" s="3">
        <f t="shared" si="1"/>
        <v>3450000</v>
      </c>
      <c r="AB45" s="3">
        <f t="shared" si="11"/>
        <v>3450000</v>
      </c>
      <c r="AC45" s="3">
        <f t="shared" si="12"/>
        <v>522678.14999999985</v>
      </c>
      <c r="AD45" s="3">
        <f t="shared" si="13"/>
        <v>2927321.85</v>
      </c>
      <c r="AE45" s="1">
        <f t="shared" ca="1" si="14"/>
        <v>4</v>
      </c>
      <c r="AG45" s="3">
        <f t="shared" si="15"/>
        <v>-1896.96</v>
      </c>
      <c r="AH45" s="1">
        <f t="shared" si="2"/>
        <v>100</v>
      </c>
      <c r="AI45" s="3">
        <f t="shared" si="3"/>
        <v>-1896.96</v>
      </c>
      <c r="AL45" s="3">
        <f t="shared" si="4"/>
        <v>-1896.96</v>
      </c>
      <c r="AM45" s="3">
        <f t="shared" si="5"/>
        <v>-1896.96</v>
      </c>
      <c r="AQ45" s="4">
        <f t="shared" ca="1" si="20"/>
        <v>44393</v>
      </c>
      <c r="AR45" s="3">
        <f t="shared" ca="1" si="6"/>
        <v>517500</v>
      </c>
      <c r="AS45" s="63">
        <f ca="1">IF($AQ45&lt;&gt;"", INDEX(Inputs!$B$3:$B$101, MATCH($AQ45,Inputs!$A$3:$A$101,1)), "")</f>
        <v>1E-3</v>
      </c>
      <c r="AT45" s="48">
        <f t="shared" ca="1" si="21"/>
        <v>1.4178082191780821</v>
      </c>
      <c r="AU45" s="3">
        <f t="shared" ca="1" si="7"/>
        <v>-12228.367808219178</v>
      </c>
      <c r="AV45" s="3">
        <f t="shared" ca="1" si="8"/>
        <v>-12228.367808219178</v>
      </c>
    </row>
    <row r="46" spans="1:48" x14ac:dyDescent="0.2">
      <c r="A46" s="4">
        <v>44455</v>
      </c>
      <c r="B46" s="1" t="s">
        <v>104</v>
      </c>
      <c r="F46" s="3">
        <v>9818.51</v>
      </c>
      <c r="M46" s="3" t="str">
        <f t="shared" si="0"/>
        <v/>
      </c>
      <c r="N46" s="3"/>
      <c r="AA46" s="3">
        <f t="shared" si="1"/>
        <v>3450000</v>
      </c>
      <c r="AB46" s="3">
        <f t="shared" si="11"/>
        <v>3450000</v>
      </c>
      <c r="AC46" s="3">
        <f t="shared" si="12"/>
        <v>532496.6599999998</v>
      </c>
      <c r="AD46" s="3">
        <f t="shared" si="13"/>
        <v>2917503.3400000003</v>
      </c>
      <c r="AE46" s="1">
        <f t="shared" ca="1" si="14"/>
        <v>0</v>
      </c>
      <c r="AG46" s="3">
        <f t="shared" si="15"/>
        <v>-9818.51</v>
      </c>
      <c r="AH46" s="1">
        <f t="shared" si="2"/>
        <v>104</v>
      </c>
      <c r="AI46" s="3">
        <f t="shared" si="3"/>
        <v>-9818.51</v>
      </c>
      <c r="AL46" s="3">
        <f t="shared" si="4"/>
        <v>-9818.51</v>
      </c>
      <c r="AM46" s="3">
        <f t="shared" si="5"/>
        <v>-9818.51</v>
      </c>
      <c r="AQ46" s="4">
        <f t="shared" ca="1" si="20"/>
        <v>44394</v>
      </c>
      <c r="AR46" s="3">
        <f t="shared" ca="1" si="6"/>
        <v>517500</v>
      </c>
      <c r="AS46" s="63">
        <f ca="1">IF($AQ46&lt;&gt;"", INDEX(Inputs!$B$3:$B$101, MATCH($AQ46,Inputs!$A$3:$A$101,1)), "")</f>
        <v>1E-3</v>
      </c>
      <c r="AT46" s="48">
        <f t="shared" ca="1" si="21"/>
        <v>1.4178082191780821</v>
      </c>
      <c r="AU46" s="3">
        <f t="shared" ca="1" si="7"/>
        <v>-1.4178082191780821</v>
      </c>
      <c r="AV46" s="3">
        <f t="shared" ca="1" si="8"/>
        <v>-1.4178082191780821</v>
      </c>
    </row>
    <row r="47" spans="1:48" x14ac:dyDescent="0.2">
      <c r="A47" s="4">
        <v>44455</v>
      </c>
      <c r="B47" s="1" t="s">
        <v>105</v>
      </c>
      <c r="F47" s="3">
        <v>2232.44</v>
      </c>
      <c r="M47" s="3" t="str">
        <f t="shared" si="0"/>
        <v/>
      </c>
      <c r="N47" s="3"/>
      <c r="P47" s="3"/>
      <c r="AA47" s="3">
        <f t="shared" si="1"/>
        <v>3450000</v>
      </c>
      <c r="AB47" s="3">
        <f t="shared" si="11"/>
        <v>3450000</v>
      </c>
      <c r="AC47" s="3">
        <f t="shared" si="12"/>
        <v>534729.09999999974</v>
      </c>
      <c r="AD47" s="3">
        <f t="shared" si="13"/>
        <v>2915270.9000000004</v>
      </c>
      <c r="AE47" s="1">
        <f t="shared" ca="1" si="14"/>
        <v>1</v>
      </c>
      <c r="AG47" s="3">
        <f t="shared" si="15"/>
        <v>-2232.44</v>
      </c>
      <c r="AH47" s="1">
        <f t="shared" si="2"/>
        <v>104</v>
      </c>
      <c r="AI47" s="3">
        <f t="shared" si="3"/>
        <v>-2232.44</v>
      </c>
      <c r="AL47" s="3">
        <f t="shared" si="4"/>
        <v>-2232.44</v>
      </c>
      <c r="AM47" s="3">
        <f t="shared" si="5"/>
        <v>-2232.44</v>
      </c>
      <c r="AQ47" s="4">
        <f t="shared" ca="1" si="20"/>
        <v>44395</v>
      </c>
      <c r="AR47" s="3">
        <f t="shared" ca="1" si="6"/>
        <v>517500</v>
      </c>
      <c r="AS47" s="63">
        <f ca="1">IF($AQ47&lt;&gt;"", INDEX(Inputs!$B$3:$B$101, MATCH($AQ47,Inputs!$A$3:$A$101,1)), "")</f>
        <v>1E-3</v>
      </c>
      <c r="AT47" s="48">
        <f t="shared" ca="1" si="21"/>
        <v>1.4178082191780821</v>
      </c>
      <c r="AU47" s="3">
        <f t="shared" ca="1" si="7"/>
        <v>-1.4178082191780821</v>
      </c>
      <c r="AV47" s="3">
        <f t="shared" ca="1" si="8"/>
        <v>-1.4178082191780821</v>
      </c>
    </row>
    <row r="48" spans="1:48" x14ac:dyDescent="0.2">
      <c r="A48" s="4">
        <v>44456</v>
      </c>
      <c r="B48" s="1" t="s">
        <v>57</v>
      </c>
      <c r="I48" s="3">
        <v>1900</v>
      </c>
      <c r="M48" s="3" t="str">
        <f t="shared" si="0"/>
        <v/>
      </c>
      <c r="N48" s="3"/>
      <c r="AA48" s="3">
        <f t="shared" si="1"/>
        <v>3450000</v>
      </c>
      <c r="AB48" s="3">
        <f t="shared" si="11"/>
        <v>3450000</v>
      </c>
      <c r="AC48" s="3">
        <f t="shared" si="12"/>
        <v>534729.09999999974</v>
      </c>
      <c r="AD48" s="3">
        <f t="shared" si="13"/>
        <v>2915270.9000000004</v>
      </c>
      <c r="AE48" s="1">
        <f t="shared" ca="1" si="14"/>
        <v>7</v>
      </c>
      <c r="AG48" s="3">
        <f t="shared" si="15"/>
        <v>1900</v>
      </c>
      <c r="AH48" s="1">
        <f t="shared" si="2"/>
        <v>105</v>
      </c>
      <c r="AI48" s="3">
        <f t="shared" si="3"/>
        <v>1900</v>
      </c>
      <c r="AL48" s="3">
        <f t="shared" si="4"/>
        <v>1900</v>
      </c>
      <c r="AM48" s="3">
        <f t="shared" si="5"/>
        <v>1900</v>
      </c>
      <c r="AQ48" s="4">
        <f t="shared" ca="1" si="20"/>
        <v>44396</v>
      </c>
      <c r="AR48" s="3">
        <f t="shared" ca="1" si="6"/>
        <v>517500</v>
      </c>
      <c r="AS48" s="63">
        <f ca="1">IF($AQ48&lt;&gt;"", INDEX(Inputs!$B$3:$B$101, MATCH($AQ48,Inputs!$A$3:$A$101,1)), "")</f>
        <v>1E-3</v>
      </c>
      <c r="AT48" s="48">
        <f t="shared" ca="1" si="21"/>
        <v>1.4178082191780821</v>
      </c>
      <c r="AU48" s="3">
        <f t="shared" ca="1" si="7"/>
        <v>-589.17780821917802</v>
      </c>
      <c r="AV48" s="3">
        <f t="shared" ca="1" si="8"/>
        <v>-589.17780821917802</v>
      </c>
    </row>
    <row r="49" spans="1:48" x14ac:dyDescent="0.2">
      <c r="A49" s="4">
        <v>44463</v>
      </c>
      <c r="B49" s="1" t="s">
        <v>57</v>
      </c>
      <c r="I49" s="3">
        <v>1900</v>
      </c>
      <c r="M49" s="3" t="str">
        <f t="shared" si="0"/>
        <v/>
      </c>
      <c r="N49" s="3"/>
      <c r="AA49" s="3">
        <f t="shared" si="1"/>
        <v>3450000</v>
      </c>
      <c r="AB49" s="3">
        <f t="shared" si="11"/>
        <v>3450000</v>
      </c>
      <c r="AC49" s="3">
        <f t="shared" si="12"/>
        <v>534729.09999999974</v>
      </c>
      <c r="AD49" s="3">
        <f t="shared" si="13"/>
        <v>2915270.9000000004</v>
      </c>
      <c r="AE49" s="1">
        <f t="shared" ca="1" si="14"/>
        <v>0</v>
      </c>
      <c r="AG49" s="3">
        <f t="shared" si="15"/>
        <v>1900</v>
      </c>
      <c r="AH49" s="1">
        <f t="shared" si="2"/>
        <v>112</v>
      </c>
      <c r="AI49" s="3">
        <f t="shared" si="3"/>
        <v>1900</v>
      </c>
      <c r="AL49" s="3">
        <f t="shared" si="4"/>
        <v>1900</v>
      </c>
      <c r="AM49" s="3">
        <f t="shared" si="5"/>
        <v>1900</v>
      </c>
      <c r="AQ49" s="4">
        <f t="shared" ca="1" si="20"/>
        <v>44397</v>
      </c>
      <c r="AR49" s="3">
        <f t="shared" ca="1" si="6"/>
        <v>517500</v>
      </c>
      <c r="AS49" s="63">
        <f ca="1">IF($AQ49&lt;&gt;"", INDEX(Inputs!$B$3:$B$101, MATCH($AQ49,Inputs!$A$3:$A$101,1)), "")</f>
        <v>1E-3</v>
      </c>
      <c r="AT49" s="48">
        <f t="shared" ca="1" si="21"/>
        <v>1.4178082191780821</v>
      </c>
      <c r="AU49" s="3">
        <f t="shared" ca="1" si="7"/>
        <v>-1.4178082191780821</v>
      </c>
      <c r="AV49" s="3">
        <f t="shared" ca="1" si="8"/>
        <v>-1.4178082191780821</v>
      </c>
    </row>
    <row r="50" spans="1:48" x14ac:dyDescent="0.2">
      <c r="A50" s="4">
        <v>44463</v>
      </c>
      <c r="B50" s="1" t="s">
        <v>80</v>
      </c>
      <c r="H50" s="3">
        <v>61.67</v>
      </c>
      <c r="M50" s="3" t="str">
        <f t="shared" si="0"/>
        <v/>
      </c>
      <c r="N50" s="3"/>
      <c r="AA50" s="3">
        <f t="shared" si="1"/>
        <v>3450000</v>
      </c>
      <c r="AB50" s="3">
        <f t="shared" si="11"/>
        <v>3450000</v>
      </c>
      <c r="AC50" s="3">
        <f t="shared" si="12"/>
        <v>534729.09999999974</v>
      </c>
      <c r="AD50" s="3">
        <f t="shared" si="13"/>
        <v>2915270.9000000004</v>
      </c>
      <c r="AE50" s="1">
        <f t="shared" ca="1" si="14"/>
        <v>6</v>
      </c>
      <c r="AG50" s="3">
        <f t="shared" si="15"/>
        <v>-61.67</v>
      </c>
      <c r="AH50" s="1">
        <f t="shared" si="2"/>
        <v>112</v>
      </c>
      <c r="AI50" s="3">
        <f t="shared" si="3"/>
        <v>-61.67</v>
      </c>
      <c r="AL50" s="3">
        <f t="shared" si="4"/>
        <v>-61.67</v>
      </c>
      <c r="AM50" s="3">
        <f t="shared" si="5"/>
        <v>-61.67</v>
      </c>
      <c r="AQ50" s="4">
        <f t="shared" ca="1" si="20"/>
        <v>44398</v>
      </c>
      <c r="AR50" s="3">
        <f t="shared" ca="1" si="6"/>
        <v>517500</v>
      </c>
      <c r="AS50" s="63">
        <f ca="1">IF($AQ50&lt;&gt;"", INDEX(Inputs!$B$3:$B$101, MATCH($AQ50,Inputs!$A$3:$A$101,1)), "")</f>
        <v>1E-3</v>
      </c>
      <c r="AT50" s="48">
        <f t="shared" ca="1" si="21"/>
        <v>1.4178082191780821</v>
      </c>
      <c r="AU50" s="3">
        <f t="shared" ca="1" si="7"/>
        <v>-1.4178082191780821</v>
      </c>
      <c r="AV50" s="3">
        <f t="shared" ca="1" si="8"/>
        <v>-1.4178082191780821</v>
      </c>
    </row>
    <row r="51" spans="1:48" x14ac:dyDescent="0.2">
      <c r="A51" s="4">
        <v>44469</v>
      </c>
      <c r="B51" s="1" t="s">
        <v>103</v>
      </c>
      <c r="G51" s="3">
        <v>4144.8500000000004</v>
      </c>
      <c r="M51" s="3" t="str">
        <f t="shared" si="0"/>
        <v/>
      </c>
      <c r="N51" s="3"/>
      <c r="AA51" s="3">
        <f t="shared" si="1"/>
        <v>3450000</v>
      </c>
      <c r="AB51" s="3">
        <f t="shared" si="11"/>
        <v>3450000</v>
      </c>
      <c r="AC51" s="3">
        <f t="shared" si="12"/>
        <v>530584.24999999977</v>
      </c>
      <c r="AD51" s="3">
        <f t="shared" si="13"/>
        <v>2919415.7500000005</v>
      </c>
      <c r="AE51" s="1">
        <f t="shared" ca="1" si="14"/>
        <v>0</v>
      </c>
      <c r="AG51" s="3">
        <f t="shared" si="15"/>
        <v>0</v>
      </c>
      <c r="AH51" s="1">
        <f t="shared" si="2"/>
        <v>118</v>
      </c>
      <c r="AI51" s="3">
        <f t="shared" si="3"/>
        <v>0</v>
      </c>
      <c r="AL51" s="3">
        <f t="shared" si="4"/>
        <v>0</v>
      </c>
      <c r="AM51" s="3">
        <f t="shared" si="5"/>
        <v>0</v>
      </c>
      <c r="AQ51" s="4">
        <f t="shared" ca="1" si="20"/>
        <v>44399</v>
      </c>
      <c r="AR51" s="3">
        <f t="shared" ca="1" si="6"/>
        <v>517500</v>
      </c>
      <c r="AS51" s="63">
        <f ca="1">IF($AQ51&lt;&gt;"", INDEX(Inputs!$B$3:$B$101, MATCH($AQ51,Inputs!$A$3:$A$101,1)), "")</f>
        <v>1E-3</v>
      </c>
      <c r="AT51" s="48">
        <f t="shared" ca="1" si="21"/>
        <v>1.4178082191780821</v>
      </c>
      <c r="AU51" s="3">
        <f t="shared" ca="1" si="7"/>
        <v>-1.4178082191780821</v>
      </c>
      <c r="AV51" s="3">
        <f t="shared" ca="1" si="8"/>
        <v>-1.4178082191780821</v>
      </c>
    </row>
    <row r="52" spans="1:48" x14ac:dyDescent="0.2">
      <c r="A52" s="4">
        <v>44469</v>
      </c>
      <c r="B52" s="1" t="s">
        <v>106</v>
      </c>
      <c r="G52" s="3">
        <v>546.99</v>
      </c>
      <c r="M52" s="3" t="str">
        <f t="shared" si="0"/>
        <v/>
      </c>
      <c r="N52" s="3"/>
      <c r="P52" s="3"/>
      <c r="AA52" s="3">
        <f t="shared" si="1"/>
        <v>3450000</v>
      </c>
      <c r="AB52" s="3">
        <f t="shared" si="11"/>
        <v>3450000.0000000005</v>
      </c>
      <c r="AC52" s="3">
        <f t="shared" si="12"/>
        <v>530037.25999999978</v>
      </c>
      <c r="AD52" s="3">
        <f t="shared" si="13"/>
        <v>2919962.7400000007</v>
      </c>
      <c r="AE52" s="1">
        <f t="shared" ca="1" si="14"/>
        <v>1</v>
      </c>
      <c r="AG52" s="3">
        <f t="shared" si="15"/>
        <v>0</v>
      </c>
      <c r="AH52" s="1">
        <f t="shared" si="2"/>
        <v>118</v>
      </c>
      <c r="AI52" s="3">
        <f t="shared" si="3"/>
        <v>0</v>
      </c>
      <c r="AL52" s="3">
        <f t="shared" si="4"/>
        <v>0</v>
      </c>
      <c r="AM52" s="3">
        <f t="shared" si="5"/>
        <v>0</v>
      </c>
      <c r="AQ52" s="4">
        <f t="shared" ca="1" si="20"/>
        <v>44400</v>
      </c>
      <c r="AR52" s="3">
        <f t="shared" ca="1" si="6"/>
        <v>517500</v>
      </c>
      <c r="AS52" s="63">
        <f ca="1">IF($AQ52&lt;&gt;"", INDEX(Inputs!$B$3:$B$101, MATCH($AQ52,Inputs!$A$3:$A$101,1)), "")</f>
        <v>1E-3</v>
      </c>
      <c r="AT52" s="48">
        <f t="shared" ca="1" si="21"/>
        <v>1.4178082191780821</v>
      </c>
      <c r="AU52" s="3">
        <f t="shared" ca="1" si="7"/>
        <v>1898.5821917808219</v>
      </c>
      <c r="AV52" s="3">
        <f t="shared" ca="1" si="8"/>
        <v>1898.5821917808219</v>
      </c>
    </row>
    <row r="53" spans="1:48" x14ac:dyDescent="0.2">
      <c r="A53" s="4">
        <v>44470</v>
      </c>
      <c r="B53" s="1" t="s">
        <v>57</v>
      </c>
      <c r="I53" s="3">
        <v>1900</v>
      </c>
      <c r="M53" s="3" t="str">
        <f t="shared" si="0"/>
        <v/>
      </c>
      <c r="N53" s="3"/>
      <c r="AA53" s="3">
        <f t="shared" si="1"/>
        <v>3450000</v>
      </c>
      <c r="AB53" s="3">
        <f t="shared" si="11"/>
        <v>3450000.0000000005</v>
      </c>
      <c r="AC53" s="3">
        <f t="shared" si="12"/>
        <v>530037.25999999978</v>
      </c>
      <c r="AD53" s="3">
        <f t="shared" si="13"/>
        <v>2919962.7400000007</v>
      </c>
      <c r="AE53" s="1">
        <f t="shared" ca="1" si="14"/>
        <v>7</v>
      </c>
      <c r="AG53" s="3">
        <f t="shared" si="15"/>
        <v>1900</v>
      </c>
      <c r="AH53" s="1">
        <f t="shared" si="2"/>
        <v>119</v>
      </c>
      <c r="AI53" s="3">
        <f t="shared" si="3"/>
        <v>1900</v>
      </c>
      <c r="AL53" s="3">
        <f t="shared" si="4"/>
        <v>1900</v>
      </c>
      <c r="AM53" s="3">
        <f t="shared" si="5"/>
        <v>1900</v>
      </c>
      <c r="AQ53" s="4">
        <f t="shared" ca="1" si="20"/>
        <v>44401</v>
      </c>
      <c r="AR53" s="3">
        <f t="shared" ca="1" si="6"/>
        <v>517500</v>
      </c>
      <c r="AS53" s="63">
        <f ca="1">IF($AQ53&lt;&gt;"", INDEX(Inputs!$B$3:$B$101, MATCH($AQ53,Inputs!$A$3:$A$101,1)), "")</f>
        <v>1E-3</v>
      </c>
      <c r="AT53" s="48">
        <f t="shared" ca="1" si="21"/>
        <v>1.4178082191780821</v>
      </c>
      <c r="AU53" s="3">
        <f t="shared" ca="1" si="7"/>
        <v>-1.4178082191780821</v>
      </c>
      <c r="AV53" s="3">
        <f t="shared" ca="1" si="8"/>
        <v>-1.4178082191780821</v>
      </c>
    </row>
    <row r="54" spans="1:48" x14ac:dyDescent="0.2">
      <c r="A54" s="4">
        <v>44477</v>
      </c>
      <c r="B54" s="1" t="s">
        <v>57</v>
      </c>
      <c r="I54" s="3">
        <v>1900</v>
      </c>
      <c r="M54" s="3" t="str">
        <f t="shared" si="0"/>
        <v/>
      </c>
      <c r="N54" s="3"/>
      <c r="AA54" s="3">
        <f t="shared" si="1"/>
        <v>3450000</v>
      </c>
      <c r="AB54" s="3">
        <f t="shared" si="11"/>
        <v>3450000.0000000005</v>
      </c>
      <c r="AC54" s="3">
        <f t="shared" si="12"/>
        <v>530037.25999999978</v>
      </c>
      <c r="AD54" s="3">
        <f t="shared" si="13"/>
        <v>2919962.7400000007</v>
      </c>
      <c r="AE54" s="1">
        <f t="shared" ca="1" si="14"/>
        <v>7</v>
      </c>
      <c r="AG54" s="3">
        <f t="shared" si="15"/>
        <v>1900</v>
      </c>
      <c r="AH54" s="1">
        <f t="shared" si="2"/>
        <v>126</v>
      </c>
      <c r="AI54" s="3">
        <f t="shared" si="3"/>
        <v>1900</v>
      </c>
      <c r="AL54" s="3">
        <f t="shared" si="4"/>
        <v>1900</v>
      </c>
      <c r="AM54" s="3">
        <f t="shared" si="5"/>
        <v>1900</v>
      </c>
      <c r="AQ54" s="4">
        <f t="shared" ca="1" si="20"/>
        <v>44402</v>
      </c>
      <c r="AR54" s="3">
        <f t="shared" ca="1" si="6"/>
        <v>517500</v>
      </c>
      <c r="AS54" s="63">
        <f ca="1">IF($AQ54&lt;&gt;"", INDEX(Inputs!$B$3:$B$101, MATCH($AQ54,Inputs!$A$3:$A$101,1)), "")</f>
        <v>1E-3</v>
      </c>
      <c r="AT54" s="48">
        <f t="shared" ca="1" si="21"/>
        <v>1.4178082191780821</v>
      </c>
      <c r="AU54" s="3">
        <f t="shared" ca="1" si="7"/>
        <v>-1.4178082191780821</v>
      </c>
      <c r="AV54" s="3">
        <f t="shared" ca="1" si="8"/>
        <v>-1.4178082191780821</v>
      </c>
    </row>
    <row r="55" spans="1:48" x14ac:dyDescent="0.2">
      <c r="A55" s="4">
        <v>44484</v>
      </c>
      <c r="B55" s="1" t="s">
        <v>57</v>
      </c>
      <c r="I55" s="3">
        <v>1900</v>
      </c>
      <c r="M55" s="3" t="str">
        <f t="shared" si="0"/>
        <v/>
      </c>
      <c r="N55" s="3"/>
      <c r="AA55" s="3">
        <f t="shared" si="1"/>
        <v>3450000</v>
      </c>
      <c r="AB55" s="3">
        <f t="shared" si="11"/>
        <v>3450000.0000000005</v>
      </c>
      <c r="AC55" s="3">
        <f t="shared" si="12"/>
        <v>530037.25999999978</v>
      </c>
      <c r="AD55" s="3">
        <f t="shared" si="13"/>
        <v>2919962.7400000007</v>
      </c>
      <c r="AE55" s="1">
        <f t="shared" ca="1" si="14"/>
        <v>3</v>
      </c>
      <c r="AG55" s="3">
        <f t="shared" si="15"/>
        <v>1900</v>
      </c>
      <c r="AH55" s="1">
        <f t="shared" si="2"/>
        <v>133</v>
      </c>
      <c r="AI55" s="3">
        <f t="shared" si="3"/>
        <v>1900</v>
      </c>
      <c r="AL55" s="3">
        <f t="shared" si="4"/>
        <v>1900</v>
      </c>
      <c r="AM55" s="3">
        <f t="shared" si="5"/>
        <v>1900</v>
      </c>
      <c r="AQ55" s="4">
        <f t="shared" ca="1" si="20"/>
        <v>44403</v>
      </c>
      <c r="AR55" s="3">
        <f t="shared" ca="1" si="6"/>
        <v>517500</v>
      </c>
      <c r="AS55" s="63">
        <f ca="1">IF($AQ55&lt;&gt;"", INDEX(Inputs!$B$3:$B$101, MATCH($AQ55,Inputs!$A$3:$A$101,1)), "")</f>
        <v>1E-3</v>
      </c>
      <c r="AT55" s="48">
        <f t="shared" ca="1" si="21"/>
        <v>1.4178082191780821</v>
      </c>
      <c r="AU55" s="3">
        <f t="shared" ca="1" si="7"/>
        <v>-1.4178082191780821</v>
      </c>
      <c r="AV55" s="3">
        <f t="shared" ca="1" si="8"/>
        <v>-1.4178082191780821</v>
      </c>
    </row>
    <row r="56" spans="1:48" x14ac:dyDescent="0.2">
      <c r="A56" s="4">
        <v>44487</v>
      </c>
      <c r="B56" s="1" t="s">
        <v>104</v>
      </c>
      <c r="F56" s="3">
        <v>9818.51</v>
      </c>
      <c r="M56" s="3" t="str">
        <f t="shared" si="0"/>
        <v/>
      </c>
      <c r="N56" s="3"/>
      <c r="AA56" s="3">
        <f t="shared" si="1"/>
        <v>3450000</v>
      </c>
      <c r="AB56" s="3">
        <f t="shared" si="11"/>
        <v>3450000.0000000009</v>
      </c>
      <c r="AC56" s="3">
        <f t="shared" si="12"/>
        <v>539855.76999999979</v>
      </c>
      <c r="AD56" s="3">
        <f t="shared" si="13"/>
        <v>2910144.2300000009</v>
      </c>
      <c r="AE56" s="1">
        <f t="shared" ca="1" si="14"/>
        <v>0</v>
      </c>
      <c r="AG56" s="3">
        <f t="shared" si="15"/>
        <v>-9818.51</v>
      </c>
      <c r="AH56" s="1">
        <f t="shared" si="2"/>
        <v>136</v>
      </c>
      <c r="AI56" s="3">
        <f t="shared" si="3"/>
        <v>-9818.51</v>
      </c>
      <c r="AL56" s="3">
        <f t="shared" si="4"/>
        <v>-9818.51</v>
      </c>
      <c r="AM56" s="3">
        <f t="shared" si="5"/>
        <v>-9818.51</v>
      </c>
      <c r="AQ56" s="4">
        <f t="shared" ca="1" si="20"/>
        <v>44404</v>
      </c>
      <c r="AR56" s="3">
        <f t="shared" ca="1" si="6"/>
        <v>517500</v>
      </c>
      <c r="AS56" s="63">
        <f ca="1">IF($AQ56&lt;&gt;"", INDEX(Inputs!$B$3:$B$101, MATCH($AQ56,Inputs!$A$3:$A$101,1)), "")</f>
        <v>1E-3</v>
      </c>
      <c r="AT56" s="48">
        <f t="shared" ca="1" si="21"/>
        <v>1.4178082191780821</v>
      </c>
      <c r="AU56" s="3">
        <f t="shared" ca="1" si="7"/>
        <v>-1.4178082191780821</v>
      </c>
      <c r="AV56" s="3">
        <f t="shared" ca="1" si="8"/>
        <v>-1.4178082191780821</v>
      </c>
    </row>
    <row r="57" spans="1:48" x14ac:dyDescent="0.2">
      <c r="A57" s="4">
        <v>44487</v>
      </c>
      <c r="B57" s="1" t="s">
        <v>105</v>
      </c>
      <c r="F57" s="3">
        <v>2232.44</v>
      </c>
      <c r="M57" s="3" t="str">
        <f t="shared" si="0"/>
        <v/>
      </c>
      <c r="N57" s="3"/>
      <c r="P57" s="3"/>
      <c r="AA57" s="3">
        <f t="shared" si="1"/>
        <v>3450000</v>
      </c>
      <c r="AB57" s="3">
        <f t="shared" si="11"/>
        <v>3450000.0000000009</v>
      </c>
      <c r="AC57" s="3">
        <f t="shared" si="12"/>
        <v>542088.20999999973</v>
      </c>
      <c r="AD57" s="3">
        <f t="shared" si="13"/>
        <v>2907911.790000001</v>
      </c>
      <c r="AE57" s="1">
        <f t="shared" ca="1" si="14"/>
        <v>4</v>
      </c>
      <c r="AG57" s="3">
        <f t="shared" si="15"/>
        <v>-2232.44</v>
      </c>
      <c r="AH57" s="1">
        <f t="shared" si="2"/>
        <v>136</v>
      </c>
      <c r="AI57" s="3">
        <f t="shared" si="3"/>
        <v>-2232.44</v>
      </c>
      <c r="AL57" s="3">
        <f t="shared" si="4"/>
        <v>-2232.44</v>
      </c>
      <c r="AM57" s="3">
        <f t="shared" si="5"/>
        <v>-2232.44</v>
      </c>
      <c r="AQ57" s="4">
        <f t="shared" ca="1" si="20"/>
        <v>44405</v>
      </c>
      <c r="AR57" s="3">
        <f t="shared" ca="1" si="6"/>
        <v>517500</v>
      </c>
      <c r="AS57" s="63">
        <f ca="1">IF($AQ57&lt;&gt;"", INDEX(Inputs!$B$3:$B$101, MATCH($AQ57,Inputs!$A$3:$A$101,1)), "")</f>
        <v>1E-3</v>
      </c>
      <c r="AT57" s="48">
        <f t="shared" ca="1" si="21"/>
        <v>1.4178082191780821</v>
      </c>
      <c r="AU57" s="3">
        <f t="shared" ca="1" si="7"/>
        <v>-1.4178082191780821</v>
      </c>
      <c r="AV57" s="3">
        <f t="shared" ca="1" si="8"/>
        <v>-1.4178082191780821</v>
      </c>
    </row>
    <row r="58" spans="1:48" x14ac:dyDescent="0.2">
      <c r="A58" s="4">
        <v>44491</v>
      </c>
      <c r="B58" s="1" t="s">
        <v>57</v>
      </c>
      <c r="I58" s="3">
        <v>1900</v>
      </c>
      <c r="M58" s="3" t="str">
        <f t="shared" si="0"/>
        <v/>
      </c>
      <c r="N58" s="3"/>
      <c r="AA58" s="3">
        <f t="shared" si="1"/>
        <v>3450000</v>
      </c>
      <c r="AB58" s="3">
        <f t="shared" si="11"/>
        <v>3450000.0000000009</v>
      </c>
      <c r="AC58" s="3">
        <f t="shared" si="12"/>
        <v>542088.20999999973</v>
      </c>
      <c r="AD58" s="3">
        <f t="shared" si="13"/>
        <v>2907911.790000001</v>
      </c>
      <c r="AE58" s="1">
        <f t="shared" ca="1" si="14"/>
        <v>7</v>
      </c>
      <c r="AG58" s="3">
        <f t="shared" si="15"/>
        <v>1900</v>
      </c>
      <c r="AH58" s="1">
        <f t="shared" si="2"/>
        <v>140</v>
      </c>
      <c r="AI58" s="3">
        <f t="shared" si="3"/>
        <v>1900</v>
      </c>
      <c r="AL58" s="3">
        <f t="shared" si="4"/>
        <v>1900</v>
      </c>
      <c r="AM58" s="3">
        <f t="shared" si="5"/>
        <v>1900</v>
      </c>
      <c r="AQ58" s="4">
        <f t="shared" ca="1" si="20"/>
        <v>44406</v>
      </c>
      <c r="AR58" s="3">
        <f t="shared" ca="1" si="6"/>
        <v>517500</v>
      </c>
      <c r="AS58" s="63">
        <f ca="1">IF($AQ58&lt;&gt;"", INDEX(Inputs!$B$3:$B$101, MATCH($AQ58,Inputs!$A$3:$A$101,1)), "")</f>
        <v>1E-3</v>
      </c>
      <c r="AT58" s="48">
        <f t="shared" ca="1" si="21"/>
        <v>1.4178082191780821</v>
      </c>
      <c r="AU58" s="3">
        <f t="shared" ca="1" si="7"/>
        <v>-1.4178082191780821</v>
      </c>
      <c r="AV58" s="3">
        <f t="shared" ca="1" si="8"/>
        <v>-1.4178082191780821</v>
      </c>
    </row>
    <row r="59" spans="1:48" x14ac:dyDescent="0.2">
      <c r="A59" s="4">
        <v>44498</v>
      </c>
      <c r="B59" s="1" t="s">
        <v>57</v>
      </c>
      <c r="I59" s="3">
        <v>1900</v>
      </c>
      <c r="M59" s="3" t="str">
        <f t="shared" si="0"/>
        <v/>
      </c>
      <c r="N59" s="3"/>
      <c r="AA59" s="3">
        <f t="shared" si="1"/>
        <v>3450000</v>
      </c>
      <c r="AB59" s="3">
        <f t="shared" si="11"/>
        <v>3450000.0000000009</v>
      </c>
      <c r="AC59" s="3">
        <f t="shared" si="12"/>
        <v>542088.20999999973</v>
      </c>
      <c r="AD59" s="3">
        <f t="shared" si="13"/>
        <v>2907911.790000001</v>
      </c>
      <c r="AE59" s="1">
        <f t="shared" ca="1" si="14"/>
        <v>0</v>
      </c>
      <c r="AG59" s="3">
        <f t="shared" si="15"/>
        <v>1900</v>
      </c>
      <c r="AH59" s="1">
        <f t="shared" si="2"/>
        <v>147</v>
      </c>
      <c r="AI59" s="3">
        <f t="shared" si="3"/>
        <v>1900</v>
      </c>
      <c r="AL59" s="3">
        <f t="shared" si="4"/>
        <v>1900</v>
      </c>
      <c r="AM59" s="3">
        <f t="shared" si="5"/>
        <v>1900</v>
      </c>
      <c r="AQ59" s="4">
        <f t="shared" ca="1" si="20"/>
        <v>44407</v>
      </c>
      <c r="AR59" s="3">
        <f t="shared" ca="1" si="6"/>
        <v>515390.06</v>
      </c>
      <c r="AS59" s="63">
        <f ca="1">IF($AQ59&lt;&gt;"", INDEX(Inputs!$B$3:$B$101, MATCH($AQ59,Inputs!$A$3:$A$101,1)), "")</f>
        <v>1E-3</v>
      </c>
      <c r="AT59" s="48">
        <f t="shared" ca="1" si="21"/>
        <v>1.4120275616438358</v>
      </c>
      <c r="AU59" s="3">
        <f t="shared" ca="1" si="7"/>
        <v>1898.5879724383562</v>
      </c>
      <c r="AV59" s="3">
        <f t="shared" ca="1" si="8"/>
        <v>1898.5879724383562</v>
      </c>
    </row>
    <row r="60" spans="1:48" x14ac:dyDescent="0.2">
      <c r="A60" s="4">
        <v>44498</v>
      </c>
      <c r="B60" s="1" t="s">
        <v>103</v>
      </c>
      <c r="G60" s="3">
        <v>3998.73</v>
      </c>
      <c r="M60" s="3" t="str">
        <f t="shared" si="0"/>
        <v/>
      </c>
      <c r="N60" s="3"/>
      <c r="AA60" s="3">
        <f t="shared" si="1"/>
        <v>3450000</v>
      </c>
      <c r="AB60" s="3">
        <f t="shared" si="11"/>
        <v>3450000.0000000009</v>
      </c>
      <c r="AC60" s="3">
        <f t="shared" si="12"/>
        <v>538089.47999999975</v>
      </c>
      <c r="AD60" s="3">
        <f t="shared" si="13"/>
        <v>2911910.5200000009</v>
      </c>
      <c r="AE60" s="1">
        <f t="shared" ca="1" si="14"/>
        <v>0</v>
      </c>
      <c r="AG60" s="3">
        <f t="shared" si="15"/>
        <v>0</v>
      </c>
      <c r="AH60" s="1">
        <f t="shared" si="2"/>
        <v>147</v>
      </c>
      <c r="AI60" s="3">
        <f t="shared" si="3"/>
        <v>0</v>
      </c>
      <c r="AL60" s="3">
        <f t="shared" si="4"/>
        <v>0</v>
      </c>
      <c r="AM60" s="3">
        <f t="shared" si="5"/>
        <v>0</v>
      </c>
      <c r="AQ60" s="4">
        <f t="shared" ca="1" si="20"/>
        <v>44408</v>
      </c>
      <c r="AR60" s="3">
        <f t="shared" ca="1" si="6"/>
        <v>515390.06</v>
      </c>
      <c r="AS60" s="63">
        <f ca="1">IF($AQ60&lt;&gt;"", INDEX(Inputs!$B$3:$B$101, MATCH($AQ60,Inputs!$A$3:$A$101,1)), "")</f>
        <v>1E-3</v>
      </c>
      <c r="AT60" s="48">
        <f t="shared" ca="1" si="21"/>
        <v>1.4120275616438358</v>
      </c>
      <c r="AU60" s="3">
        <f t="shared" ca="1" si="7"/>
        <v>-1.4120275616438358</v>
      </c>
      <c r="AV60" s="3">
        <f t="shared" ca="1" si="8"/>
        <v>-1.4120275616438358</v>
      </c>
    </row>
    <row r="61" spans="1:48" x14ac:dyDescent="0.2">
      <c r="A61" s="4">
        <v>44498</v>
      </c>
      <c r="B61" s="1" t="s">
        <v>106</v>
      </c>
      <c r="G61" s="3">
        <v>627.85</v>
      </c>
      <c r="M61" s="3" t="str">
        <f t="shared" si="0"/>
        <v/>
      </c>
      <c r="N61" s="3"/>
      <c r="P61" s="3"/>
      <c r="AA61" s="3">
        <f t="shared" si="1"/>
        <v>3450000</v>
      </c>
      <c r="AB61" s="3">
        <f t="shared" si="11"/>
        <v>3450000.0000000009</v>
      </c>
      <c r="AC61" s="3">
        <f t="shared" si="12"/>
        <v>537461.62999999977</v>
      </c>
      <c r="AD61" s="3">
        <f t="shared" si="13"/>
        <v>2912538.370000001</v>
      </c>
      <c r="AE61" s="1">
        <f t="shared" ca="1" si="14"/>
        <v>7</v>
      </c>
      <c r="AG61" s="3">
        <f t="shared" si="15"/>
        <v>0</v>
      </c>
      <c r="AH61" s="1">
        <f t="shared" si="2"/>
        <v>147</v>
      </c>
      <c r="AI61" s="3">
        <f t="shared" si="3"/>
        <v>0</v>
      </c>
      <c r="AL61" s="3">
        <f t="shared" si="4"/>
        <v>0</v>
      </c>
      <c r="AM61" s="3">
        <f t="shared" si="5"/>
        <v>0</v>
      </c>
      <c r="AQ61" s="4">
        <f t="shared" ca="1" si="20"/>
        <v>44409</v>
      </c>
      <c r="AR61" s="3">
        <f t="shared" ca="1" si="6"/>
        <v>515390.06</v>
      </c>
      <c r="AS61" s="63">
        <f ca="1">IF($AQ61&lt;&gt;"", INDEX(Inputs!$B$3:$B$101, MATCH($AQ61,Inputs!$A$3:$A$101,1)), "")</f>
        <v>1E-3</v>
      </c>
      <c r="AT61" s="48">
        <f t="shared" ca="1" si="21"/>
        <v>1.4120275616438358</v>
      </c>
      <c r="AU61" s="3">
        <f t="shared" ca="1" si="7"/>
        <v>-1.4120275616438358</v>
      </c>
      <c r="AV61" s="3">
        <f t="shared" ca="1" si="8"/>
        <v>-1.4120275616438358</v>
      </c>
    </row>
    <row r="62" spans="1:48" x14ac:dyDescent="0.2">
      <c r="A62" s="4">
        <v>44505</v>
      </c>
      <c r="B62" s="1" t="s">
        <v>57</v>
      </c>
      <c r="I62" s="3">
        <v>1900</v>
      </c>
      <c r="M62" s="3" t="str">
        <f t="shared" si="0"/>
        <v/>
      </c>
      <c r="N62" s="3"/>
      <c r="AA62" s="3">
        <f t="shared" si="1"/>
        <v>3450000</v>
      </c>
      <c r="AB62" s="3">
        <f t="shared" si="11"/>
        <v>3450000.0000000009</v>
      </c>
      <c r="AC62" s="3">
        <f t="shared" si="12"/>
        <v>537461.62999999977</v>
      </c>
      <c r="AD62" s="3">
        <f t="shared" si="13"/>
        <v>2912538.370000001</v>
      </c>
      <c r="AE62" s="1">
        <f t="shared" ca="1" si="14"/>
        <v>7</v>
      </c>
      <c r="AG62" s="3">
        <f t="shared" si="15"/>
        <v>1900</v>
      </c>
      <c r="AH62" s="1">
        <f t="shared" si="2"/>
        <v>154</v>
      </c>
      <c r="AI62" s="3">
        <f t="shared" si="3"/>
        <v>1900</v>
      </c>
      <c r="AL62" s="3">
        <f t="shared" si="4"/>
        <v>1900</v>
      </c>
      <c r="AM62" s="3">
        <f t="shared" si="5"/>
        <v>1900</v>
      </c>
      <c r="AQ62" s="4">
        <f t="shared" ca="1" si="20"/>
        <v>44410</v>
      </c>
      <c r="AR62" s="3">
        <f t="shared" ca="1" si="6"/>
        <v>515390.06</v>
      </c>
      <c r="AS62" s="63">
        <f ca="1">IF($AQ62&lt;&gt;"", INDEX(Inputs!$B$3:$B$101, MATCH($AQ62,Inputs!$A$3:$A$101,1)), "")</f>
        <v>1E-3</v>
      </c>
      <c r="AT62" s="48">
        <f t="shared" ca="1" si="21"/>
        <v>1.4120275616438358</v>
      </c>
      <c r="AU62" s="3">
        <f t="shared" ca="1" si="7"/>
        <v>-1.4120275616438358</v>
      </c>
      <c r="AV62" s="3">
        <f t="shared" ca="1" si="8"/>
        <v>-1.4120275616438358</v>
      </c>
    </row>
    <row r="63" spans="1:48" x14ac:dyDescent="0.2">
      <c r="A63" s="4">
        <v>44512</v>
      </c>
      <c r="B63" s="1" t="s">
        <v>57</v>
      </c>
      <c r="I63" s="3">
        <v>1900</v>
      </c>
      <c r="M63" s="3" t="str">
        <f t="shared" si="0"/>
        <v/>
      </c>
      <c r="N63" s="3"/>
      <c r="AA63" s="3">
        <f t="shared" si="1"/>
        <v>3450000</v>
      </c>
      <c r="AB63" s="3">
        <f t="shared" si="11"/>
        <v>3450000.0000000009</v>
      </c>
      <c r="AC63" s="3">
        <f t="shared" si="12"/>
        <v>537461.62999999977</v>
      </c>
      <c r="AD63" s="3">
        <f t="shared" si="13"/>
        <v>2912538.370000001</v>
      </c>
      <c r="AE63" s="1">
        <f t="shared" ca="1" si="14"/>
        <v>4</v>
      </c>
      <c r="AG63" s="3">
        <f t="shared" si="15"/>
        <v>1900</v>
      </c>
      <c r="AH63" s="1">
        <f t="shared" si="2"/>
        <v>161</v>
      </c>
      <c r="AI63" s="3">
        <f t="shared" si="3"/>
        <v>1900</v>
      </c>
      <c r="AL63" s="3">
        <f t="shared" si="4"/>
        <v>1900</v>
      </c>
      <c r="AM63" s="3">
        <f t="shared" si="5"/>
        <v>1900</v>
      </c>
      <c r="AQ63" s="4">
        <f t="shared" ca="1" si="20"/>
        <v>44411</v>
      </c>
      <c r="AR63" s="3">
        <f t="shared" ca="1" si="6"/>
        <v>515390.06</v>
      </c>
      <c r="AS63" s="63">
        <f ca="1">IF($AQ63&lt;&gt;"", INDEX(Inputs!$B$3:$B$101, MATCH($AQ63,Inputs!$A$3:$A$101,1)), "")</f>
        <v>1E-3</v>
      </c>
      <c r="AT63" s="48">
        <f t="shared" ca="1" si="21"/>
        <v>1.4120275616438358</v>
      </c>
      <c r="AU63" s="3">
        <f t="shared" ca="1" si="7"/>
        <v>-1.4120275616438358</v>
      </c>
      <c r="AV63" s="3">
        <f t="shared" ca="1" si="8"/>
        <v>-1.4120275616438358</v>
      </c>
    </row>
    <row r="64" spans="1:48" x14ac:dyDescent="0.2">
      <c r="A64" s="4">
        <v>44516</v>
      </c>
      <c r="B64" s="1" t="s">
        <v>104</v>
      </c>
      <c r="F64" s="3">
        <v>9818.51</v>
      </c>
      <c r="M64" s="3" t="str">
        <f t="shared" si="0"/>
        <v/>
      </c>
      <c r="N64" s="3"/>
      <c r="AA64" s="3">
        <f t="shared" si="1"/>
        <v>3450000</v>
      </c>
      <c r="AB64" s="3">
        <f t="shared" si="11"/>
        <v>3450000.0000000009</v>
      </c>
      <c r="AC64" s="3">
        <f t="shared" si="12"/>
        <v>547280.13999999978</v>
      </c>
      <c r="AD64" s="3">
        <f t="shared" si="13"/>
        <v>2902719.8600000013</v>
      </c>
      <c r="AE64" s="1">
        <f t="shared" ca="1" si="14"/>
        <v>0</v>
      </c>
      <c r="AG64" s="3">
        <f t="shared" si="15"/>
        <v>-9818.51</v>
      </c>
      <c r="AH64" s="1">
        <f t="shared" si="2"/>
        <v>165</v>
      </c>
      <c r="AI64" s="3">
        <f t="shared" si="3"/>
        <v>-9818.51</v>
      </c>
      <c r="AL64" s="3">
        <f t="shared" si="4"/>
        <v>-9818.51</v>
      </c>
      <c r="AM64" s="3">
        <f t="shared" si="5"/>
        <v>-9818.51</v>
      </c>
      <c r="AQ64" s="4">
        <f t="shared" ca="1" si="20"/>
        <v>44412</v>
      </c>
      <c r="AR64" s="3">
        <f t="shared" ca="1" si="6"/>
        <v>515390.06</v>
      </c>
      <c r="AS64" s="63">
        <f ca="1">IF($AQ64&lt;&gt;"", INDEX(Inputs!$B$3:$B$101, MATCH($AQ64,Inputs!$A$3:$A$101,1)), "")</f>
        <v>1E-3</v>
      </c>
      <c r="AT64" s="48">
        <f t="shared" ca="1" si="21"/>
        <v>1.4120275616438358</v>
      </c>
      <c r="AU64" s="3">
        <f t="shared" ca="1" si="7"/>
        <v>-1.4120275616438358</v>
      </c>
      <c r="AV64" s="3">
        <f t="shared" ca="1" si="8"/>
        <v>-1.4120275616438358</v>
      </c>
    </row>
    <row r="65" spans="1:48" x14ac:dyDescent="0.2">
      <c r="A65" s="4">
        <v>44516</v>
      </c>
      <c r="B65" s="1" t="s">
        <v>105</v>
      </c>
      <c r="F65" s="3">
        <v>2232.44</v>
      </c>
      <c r="M65" s="3" t="str">
        <f t="shared" si="0"/>
        <v/>
      </c>
      <c r="N65" s="3"/>
      <c r="P65" s="3"/>
      <c r="AA65" s="3">
        <f t="shared" si="1"/>
        <v>3450000</v>
      </c>
      <c r="AB65" s="3">
        <f t="shared" si="11"/>
        <v>3450000.0000000009</v>
      </c>
      <c r="AC65" s="3">
        <f t="shared" si="12"/>
        <v>549512.57999999973</v>
      </c>
      <c r="AD65" s="3">
        <f t="shared" si="13"/>
        <v>2900487.4200000013</v>
      </c>
      <c r="AE65" s="1">
        <f t="shared" ca="1" si="14"/>
        <v>3</v>
      </c>
      <c r="AG65" s="3">
        <f t="shared" si="15"/>
        <v>-2232.44</v>
      </c>
      <c r="AH65" s="1">
        <f t="shared" si="2"/>
        <v>165</v>
      </c>
      <c r="AI65" s="3">
        <f t="shared" si="3"/>
        <v>-2232.44</v>
      </c>
      <c r="AL65" s="3">
        <f t="shared" si="4"/>
        <v>-2232.44</v>
      </c>
      <c r="AM65" s="3">
        <f t="shared" si="5"/>
        <v>-2232.44</v>
      </c>
      <c r="AQ65" s="4">
        <f t="shared" ca="1" si="20"/>
        <v>44413</v>
      </c>
      <c r="AR65" s="3">
        <f t="shared" ca="1" si="6"/>
        <v>515390.06</v>
      </c>
      <c r="AS65" s="63">
        <f ca="1">IF($AQ65&lt;&gt;"", INDEX(Inputs!$B$3:$B$101, MATCH($AQ65,Inputs!$A$3:$A$101,1)), "")</f>
        <v>1E-3</v>
      </c>
      <c r="AT65" s="48">
        <f t="shared" ca="1" si="21"/>
        <v>1.4120275616438358</v>
      </c>
      <c r="AU65" s="3">
        <f t="shared" ca="1" si="7"/>
        <v>-1.4120275616438358</v>
      </c>
      <c r="AV65" s="3">
        <f t="shared" ca="1" si="8"/>
        <v>-1.4120275616438358</v>
      </c>
    </row>
    <row r="66" spans="1:48" x14ac:dyDescent="0.2">
      <c r="A66" s="4">
        <v>44519</v>
      </c>
      <c r="B66" s="1" t="s">
        <v>57</v>
      </c>
      <c r="I66" s="3">
        <v>1900</v>
      </c>
      <c r="M66" s="3" t="str">
        <f t="shared" si="0"/>
        <v/>
      </c>
      <c r="N66" s="3"/>
      <c r="AA66" s="3">
        <f t="shared" si="1"/>
        <v>3450000</v>
      </c>
      <c r="AB66" s="3">
        <f t="shared" si="11"/>
        <v>3450000.0000000009</v>
      </c>
      <c r="AC66" s="3">
        <f t="shared" si="12"/>
        <v>549512.57999999973</v>
      </c>
      <c r="AD66" s="3">
        <f t="shared" si="13"/>
        <v>2900487.4200000013</v>
      </c>
      <c r="AE66" s="1">
        <f t="shared" ca="1" si="14"/>
        <v>7</v>
      </c>
      <c r="AG66" s="3">
        <f t="shared" si="15"/>
        <v>1900</v>
      </c>
      <c r="AH66" s="1">
        <f t="shared" si="2"/>
        <v>168</v>
      </c>
      <c r="AI66" s="3">
        <f t="shared" si="3"/>
        <v>1900</v>
      </c>
      <c r="AL66" s="3">
        <f t="shared" si="4"/>
        <v>1900</v>
      </c>
      <c r="AM66" s="3">
        <f t="shared" si="5"/>
        <v>1900</v>
      </c>
      <c r="AQ66" s="4">
        <f t="shared" ca="1" si="20"/>
        <v>44414</v>
      </c>
      <c r="AR66" s="3">
        <f t="shared" ca="1" si="6"/>
        <v>515390.06</v>
      </c>
      <c r="AS66" s="63">
        <f ca="1">IF($AQ66&lt;&gt;"", INDEX(Inputs!$B$3:$B$101, MATCH($AQ66,Inputs!$A$3:$A$101,1)), "")</f>
        <v>1E-3</v>
      </c>
      <c r="AT66" s="48">
        <f t="shared" ca="1" si="21"/>
        <v>1.4120275616438358</v>
      </c>
      <c r="AU66" s="3">
        <f t="shared" ca="1" si="7"/>
        <v>1898.5879724383562</v>
      </c>
      <c r="AV66" s="3">
        <f t="shared" ca="1" si="8"/>
        <v>1898.5879724383562</v>
      </c>
    </row>
    <row r="67" spans="1:48" x14ac:dyDescent="0.2">
      <c r="A67" s="4">
        <v>44526</v>
      </c>
      <c r="B67" s="1" t="s">
        <v>57</v>
      </c>
      <c r="I67" s="3">
        <v>1900</v>
      </c>
      <c r="M67" s="3" t="str">
        <f t="shared" ref="M67:M130" si="22">IF($A67&lt;&gt;"", IF(ISNUMBER(SEARCH("Debt Cost (est.)",B67)), SUMIFS(AT:AT, AQ:AQ, "&gt;="&amp;DATE("20"&amp;RIGHT(LEFT(B67,4),2)-1,7,1), AQ:AQ, "&lt;="&amp;DATE("20"&amp;RIGHT(LEFT(B67,4),2),6,30)), ""), "")</f>
        <v/>
      </c>
      <c r="N67" s="3"/>
      <c r="AA67" s="3">
        <f t="shared" ref="AA67:AA130" si="23">IF($A67&lt;&gt;"", MIN(AB67,$P$3), "")</f>
        <v>3450000</v>
      </c>
      <c r="AB67" s="3">
        <f t="shared" si="11"/>
        <v>3450000.0000000009</v>
      </c>
      <c r="AC67" s="3">
        <f t="shared" si="12"/>
        <v>549512.57999999973</v>
      </c>
      <c r="AD67" s="3">
        <f t="shared" si="13"/>
        <v>2900487.4200000013</v>
      </c>
      <c r="AE67" s="1">
        <f t="shared" ca="1" si="14"/>
        <v>4</v>
      </c>
      <c r="AG67" s="3">
        <f t="shared" si="15"/>
        <v>1900</v>
      </c>
      <c r="AH67" s="1">
        <f t="shared" ref="AH67:AH130" si="24">IF(A67&lt;&gt;"", A67-A$3, "")</f>
        <v>175</v>
      </c>
      <c r="AI67" s="3">
        <f t="shared" ref="AI67:AI130" si="25">IF(A67&lt;&gt;"", AG67*(1+$X$3)^-(AH67/365), "")</f>
        <v>1900</v>
      </c>
      <c r="AL67" s="3">
        <f t="shared" ref="AL67:AL130" si="26">IF($A67&lt;&gt;"", AG67-IF(ISNUMBER(K67),K67*L67,0), "")</f>
        <v>1900</v>
      </c>
      <c r="AM67" s="3">
        <f t="shared" ref="AM67:AM130" si="27">IF(A67&lt;&gt;"", AL67*(1+$X$6/CompoundingRate)^-(AH67/(365/CompoundingRate)), "")</f>
        <v>1900</v>
      </c>
      <c r="AQ67" s="4">
        <f t="shared" ca="1" si="20"/>
        <v>44415</v>
      </c>
      <c r="AR67" s="3">
        <f t="shared" ref="AR67:AR130" ca="1" si="28">IF($AQ67&lt;&gt;"", INDEX($AC$3:$AC$1055, MATCH($AQ67,$A$3:$A$1055,1)), "")</f>
        <v>515390.06</v>
      </c>
      <c r="AS67" s="63">
        <f ca="1">IF($AQ67&lt;&gt;"", INDEX(Inputs!$B$3:$B$101, MATCH($AQ67,Inputs!$A$3:$A$101,1)), "")</f>
        <v>1E-3</v>
      </c>
      <c r="AT67" s="48">
        <f t="shared" ca="1" si="21"/>
        <v>1.4120275616438358</v>
      </c>
      <c r="AU67" s="3">
        <f t="shared" ref="AU67:AU130" ca="1" si="29">IF($AQ67&lt;&gt;"", SUMIFS($AL$3:$AL$1054, $A$3:$A$1054,$AQ67) + SUMIFS($M$3:$M$1054, $A$3:$A$1054,$AQ67)*IFERROR(AVERAGEIFS($L$3:$L$1054, $A$3:$A$1054,$AQ67, $M$3:$M$1054,"&gt;0"),0) - AT67, "")</f>
        <v>-1.4120275616438358</v>
      </c>
      <c r="AV67" s="3">
        <f t="shared" ref="AV67:AV130" ca="1" si="30">IF(AQ67&lt;&gt;"", AU67*(1+$X$9/CompoundingRate)^-((AQ67-AQ$3)/(365/CompoundingRate)), "")</f>
        <v>-1.4120275616438358</v>
      </c>
    </row>
    <row r="68" spans="1:48" x14ac:dyDescent="0.2">
      <c r="A68" s="4">
        <v>44530</v>
      </c>
      <c r="B68" s="1" t="s">
        <v>103</v>
      </c>
      <c r="G68" s="3">
        <v>4400.7299999999996</v>
      </c>
      <c r="M68" s="3" t="str">
        <f t="shared" si="22"/>
        <v/>
      </c>
      <c r="N68" s="3"/>
      <c r="AA68" s="3">
        <f t="shared" si="23"/>
        <v>3450000</v>
      </c>
      <c r="AB68" s="3">
        <f t="shared" ref="AB68:AB131" si="31">IF($A68&lt;&gt;"", AC68+AD68, "")</f>
        <v>3450000.0000000009</v>
      </c>
      <c r="AC68" s="3">
        <f t="shared" ref="AC68:AC131" si="32">IF(A68&lt;&gt;"", AC67+D68+F68-G68, "")</f>
        <v>545111.84999999974</v>
      </c>
      <c r="AD68" s="3">
        <f t="shared" ref="AD68:AD131" si="33">IF(A68&lt;&gt;"", AD67+C68-F68+G68, "")</f>
        <v>2904888.1500000013</v>
      </c>
      <c r="AE68" s="1">
        <f t="shared" ref="AE68:AE131" ca="1" si="34">IF(A69&lt;&gt;"", A69-A68, IF(A68&lt;&gt;"",IF(AC68&lt;&gt;0,TODAY()-A68,0), ""))</f>
        <v>0</v>
      </c>
      <c r="AG68" s="3">
        <f t="shared" ref="AG68:AG131" si="35">IF($A68&lt;&gt;"", I68+J68+E68-F68-H68, "")</f>
        <v>0</v>
      </c>
      <c r="AH68" s="1">
        <f t="shared" si="24"/>
        <v>179</v>
      </c>
      <c r="AI68" s="3">
        <f t="shared" si="25"/>
        <v>0</v>
      </c>
      <c r="AL68" s="3">
        <f t="shared" si="26"/>
        <v>0</v>
      </c>
      <c r="AM68" s="3">
        <f t="shared" si="27"/>
        <v>0</v>
      </c>
      <c r="AQ68" s="4">
        <f t="shared" ca="1" si="20"/>
        <v>44416</v>
      </c>
      <c r="AR68" s="3">
        <f t="shared" ca="1" si="28"/>
        <v>515390.06</v>
      </c>
      <c r="AS68" s="63">
        <f ca="1">IF($AQ68&lt;&gt;"", INDEX(Inputs!$B$3:$B$101, MATCH($AQ68,Inputs!$A$3:$A$101,1)), "")</f>
        <v>1E-3</v>
      </c>
      <c r="AT68" s="48">
        <f t="shared" ca="1" si="21"/>
        <v>1.4120275616438358</v>
      </c>
      <c r="AU68" s="3">
        <f t="shared" ca="1" si="29"/>
        <v>-1.4120275616438358</v>
      </c>
      <c r="AV68" s="3">
        <f t="shared" ca="1" si="30"/>
        <v>-1.4120275616438358</v>
      </c>
    </row>
    <row r="69" spans="1:48" x14ac:dyDescent="0.2">
      <c r="A69" s="4">
        <v>44530</v>
      </c>
      <c r="B69" s="1" t="s">
        <v>106</v>
      </c>
      <c r="G69" s="3">
        <v>582.62</v>
      </c>
      <c r="M69" s="3" t="str">
        <f t="shared" si="22"/>
        <v/>
      </c>
      <c r="N69" s="3"/>
      <c r="P69" s="3"/>
      <c r="AA69" s="3">
        <f t="shared" si="23"/>
        <v>3450000</v>
      </c>
      <c r="AB69" s="3">
        <f t="shared" si="31"/>
        <v>3450000.0000000009</v>
      </c>
      <c r="AC69" s="3">
        <f t="shared" si="32"/>
        <v>544529.22999999975</v>
      </c>
      <c r="AD69" s="3">
        <f t="shared" si="33"/>
        <v>2905470.7700000014</v>
      </c>
      <c r="AE69" s="1">
        <f t="shared" ca="1" si="34"/>
        <v>3</v>
      </c>
      <c r="AG69" s="3">
        <f t="shared" si="35"/>
        <v>0</v>
      </c>
      <c r="AH69" s="1">
        <f t="shared" si="24"/>
        <v>179</v>
      </c>
      <c r="AI69" s="3">
        <f t="shared" si="25"/>
        <v>0</v>
      </c>
      <c r="AL69" s="3">
        <f t="shared" si="26"/>
        <v>0</v>
      </c>
      <c r="AM69" s="3">
        <f t="shared" si="27"/>
        <v>0</v>
      </c>
      <c r="AQ69" s="4">
        <f t="shared" ca="1" si="20"/>
        <v>44417</v>
      </c>
      <c r="AR69" s="3">
        <f t="shared" ca="1" si="28"/>
        <v>515390.06</v>
      </c>
      <c r="AS69" s="63">
        <f ca="1">IF($AQ69&lt;&gt;"", INDEX(Inputs!$B$3:$B$101, MATCH($AQ69,Inputs!$A$3:$A$101,1)), "")</f>
        <v>1E-3</v>
      </c>
      <c r="AT69" s="48">
        <f t="shared" ca="1" si="21"/>
        <v>1.4120275616438358</v>
      </c>
      <c r="AU69" s="3">
        <f t="shared" ca="1" si="29"/>
        <v>-1.4120275616438358</v>
      </c>
      <c r="AV69" s="3">
        <f t="shared" ca="1" si="30"/>
        <v>-1.4120275616438358</v>
      </c>
    </row>
    <row r="70" spans="1:48" x14ac:dyDescent="0.2">
      <c r="A70" s="4">
        <v>44533</v>
      </c>
      <c r="B70" s="1" t="s">
        <v>57</v>
      </c>
      <c r="I70" s="3">
        <v>1900</v>
      </c>
      <c r="M70" s="3" t="str">
        <f t="shared" si="22"/>
        <v/>
      </c>
      <c r="N70" s="3"/>
      <c r="AA70" s="3">
        <f t="shared" si="23"/>
        <v>3450000</v>
      </c>
      <c r="AB70" s="3">
        <f t="shared" si="31"/>
        <v>3450000.0000000009</v>
      </c>
      <c r="AC70" s="3">
        <f t="shared" si="32"/>
        <v>544529.22999999975</v>
      </c>
      <c r="AD70" s="3">
        <f t="shared" si="33"/>
        <v>2905470.7700000014</v>
      </c>
      <c r="AE70" s="1">
        <f t="shared" ca="1" si="34"/>
        <v>7</v>
      </c>
      <c r="AG70" s="3">
        <f t="shared" si="35"/>
        <v>1900</v>
      </c>
      <c r="AH70" s="1">
        <f t="shared" si="24"/>
        <v>182</v>
      </c>
      <c r="AI70" s="3">
        <f t="shared" si="25"/>
        <v>1900</v>
      </c>
      <c r="AL70" s="3">
        <f t="shared" si="26"/>
        <v>1900</v>
      </c>
      <c r="AM70" s="3">
        <f t="shared" si="27"/>
        <v>1900</v>
      </c>
      <c r="AQ70" s="4">
        <f t="shared" ca="1" si="20"/>
        <v>44418</v>
      </c>
      <c r="AR70" s="3">
        <f t="shared" ca="1" si="28"/>
        <v>515390.06</v>
      </c>
      <c r="AS70" s="63">
        <f ca="1">IF($AQ70&lt;&gt;"", INDEX(Inputs!$B$3:$B$101, MATCH($AQ70,Inputs!$A$3:$A$101,1)), "")</f>
        <v>1E-3</v>
      </c>
      <c r="AT70" s="48">
        <f t="shared" ca="1" si="21"/>
        <v>1.4120275616438358</v>
      </c>
      <c r="AU70" s="3">
        <f t="shared" ca="1" si="29"/>
        <v>-1.4120275616438358</v>
      </c>
      <c r="AV70" s="3">
        <f t="shared" ca="1" si="30"/>
        <v>-1.4120275616438358</v>
      </c>
    </row>
    <row r="71" spans="1:48" x14ac:dyDescent="0.2">
      <c r="A71" s="4">
        <v>44540</v>
      </c>
      <c r="B71" s="1" t="s">
        <v>57</v>
      </c>
      <c r="I71" s="3">
        <v>1900</v>
      </c>
      <c r="M71" s="3" t="str">
        <f t="shared" si="22"/>
        <v/>
      </c>
      <c r="N71" s="3"/>
      <c r="AA71" s="3">
        <f t="shared" si="23"/>
        <v>3450000</v>
      </c>
      <c r="AB71" s="3">
        <f t="shared" si="31"/>
        <v>3450000.0000000009</v>
      </c>
      <c r="AC71" s="3">
        <f t="shared" si="32"/>
        <v>544529.22999999975</v>
      </c>
      <c r="AD71" s="3">
        <f t="shared" si="33"/>
        <v>2905470.7700000014</v>
      </c>
      <c r="AE71" s="1">
        <f t="shared" ca="1" si="34"/>
        <v>6</v>
      </c>
      <c r="AG71" s="3">
        <f t="shared" si="35"/>
        <v>1900</v>
      </c>
      <c r="AH71" s="1">
        <f t="shared" si="24"/>
        <v>189</v>
      </c>
      <c r="AI71" s="3">
        <f t="shared" si="25"/>
        <v>1900</v>
      </c>
      <c r="AL71" s="3">
        <f t="shared" si="26"/>
        <v>1900</v>
      </c>
      <c r="AM71" s="3">
        <f t="shared" si="27"/>
        <v>1900</v>
      </c>
      <c r="AQ71" s="4">
        <f t="shared" ca="1" si="20"/>
        <v>44419</v>
      </c>
      <c r="AR71" s="3">
        <f t="shared" ca="1" si="28"/>
        <v>515390.06</v>
      </c>
      <c r="AS71" s="63">
        <f ca="1">IF($AQ71&lt;&gt;"", INDEX(Inputs!$B$3:$B$101, MATCH($AQ71,Inputs!$A$3:$A$101,1)), "")</f>
        <v>1E-3</v>
      </c>
      <c r="AT71" s="48">
        <f t="shared" ca="1" si="21"/>
        <v>1.4120275616438358</v>
      </c>
      <c r="AU71" s="3">
        <f t="shared" ca="1" si="29"/>
        <v>-1.4120275616438358</v>
      </c>
      <c r="AV71" s="3">
        <f t="shared" ca="1" si="30"/>
        <v>-1.4120275616438358</v>
      </c>
    </row>
    <row r="72" spans="1:48" x14ac:dyDescent="0.2">
      <c r="A72" s="4">
        <v>44546</v>
      </c>
      <c r="B72" s="1" t="s">
        <v>104</v>
      </c>
      <c r="F72" s="3">
        <v>9818.51</v>
      </c>
      <c r="M72" s="3" t="str">
        <f t="shared" si="22"/>
        <v/>
      </c>
      <c r="N72" s="3"/>
      <c r="AA72" s="3">
        <f t="shared" si="23"/>
        <v>3450000</v>
      </c>
      <c r="AB72" s="3">
        <f t="shared" si="31"/>
        <v>3450000.0000000014</v>
      </c>
      <c r="AC72" s="3">
        <f t="shared" si="32"/>
        <v>554347.73999999976</v>
      </c>
      <c r="AD72" s="3">
        <f t="shared" si="33"/>
        <v>2895652.2600000016</v>
      </c>
      <c r="AE72" s="1">
        <f t="shared" ca="1" si="34"/>
        <v>0</v>
      </c>
      <c r="AG72" s="3">
        <f t="shared" si="35"/>
        <v>-9818.51</v>
      </c>
      <c r="AH72" s="1">
        <f t="shared" si="24"/>
        <v>195</v>
      </c>
      <c r="AI72" s="3">
        <f t="shared" si="25"/>
        <v>-9818.51</v>
      </c>
      <c r="AL72" s="3">
        <f t="shared" si="26"/>
        <v>-9818.51</v>
      </c>
      <c r="AM72" s="3">
        <f t="shared" si="27"/>
        <v>-9818.51</v>
      </c>
      <c r="AQ72" s="4">
        <f t="shared" ca="1" si="20"/>
        <v>44420</v>
      </c>
      <c r="AR72" s="3">
        <f t="shared" ca="1" si="28"/>
        <v>515390.06</v>
      </c>
      <c r="AS72" s="63">
        <f ca="1">IF($AQ72&lt;&gt;"", INDEX(Inputs!$B$3:$B$101, MATCH($AQ72,Inputs!$A$3:$A$101,1)), "")</f>
        <v>1E-3</v>
      </c>
      <c r="AT72" s="48">
        <f t="shared" ca="1" si="21"/>
        <v>1.4120275616438358</v>
      </c>
      <c r="AU72" s="3">
        <f t="shared" ca="1" si="29"/>
        <v>-1.4120275616438358</v>
      </c>
      <c r="AV72" s="3">
        <f t="shared" ca="1" si="30"/>
        <v>-1.4120275616438358</v>
      </c>
    </row>
    <row r="73" spans="1:48" x14ac:dyDescent="0.2">
      <c r="A73" s="4">
        <v>44546</v>
      </c>
      <c r="B73" s="1" t="s">
        <v>105</v>
      </c>
      <c r="F73" s="3">
        <v>2232.44</v>
      </c>
      <c r="M73" s="3" t="str">
        <f t="shared" si="22"/>
        <v/>
      </c>
      <c r="N73" s="3"/>
      <c r="P73" s="3"/>
      <c r="AA73" s="3">
        <f t="shared" si="23"/>
        <v>3450000</v>
      </c>
      <c r="AB73" s="3">
        <f t="shared" si="31"/>
        <v>3450000.0000000014</v>
      </c>
      <c r="AC73" s="3">
        <f t="shared" si="32"/>
        <v>556580.1799999997</v>
      </c>
      <c r="AD73" s="3">
        <f t="shared" si="33"/>
        <v>2893419.8200000017</v>
      </c>
      <c r="AE73" s="1">
        <f t="shared" ca="1" si="34"/>
        <v>0</v>
      </c>
      <c r="AG73" s="3">
        <f t="shared" si="35"/>
        <v>-2232.44</v>
      </c>
      <c r="AH73" s="1">
        <f t="shared" si="24"/>
        <v>195</v>
      </c>
      <c r="AI73" s="3">
        <f t="shared" si="25"/>
        <v>-2232.44</v>
      </c>
      <c r="AL73" s="3">
        <f t="shared" si="26"/>
        <v>-2232.44</v>
      </c>
      <c r="AM73" s="3">
        <f t="shared" si="27"/>
        <v>-2232.44</v>
      </c>
      <c r="AQ73" s="4">
        <f t="shared" ca="1" si="20"/>
        <v>44421</v>
      </c>
      <c r="AR73" s="3">
        <f t="shared" ca="1" si="28"/>
        <v>515390.06</v>
      </c>
      <c r="AS73" s="63">
        <f ca="1">IF($AQ73&lt;&gt;"", INDEX(Inputs!$B$3:$B$101, MATCH($AQ73,Inputs!$A$3:$A$101,1)), "")</f>
        <v>1E-3</v>
      </c>
      <c r="AT73" s="48">
        <f t="shared" ca="1" si="21"/>
        <v>1.4120275616438358</v>
      </c>
      <c r="AU73" s="3">
        <f t="shared" ca="1" si="29"/>
        <v>1898.5879724383562</v>
      </c>
      <c r="AV73" s="3">
        <f t="shared" ca="1" si="30"/>
        <v>1898.5879724383562</v>
      </c>
    </row>
    <row r="74" spans="1:48" x14ac:dyDescent="0.2">
      <c r="A74" s="4">
        <v>44546</v>
      </c>
      <c r="B74" s="1" t="s">
        <v>50</v>
      </c>
      <c r="H74" s="3">
        <v>3126.64</v>
      </c>
      <c r="M74" s="3" t="str">
        <f t="shared" si="22"/>
        <v/>
      </c>
      <c r="N74" s="3"/>
      <c r="AA74" s="3">
        <f t="shared" si="23"/>
        <v>3450000</v>
      </c>
      <c r="AB74" s="3">
        <f t="shared" si="31"/>
        <v>3450000.0000000014</v>
      </c>
      <c r="AC74" s="3">
        <f t="shared" si="32"/>
        <v>556580.1799999997</v>
      </c>
      <c r="AD74" s="3">
        <f t="shared" si="33"/>
        <v>2893419.8200000017</v>
      </c>
      <c r="AE74" s="1">
        <f t="shared" ca="1" si="34"/>
        <v>1</v>
      </c>
      <c r="AG74" s="3">
        <f t="shared" si="35"/>
        <v>-3126.64</v>
      </c>
      <c r="AH74" s="1">
        <f t="shared" si="24"/>
        <v>195</v>
      </c>
      <c r="AI74" s="3">
        <f t="shared" si="25"/>
        <v>-3126.64</v>
      </c>
      <c r="AL74" s="3">
        <f t="shared" si="26"/>
        <v>-3126.64</v>
      </c>
      <c r="AM74" s="3">
        <f t="shared" si="27"/>
        <v>-3126.64</v>
      </c>
      <c r="AQ74" s="4">
        <f t="shared" ca="1" si="20"/>
        <v>44422</v>
      </c>
      <c r="AR74" s="3">
        <f t="shared" ca="1" si="28"/>
        <v>515390.06</v>
      </c>
      <c r="AS74" s="63">
        <f ca="1">IF($AQ74&lt;&gt;"", INDEX(Inputs!$B$3:$B$101, MATCH($AQ74,Inputs!$A$3:$A$101,1)), "")</f>
        <v>1E-3</v>
      </c>
      <c r="AT74" s="48">
        <f t="shared" ca="1" si="21"/>
        <v>1.4120275616438358</v>
      </c>
      <c r="AU74" s="3">
        <f t="shared" ca="1" si="29"/>
        <v>-1.4120275616438358</v>
      </c>
      <c r="AV74" s="3">
        <f t="shared" ca="1" si="30"/>
        <v>-1.4120275616438358</v>
      </c>
    </row>
    <row r="75" spans="1:48" x14ac:dyDescent="0.2">
      <c r="A75" s="4">
        <v>44547</v>
      </c>
      <c r="B75" s="1" t="s">
        <v>57</v>
      </c>
      <c r="I75" s="3">
        <v>1900</v>
      </c>
      <c r="M75" s="3" t="str">
        <f t="shared" si="22"/>
        <v/>
      </c>
      <c r="N75" s="3"/>
      <c r="AA75" s="3">
        <f t="shared" si="23"/>
        <v>3450000</v>
      </c>
      <c r="AB75" s="3">
        <f t="shared" si="31"/>
        <v>3450000.0000000014</v>
      </c>
      <c r="AC75" s="3">
        <f t="shared" si="32"/>
        <v>556580.1799999997</v>
      </c>
      <c r="AD75" s="3">
        <f t="shared" si="33"/>
        <v>2893419.8200000017</v>
      </c>
      <c r="AE75" s="1">
        <f t="shared" ca="1" si="34"/>
        <v>7</v>
      </c>
      <c r="AG75" s="3">
        <f t="shared" si="35"/>
        <v>1900</v>
      </c>
      <c r="AH75" s="1">
        <f t="shared" si="24"/>
        <v>196</v>
      </c>
      <c r="AI75" s="3">
        <f t="shared" si="25"/>
        <v>1900</v>
      </c>
      <c r="AL75" s="3">
        <f t="shared" si="26"/>
        <v>1900</v>
      </c>
      <c r="AM75" s="3">
        <f t="shared" si="27"/>
        <v>1900</v>
      </c>
      <c r="AQ75" s="4">
        <f t="shared" ca="1" si="20"/>
        <v>44423</v>
      </c>
      <c r="AR75" s="3">
        <f t="shared" ca="1" si="28"/>
        <v>515390.06</v>
      </c>
      <c r="AS75" s="63">
        <f ca="1">IF($AQ75&lt;&gt;"", INDEX(Inputs!$B$3:$B$101, MATCH($AQ75,Inputs!$A$3:$A$101,1)), "")</f>
        <v>1E-3</v>
      </c>
      <c r="AT75" s="48">
        <f t="shared" ca="1" si="21"/>
        <v>1.4120275616438358</v>
      </c>
      <c r="AU75" s="3">
        <f t="shared" ca="1" si="29"/>
        <v>-1.4120275616438358</v>
      </c>
      <c r="AV75" s="3">
        <f t="shared" ca="1" si="30"/>
        <v>-1.4120275616438358</v>
      </c>
    </row>
    <row r="76" spans="1:48" x14ac:dyDescent="0.2">
      <c r="A76" s="4">
        <v>44554</v>
      </c>
      <c r="B76" s="1" t="s">
        <v>57</v>
      </c>
      <c r="I76" s="3">
        <v>1900</v>
      </c>
      <c r="M76" s="3" t="str">
        <f t="shared" si="22"/>
        <v/>
      </c>
      <c r="N76" s="3"/>
      <c r="AA76" s="3">
        <f t="shared" si="23"/>
        <v>3450000</v>
      </c>
      <c r="AB76" s="3">
        <f t="shared" si="31"/>
        <v>3450000.0000000014</v>
      </c>
      <c r="AC76" s="3">
        <f t="shared" si="32"/>
        <v>556580.1799999997</v>
      </c>
      <c r="AD76" s="3">
        <f t="shared" si="33"/>
        <v>2893419.8200000017</v>
      </c>
      <c r="AE76" s="1">
        <f t="shared" ca="1" si="34"/>
        <v>5</v>
      </c>
      <c r="AG76" s="3">
        <f t="shared" si="35"/>
        <v>1900</v>
      </c>
      <c r="AH76" s="1">
        <f t="shared" si="24"/>
        <v>203</v>
      </c>
      <c r="AI76" s="3">
        <f t="shared" si="25"/>
        <v>1900</v>
      </c>
      <c r="AL76" s="3">
        <f t="shared" si="26"/>
        <v>1900</v>
      </c>
      <c r="AM76" s="3">
        <f t="shared" si="27"/>
        <v>1900</v>
      </c>
      <c r="AQ76" s="4">
        <f t="shared" ca="1" si="20"/>
        <v>44424</v>
      </c>
      <c r="AR76" s="3">
        <f t="shared" ca="1" si="28"/>
        <v>527441.00999999989</v>
      </c>
      <c r="AS76" s="63">
        <f ca="1">IF($AQ76&lt;&gt;"", INDEX(Inputs!$B$3:$B$101, MATCH($AQ76,Inputs!$A$3:$A$101,1)), "")</f>
        <v>1E-3</v>
      </c>
      <c r="AT76" s="48">
        <f t="shared" ca="1" si="21"/>
        <v>1.4450438630136984</v>
      </c>
      <c r="AU76" s="3">
        <f t="shared" ca="1" si="29"/>
        <v>-12052.395043863015</v>
      </c>
      <c r="AV76" s="3">
        <f t="shared" ca="1" si="30"/>
        <v>-12052.395043863015</v>
      </c>
    </row>
    <row r="77" spans="1:48" x14ac:dyDescent="0.2">
      <c r="A77" s="4">
        <v>44559</v>
      </c>
      <c r="B77" s="1" t="s">
        <v>80</v>
      </c>
      <c r="H77" s="3">
        <v>278.94</v>
      </c>
      <c r="M77" s="3" t="str">
        <f t="shared" si="22"/>
        <v/>
      </c>
      <c r="N77" s="3"/>
      <c r="AA77" s="3">
        <f t="shared" si="23"/>
        <v>3450000</v>
      </c>
      <c r="AB77" s="3">
        <f t="shared" si="31"/>
        <v>3450000.0000000014</v>
      </c>
      <c r="AC77" s="3">
        <f t="shared" si="32"/>
        <v>556580.1799999997</v>
      </c>
      <c r="AD77" s="3">
        <f t="shared" si="33"/>
        <v>2893419.8200000017</v>
      </c>
      <c r="AE77" s="1">
        <f t="shared" ca="1" si="34"/>
        <v>2</v>
      </c>
      <c r="AG77" s="3">
        <f t="shared" si="35"/>
        <v>-278.94</v>
      </c>
      <c r="AH77" s="1">
        <f t="shared" si="24"/>
        <v>208</v>
      </c>
      <c r="AI77" s="3">
        <f t="shared" si="25"/>
        <v>-278.94</v>
      </c>
      <c r="AL77" s="3">
        <f t="shared" si="26"/>
        <v>-278.94</v>
      </c>
      <c r="AM77" s="3">
        <f t="shared" si="27"/>
        <v>-278.94</v>
      </c>
      <c r="AQ77" s="4">
        <f t="shared" ca="1" si="20"/>
        <v>44425</v>
      </c>
      <c r="AR77" s="3">
        <f t="shared" ca="1" si="28"/>
        <v>527441.00999999989</v>
      </c>
      <c r="AS77" s="63">
        <f ca="1">IF($AQ77&lt;&gt;"", INDEX(Inputs!$B$3:$B$101, MATCH($AQ77,Inputs!$A$3:$A$101,1)), "")</f>
        <v>1E-3</v>
      </c>
      <c r="AT77" s="48">
        <f t="shared" ca="1" si="21"/>
        <v>1.4450438630136984</v>
      </c>
      <c r="AU77" s="3">
        <f t="shared" ca="1" si="29"/>
        <v>-1.4450438630136984</v>
      </c>
      <c r="AV77" s="3">
        <f t="shared" ca="1" si="30"/>
        <v>-1.4450438630136984</v>
      </c>
    </row>
    <row r="78" spans="1:48" x14ac:dyDescent="0.2">
      <c r="A78" s="4">
        <v>44561</v>
      </c>
      <c r="B78" s="1" t="s">
        <v>57</v>
      </c>
      <c r="I78" s="3">
        <v>1900</v>
      </c>
      <c r="M78" s="3" t="str">
        <f t="shared" si="22"/>
        <v/>
      </c>
      <c r="N78" s="3"/>
      <c r="AA78" s="3">
        <f t="shared" si="23"/>
        <v>3450000</v>
      </c>
      <c r="AB78" s="3">
        <f t="shared" si="31"/>
        <v>3450000.0000000014</v>
      </c>
      <c r="AC78" s="3">
        <f t="shared" si="32"/>
        <v>556580.1799999997</v>
      </c>
      <c r="AD78" s="3">
        <f t="shared" si="33"/>
        <v>2893419.8200000017</v>
      </c>
      <c r="AE78" s="1">
        <f t="shared" ca="1" si="34"/>
        <v>0</v>
      </c>
      <c r="AG78" s="3">
        <f t="shared" si="35"/>
        <v>1900</v>
      </c>
      <c r="AH78" s="1">
        <f t="shared" si="24"/>
        <v>210</v>
      </c>
      <c r="AI78" s="3">
        <f t="shared" si="25"/>
        <v>1900</v>
      </c>
      <c r="AL78" s="3">
        <f t="shared" si="26"/>
        <v>1900</v>
      </c>
      <c r="AM78" s="3">
        <f t="shared" si="27"/>
        <v>1900</v>
      </c>
      <c r="AQ78" s="4">
        <f t="shared" ref="AQ78:AQ141" ca="1" si="36">IF(AQ77&lt;$AP$3,AQ77+1,"")</f>
        <v>44426</v>
      </c>
      <c r="AR78" s="3">
        <f t="shared" ca="1" si="28"/>
        <v>527441.00999999989</v>
      </c>
      <c r="AS78" s="63">
        <f ca="1">IF($AQ78&lt;&gt;"", INDEX(Inputs!$B$3:$B$101, MATCH($AQ78,Inputs!$A$3:$A$101,1)), "")</f>
        <v>1E-3</v>
      </c>
      <c r="AT78" s="48">
        <f t="shared" ref="AT78:AT141" ca="1" si="37">IF($AQ78&lt;&gt;"", AR78*AS78/365, "")</f>
        <v>1.4450438630136984</v>
      </c>
      <c r="AU78" s="3">
        <f t="shared" ca="1" si="29"/>
        <v>-1.4450438630136984</v>
      </c>
      <c r="AV78" s="3">
        <f t="shared" ca="1" si="30"/>
        <v>-1.4450438630136984</v>
      </c>
    </row>
    <row r="79" spans="1:48" x14ac:dyDescent="0.2">
      <c r="A79" s="4">
        <v>44561</v>
      </c>
      <c r="B79" s="1" t="s">
        <v>103</v>
      </c>
      <c r="G79" s="3">
        <v>4252.84</v>
      </c>
      <c r="M79" s="3" t="str">
        <f t="shared" si="22"/>
        <v/>
      </c>
      <c r="N79" s="3"/>
      <c r="AA79" s="3">
        <f t="shared" si="23"/>
        <v>3450000</v>
      </c>
      <c r="AB79" s="3">
        <f t="shared" si="31"/>
        <v>3450000.0000000014</v>
      </c>
      <c r="AC79" s="3">
        <f t="shared" si="32"/>
        <v>552327.33999999973</v>
      </c>
      <c r="AD79" s="3">
        <f t="shared" si="33"/>
        <v>2897672.6600000015</v>
      </c>
      <c r="AE79" s="1">
        <f t="shared" ca="1" si="34"/>
        <v>0</v>
      </c>
      <c r="AG79" s="3">
        <f t="shared" si="35"/>
        <v>0</v>
      </c>
      <c r="AH79" s="1">
        <f t="shared" si="24"/>
        <v>210</v>
      </c>
      <c r="AI79" s="3">
        <f t="shared" si="25"/>
        <v>0</v>
      </c>
      <c r="AL79" s="3">
        <f t="shared" si="26"/>
        <v>0</v>
      </c>
      <c r="AM79" s="3">
        <f t="shared" si="27"/>
        <v>0</v>
      </c>
      <c r="AQ79" s="4">
        <f t="shared" ca="1" si="36"/>
        <v>44427</v>
      </c>
      <c r="AR79" s="3">
        <f t="shared" ca="1" si="28"/>
        <v>527441.00999999989</v>
      </c>
      <c r="AS79" s="63">
        <f ca="1">IF($AQ79&lt;&gt;"", INDEX(Inputs!$B$3:$B$101, MATCH($AQ79,Inputs!$A$3:$A$101,1)), "")</f>
        <v>1E-3</v>
      </c>
      <c r="AT79" s="48">
        <f t="shared" ca="1" si="37"/>
        <v>1.4450438630136984</v>
      </c>
      <c r="AU79" s="3">
        <f t="shared" ca="1" si="29"/>
        <v>333.60495613698629</v>
      </c>
      <c r="AV79" s="3">
        <f t="shared" ca="1" si="30"/>
        <v>333.60495613698629</v>
      </c>
    </row>
    <row r="80" spans="1:48" x14ac:dyDescent="0.2">
      <c r="A80" s="4">
        <v>44561</v>
      </c>
      <c r="B80" s="1" t="s">
        <v>106</v>
      </c>
      <c r="G80" s="3">
        <v>666.37</v>
      </c>
      <c r="M80" s="3" t="str">
        <f t="shared" si="22"/>
        <v/>
      </c>
      <c r="N80" s="3"/>
      <c r="P80" s="3"/>
      <c r="AA80" s="3">
        <f t="shared" si="23"/>
        <v>3450000</v>
      </c>
      <c r="AB80" s="3">
        <f t="shared" si="31"/>
        <v>3450000.0000000014</v>
      </c>
      <c r="AC80" s="3">
        <f t="shared" si="32"/>
        <v>551660.96999999974</v>
      </c>
      <c r="AD80" s="3">
        <f t="shared" si="33"/>
        <v>2898339.0300000017</v>
      </c>
      <c r="AE80" s="1">
        <f t="shared" ca="1" si="34"/>
        <v>7</v>
      </c>
      <c r="AG80" s="3">
        <f t="shared" si="35"/>
        <v>0</v>
      </c>
      <c r="AH80" s="1">
        <f t="shared" si="24"/>
        <v>210</v>
      </c>
      <c r="AI80" s="3">
        <f t="shared" si="25"/>
        <v>0</v>
      </c>
      <c r="AL80" s="3">
        <f t="shared" si="26"/>
        <v>0</v>
      </c>
      <c r="AM80" s="3">
        <f t="shared" si="27"/>
        <v>0</v>
      </c>
      <c r="AQ80" s="4">
        <f t="shared" ca="1" si="36"/>
        <v>44428</v>
      </c>
      <c r="AR80" s="3">
        <f t="shared" ca="1" si="28"/>
        <v>527441.00999999989</v>
      </c>
      <c r="AS80" s="63">
        <f ca="1">IF($AQ80&lt;&gt;"", INDEX(Inputs!$B$3:$B$101, MATCH($AQ80,Inputs!$A$3:$A$101,1)), "")</f>
        <v>1E-3</v>
      </c>
      <c r="AT80" s="48">
        <f t="shared" ca="1" si="37"/>
        <v>1.4450438630136984</v>
      </c>
      <c r="AU80" s="3">
        <f t="shared" ca="1" si="29"/>
        <v>1898.5549561369862</v>
      </c>
      <c r="AV80" s="3">
        <f t="shared" ca="1" si="30"/>
        <v>1898.5549561369862</v>
      </c>
    </row>
    <row r="81" spans="1:48" x14ac:dyDescent="0.2">
      <c r="A81" s="4">
        <v>44568</v>
      </c>
      <c r="B81" s="1" t="s">
        <v>57</v>
      </c>
      <c r="I81" s="3">
        <v>1900</v>
      </c>
      <c r="M81" s="3" t="str">
        <f t="shared" si="22"/>
        <v/>
      </c>
      <c r="N81" s="3"/>
      <c r="AA81" s="3">
        <f t="shared" si="23"/>
        <v>3450000</v>
      </c>
      <c r="AB81" s="3">
        <f t="shared" si="31"/>
        <v>3450000.0000000014</v>
      </c>
      <c r="AC81" s="3">
        <f t="shared" si="32"/>
        <v>551660.96999999974</v>
      </c>
      <c r="AD81" s="3">
        <f t="shared" si="33"/>
        <v>2898339.0300000017</v>
      </c>
      <c r="AE81" s="1">
        <f t="shared" ca="1" si="34"/>
        <v>7</v>
      </c>
      <c r="AG81" s="3">
        <f t="shared" si="35"/>
        <v>1900</v>
      </c>
      <c r="AH81" s="1">
        <f t="shared" si="24"/>
        <v>217</v>
      </c>
      <c r="AI81" s="3">
        <f t="shared" si="25"/>
        <v>1900</v>
      </c>
      <c r="AL81" s="3">
        <f t="shared" si="26"/>
        <v>1900</v>
      </c>
      <c r="AM81" s="3">
        <f t="shared" si="27"/>
        <v>1900</v>
      </c>
      <c r="AQ81" s="4">
        <f t="shared" ca="1" si="36"/>
        <v>44429</v>
      </c>
      <c r="AR81" s="3">
        <f t="shared" ca="1" si="28"/>
        <v>527441.00999999989</v>
      </c>
      <c r="AS81" s="63">
        <f ca="1">IF($AQ81&lt;&gt;"", INDEX(Inputs!$B$3:$B$101, MATCH($AQ81,Inputs!$A$3:$A$101,1)), "")</f>
        <v>1E-3</v>
      </c>
      <c r="AT81" s="48">
        <f t="shared" ca="1" si="37"/>
        <v>1.4450438630136984</v>
      </c>
      <c r="AU81" s="3">
        <f t="shared" ca="1" si="29"/>
        <v>-1.4450438630136984</v>
      </c>
      <c r="AV81" s="3">
        <f t="shared" ca="1" si="30"/>
        <v>-1.4450438630136984</v>
      </c>
    </row>
    <row r="82" spans="1:48" x14ac:dyDescent="0.2">
      <c r="A82" s="4">
        <v>44575</v>
      </c>
      <c r="B82" s="1" t="s">
        <v>57</v>
      </c>
      <c r="I82" s="3">
        <v>1900</v>
      </c>
      <c r="M82" s="3" t="str">
        <f t="shared" si="22"/>
        <v/>
      </c>
      <c r="N82" s="3"/>
      <c r="AA82" s="3">
        <f t="shared" si="23"/>
        <v>3450000</v>
      </c>
      <c r="AB82" s="3">
        <f t="shared" si="31"/>
        <v>3450000.0000000014</v>
      </c>
      <c r="AC82" s="3">
        <f t="shared" si="32"/>
        <v>551660.96999999974</v>
      </c>
      <c r="AD82" s="3">
        <f t="shared" si="33"/>
        <v>2898339.0300000017</v>
      </c>
      <c r="AE82" s="1">
        <f t="shared" ca="1" si="34"/>
        <v>3</v>
      </c>
      <c r="AG82" s="3">
        <f t="shared" si="35"/>
        <v>1900</v>
      </c>
      <c r="AH82" s="1">
        <f t="shared" si="24"/>
        <v>224</v>
      </c>
      <c r="AI82" s="3">
        <f t="shared" si="25"/>
        <v>1900</v>
      </c>
      <c r="AL82" s="3">
        <f t="shared" si="26"/>
        <v>1900</v>
      </c>
      <c r="AM82" s="3">
        <f t="shared" si="27"/>
        <v>1900</v>
      </c>
      <c r="AQ82" s="4">
        <f t="shared" ca="1" si="36"/>
        <v>44430</v>
      </c>
      <c r="AR82" s="3">
        <f t="shared" ca="1" si="28"/>
        <v>527441.00999999989</v>
      </c>
      <c r="AS82" s="63">
        <f ca="1">IF($AQ82&lt;&gt;"", INDEX(Inputs!$B$3:$B$101, MATCH($AQ82,Inputs!$A$3:$A$101,1)), "")</f>
        <v>1E-3</v>
      </c>
      <c r="AT82" s="48">
        <f t="shared" ca="1" si="37"/>
        <v>1.4450438630136984</v>
      </c>
      <c r="AU82" s="3">
        <f t="shared" ca="1" si="29"/>
        <v>-1.4450438630136984</v>
      </c>
      <c r="AV82" s="3">
        <f t="shared" ca="1" si="30"/>
        <v>-1.4450438630136984</v>
      </c>
    </row>
    <row r="83" spans="1:48" x14ac:dyDescent="0.2">
      <c r="A83" s="4">
        <v>44578</v>
      </c>
      <c r="B83" s="1" t="s">
        <v>104</v>
      </c>
      <c r="F83" s="3">
        <v>9818.51</v>
      </c>
      <c r="M83" s="3" t="str">
        <f t="shared" si="22"/>
        <v/>
      </c>
      <c r="N83" s="3"/>
      <c r="AA83" s="3">
        <f t="shared" si="23"/>
        <v>3450000</v>
      </c>
      <c r="AB83" s="3">
        <f t="shared" si="31"/>
        <v>3450000.0000000019</v>
      </c>
      <c r="AC83" s="3">
        <f t="shared" si="32"/>
        <v>561479.47999999975</v>
      </c>
      <c r="AD83" s="3">
        <f t="shared" si="33"/>
        <v>2888520.5200000019</v>
      </c>
      <c r="AE83" s="1">
        <f t="shared" ca="1" si="34"/>
        <v>0</v>
      </c>
      <c r="AG83" s="3">
        <f t="shared" si="35"/>
        <v>-9818.51</v>
      </c>
      <c r="AH83" s="1">
        <f t="shared" si="24"/>
        <v>227</v>
      </c>
      <c r="AI83" s="3">
        <f t="shared" si="25"/>
        <v>-9818.51</v>
      </c>
      <c r="AL83" s="3">
        <f t="shared" si="26"/>
        <v>-9818.51</v>
      </c>
      <c r="AM83" s="3">
        <f t="shared" si="27"/>
        <v>-9818.51</v>
      </c>
      <c r="AQ83" s="4">
        <f t="shared" ca="1" si="36"/>
        <v>44431</v>
      </c>
      <c r="AR83" s="3">
        <f t="shared" ca="1" si="28"/>
        <v>527441.00999999989</v>
      </c>
      <c r="AS83" s="63">
        <f ca="1">IF($AQ83&lt;&gt;"", INDEX(Inputs!$B$3:$B$101, MATCH($AQ83,Inputs!$A$3:$A$101,1)), "")</f>
        <v>1E-3</v>
      </c>
      <c r="AT83" s="48">
        <f t="shared" ca="1" si="37"/>
        <v>1.4450438630136984</v>
      </c>
      <c r="AU83" s="3">
        <f t="shared" ca="1" si="29"/>
        <v>-1.4450438630136984</v>
      </c>
      <c r="AV83" s="3">
        <f t="shared" ca="1" si="30"/>
        <v>-1.4450438630136984</v>
      </c>
    </row>
    <row r="84" spans="1:48" x14ac:dyDescent="0.2">
      <c r="A84" s="4">
        <v>44578</v>
      </c>
      <c r="B84" s="1" t="s">
        <v>105</v>
      </c>
      <c r="F84" s="3">
        <v>2232.44</v>
      </c>
      <c r="M84" s="3" t="str">
        <f t="shared" si="22"/>
        <v/>
      </c>
      <c r="N84" s="3"/>
      <c r="P84" s="3"/>
      <c r="AA84" s="3">
        <f t="shared" si="23"/>
        <v>3450000</v>
      </c>
      <c r="AB84" s="3">
        <f t="shared" si="31"/>
        <v>3450000.0000000019</v>
      </c>
      <c r="AC84" s="3">
        <f t="shared" si="32"/>
        <v>563711.91999999969</v>
      </c>
      <c r="AD84" s="3">
        <f t="shared" si="33"/>
        <v>2886288.0800000019</v>
      </c>
      <c r="AE84" s="1">
        <f t="shared" ca="1" si="34"/>
        <v>4</v>
      </c>
      <c r="AG84" s="3">
        <f t="shared" si="35"/>
        <v>-2232.44</v>
      </c>
      <c r="AH84" s="1">
        <f t="shared" si="24"/>
        <v>227</v>
      </c>
      <c r="AI84" s="3">
        <f t="shared" si="25"/>
        <v>-2232.44</v>
      </c>
      <c r="AL84" s="3">
        <f t="shared" si="26"/>
        <v>-2232.44</v>
      </c>
      <c r="AM84" s="3">
        <f t="shared" si="27"/>
        <v>-2232.44</v>
      </c>
      <c r="AQ84" s="4">
        <f t="shared" ca="1" si="36"/>
        <v>44432</v>
      </c>
      <c r="AR84" s="3">
        <f t="shared" ca="1" si="28"/>
        <v>527441.00999999989</v>
      </c>
      <c r="AS84" s="63">
        <f ca="1">IF($AQ84&lt;&gt;"", INDEX(Inputs!$B$3:$B$101, MATCH($AQ84,Inputs!$A$3:$A$101,1)), "")</f>
        <v>1E-3</v>
      </c>
      <c r="AT84" s="48">
        <f t="shared" ca="1" si="37"/>
        <v>1.4450438630136984</v>
      </c>
      <c r="AU84" s="3">
        <f t="shared" ca="1" si="29"/>
        <v>-1.4450438630136984</v>
      </c>
      <c r="AV84" s="3">
        <f t="shared" ca="1" si="30"/>
        <v>-1.4450438630136984</v>
      </c>
    </row>
    <row r="85" spans="1:48" x14ac:dyDescent="0.2">
      <c r="A85" s="4">
        <v>44582</v>
      </c>
      <c r="B85" s="1" t="s">
        <v>57</v>
      </c>
      <c r="I85" s="3">
        <v>1900</v>
      </c>
      <c r="M85" s="3" t="str">
        <f t="shared" si="22"/>
        <v/>
      </c>
      <c r="N85" s="3"/>
      <c r="AA85" s="3">
        <f t="shared" si="23"/>
        <v>3450000</v>
      </c>
      <c r="AB85" s="3">
        <f t="shared" si="31"/>
        <v>3450000.0000000019</v>
      </c>
      <c r="AC85" s="3">
        <f t="shared" si="32"/>
        <v>563711.91999999969</v>
      </c>
      <c r="AD85" s="3">
        <f t="shared" si="33"/>
        <v>2886288.0800000019</v>
      </c>
      <c r="AE85" s="1">
        <f t="shared" ca="1" si="34"/>
        <v>7</v>
      </c>
      <c r="AG85" s="3">
        <f t="shared" si="35"/>
        <v>1900</v>
      </c>
      <c r="AH85" s="1">
        <f t="shared" si="24"/>
        <v>231</v>
      </c>
      <c r="AI85" s="3">
        <f t="shared" si="25"/>
        <v>1900</v>
      </c>
      <c r="AL85" s="3">
        <f t="shared" si="26"/>
        <v>1900</v>
      </c>
      <c r="AM85" s="3">
        <f t="shared" si="27"/>
        <v>1900</v>
      </c>
      <c r="AQ85" s="4">
        <f t="shared" ca="1" si="36"/>
        <v>44433</v>
      </c>
      <c r="AR85" s="3">
        <f t="shared" ca="1" si="28"/>
        <v>527441.00999999989</v>
      </c>
      <c r="AS85" s="63">
        <f ca="1">IF($AQ85&lt;&gt;"", INDEX(Inputs!$B$3:$B$101, MATCH($AQ85,Inputs!$A$3:$A$101,1)), "")</f>
        <v>1E-3</v>
      </c>
      <c r="AT85" s="48">
        <f t="shared" ca="1" si="37"/>
        <v>1.4450438630136984</v>
      </c>
      <c r="AU85" s="3">
        <f t="shared" ca="1" si="29"/>
        <v>-1.4450438630136984</v>
      </c>
      <c r="AV85" s="3">
        <f t="shared" ca="1" si="30"/>
        <v>-1.4450438630136984</v>
      </c>
    </row>
    <row r="86" spans="1:48" x14ac:dyDescent="0.2">
      <c r="A86" s="4">
        <v>44589</v>
      </c>
      <c r="B86" s="1" t="s">
        <v>57</v>
      </c>
      <c r="I86" s="3">
        <v>1900</v>
      </c>
      <c r="M86" s="3" t="str">
        <f t="shared" si="22"/>
        <v/>
      </c>
      <c r="N86" s="3"/>
      <c r="AA86" s="3">
        <f t="shared" si="23"/>
        <v>3450000</v>
      </c>
      <c r="AB86" s="3">
        <f t="shared" si="31"/>
        <v>3450000.0000000019</v>
      </c>
      <c r="AC86" s="3">
        <f t="shared" si="32"/>
        <v>563711.91999999969</v>
      </c>
      <c r="AD86" s="3">
        <f t="shared" si="33"/>
        <v>2886288.0800000019</v>
      </c>
      <c r="AE86" s="1">
        <f t="shared" ca="1" si="34"/>
        <v>3</v>
      </c>
      <c r="AG86" s="3">
        <f t="shared" si="35"/>
        <v>1900</v>
      </c>
      <c r="AH86" s="1">
        <f t="shared" si="24"/>
        <v>238</v>
      </c>
      <c r="AI86" s="3">
        <f t="shared" si="25"/>
        <v>1900</v>
      </c>
      <c r="AL86" s="3">
        <f t="shared" si="26"/>
        <v>1900</v>
      </c>
      <c r="AM86" s="3">
        <f t="shared" si="27"/>
        <v>1900</v>
      </c>
      <c r="AQ86" s="4">
        <f t="shared" ca="1" si="36"/>
        <v>44434</v>
      </c>
      <c r="AR86" s="3">
        <f t="shared" ca="1" si="28"/>
        <v>527441.00999999989</v>
      </c>
      <c r="AS86" s="63">
        <f ca="1">IF($AQ86&lt;&gt;"", INDEX(Inputs!$B$3:$B$101, MATCH($AQ86,Inputs!$A$3:$A$101,1)), "")</f>
        <v>1E-3</v>
      </c>
      <c r="AT86" s="48">
        <f t="shared" ca="1" si="37"/>
        <v>1.4450438630136984</v>
      </c>
      <c r="AU86" s="3">
        <f t="shared" ca="1" si="29"/>
        <v>-1.4450438630136984</v>
      </c>
      <c r="AV86" s="3">
        <f t="shared" ca="1" si="30"/>
        <v>-1.4450438630136984</v>
      </c>
    </row>
    <row r="87" spans="1:48" x14ac:dyDescent="0.2">
      <c r="A87" s="4">
        <v>44592</v>
      </c>
      <c r="B87" s="1" t="s">
        <v>103</v>
      </c>
      <c r="G87" s="3">
        <v>4243.5600000000004</v>
      </c>
      <c r="M87" s="3" t="str">
        <f t="shared" si="22"/>
        <v/>
      </c>
      <c r="N87" s="3"/>
      <c r="AA87" s="3">
        <f t="shared" si="23"/>
        <v>3450000</v>
      </c>
      <c r="AB87" s="3">
        <f t="shared" si="31"/>
        <v>3450000.0000000019</v>
      </c>
      <c r="AC87" s="3">
        <f t="shared" si="32"/>
        <v>559468.35999999964</v>
      </c>
      <c r="AD87" s="3">
        <f t="shared" si="33"/>
        <v>2890531.640000002</v>
      </c>
      <c r="AE87" s="1">
        <f t="shared" ca="1" si="34"/>
        <v>0</v>
      </c>
      <c r="AG87" s="3">
        <f t="shared" si="35"/>
        <v>0</v>
      </c>
      <c r="AH87" s="1">
        <f t="shared" si="24"/>
        <v>241</v>
      </c>
      <c r="AI87" s="3">
        <f t="shared" si="25"/>
        <v>0</v>
      </c>
      <c r="AL87" s="3">
        <f t="shared" si="26"/>
        <v>0</v>
      </c>
      <c r="AM87" s="3">
        <f t="shared" si="27"/>
        <v>0</v>
      </c>
      <c r="AQ87" s="4">
        <f t="shared" ca="1" si="36"/>
        <v>44435</v>
      </c>
      <c r="AR87" s="3">
        <f t="shared" ca="1" si="28"/>
        <v>527441.00999999989</v>
      </c>
      <c r="AS87" s="63">
        <f ca="1">IF($AQ87&lt;&gt;"", INDEX(Inputs!$B$3:$B$101, MATCH($AQ87,Inputs!$A$3:$A$101,1)), "")</f>
        <v>1E-3</v>
      </c>
      <c r="AT87" s="48">
        <f t="shared" ca="1" si="37"/>
        <v>1.4450438630136984</v>
      </c>
      <c r="AU87" s="3">
        <f t="shared" ca="1" si="29"/>
        <v>1898.5549561369862</v>
      </c>
      <c r="AV87" s="3">
        <f t="shared" ca="1" si="30"/>
        <v>1898.5549561369862</v>
      </c>
    </row>
    <row r="88" spans="1:48" x14ac:dyDescent="0.2">
      <c r="A88" s="4">
        <v>44592</v>
      </c>
      <c r="B88" s="1" t="s">
        <v>106</v>
      </c>
      <c r="G88" s="3">
        <v>786.83</v>
      </c>
      <c r="M88" s="3" t="str">
        <f t="shared" si="22"/>
        <v/>
      </c>
      <c r="N88" s="3"/>
      <c r="P88" s="3"/>
      <c r="AA88" s="3">
        <f t="shared" si="23"/>
        <v>3450000</v>
      </c>
      <c r="AB88" s="3">
        <f t="shared" si="31"/>
        <v>3450000.0000000019</v>
      </c>
      <c r="AC88" s="3">
        <f t="shared" si="32"/>
        <v>558681.52999999968</v>
      </c>
      <c r="AD88" s="3">
        <f t="shared" si="33"/>
        <v>2891318.4700000021</v>
      </c>
      <c r="AE88" s="1">
        <f t="shared" ca="1" si="34"/>
        <v>0</v>
      </c>
      <c r="AG88" s="3">
        <f t="shared" si="35"/>
        <v>0</v>
      </c>
      <c r="AH88" s="1">
        <f t="shared" si="24"/>
        <v>241</v>
      </c>
      <c r="AI88" s="3">
        <f t="shared" si="25"/>
        <v>0</v>
      </c>
      <c r="AL88" s="3">
        <f t="shared" si="26"/>
        <v>0</v>
      </c>
      <c r="AM88" s="3">
        <f t="shared" si="27"/>
        <v>0</v>
      </c>
      <c r="AQ88" s="4">
        <f t="shared" ca="1" si="36"/>
        <v>44436</v>
      </c>
      <c r="AR88" s="3">
        <f t="shared" ca="1" si="28"/>
        <v>527441.00999999989</v>
      </c>
      <c r="AS88" s="63">
        <f ca="1">IF($AQ88&lt;&gt;"", INDEX(Inputs!$B$3:$B$101, MATCH($AQ88,Inputs!$A$3:$A$101,1)), "")</f>
        <v>1E-3</v>
      </c>
      <c r="AT88" s="48">
        <f t="shared" ca="1" si="37"/>
        <v>1.4450438630136984</v>
      </c>
      <c r="AU88" s="3">
        <f t="shared" ca="1" si="29"/>
        <v>-1.4450438630136984</v>
      </c>
      <c r="AV88" s="3">
        <f t="shared" ca="1" si="30"/>
        <v>-1.4450438630136984</v>
      </c>
    </row>
    <row r="89" spans="1:48" x14ac:dyDescent="0.2">
      <c r="A89" s="4">
        <v>44592</v>
      </c>
      <c r="B89" s="1" t="s">
        <v>50</v>
      </c>
      <c r="H89" s="3">
        <v>3124</v>
      </c>
      <c r="M89" s="3" t="str">
        <f t="shared" si="22"/>
        <v/>
      </c>
      <c r="N89" s="3"/>
      <c r="AA89" s="3">
        <f t="shared" si="23"/>
        <v>3450000</v>
      </c>
      <c r="AB89" s="3">
        <f t="shared" si="31"/>
        <v>3450000.0000000019</v>
      </c>
      <c r="AC89" s="3">
        <f t="shared" si="32"/>
        <v>558681.52999999968</v>
      </c>
      <c r="AD89" s="3">
        <f t="shared" si="33"/>
        <v>2891318.4700000021</v>
      </c>
      <c r="AE89" s="1">
        <f t="shared" ca="1" si="34"/>
        <v>4</v>
      </c>
      <c r="AG89" s="3">
        <f t="shared" si="35"/>
        <v>-3124</v>
      </c>
      <c r="AH89" s="1">
        <f t="shared" si="24"/>
        <v>241</v>
      </c>
      <c r="AI89" s="3">
        <f t="shared" si="25"/>
        <v>-3124</v>
      </c>
      <c r="AL89" s="3">
        <f t="shared" si="26"/>
        <v>-3124</v>
      </c>
      <c r="AM89" s="3">
        <f t="shared" si="27"/>
        <v>-3124</v>
      </c>
      <c r="AQ89" s="4">
        <f t="shared" ca="1" si="36"/>
        <v>44437</v>
      </c>
      <c r="AR89" s="3">
        <f t="shared" ca="1" si="28"/>
        <v>527441.00999999989</v>
      </c>
      <c r="AS89" s="63">
        <f ca="1">IF($AQ89&lt;&gt;"", INDEX(Inputs!$B$3:$B$101, MATCH($AQ89,Inputs!$A$3:$A$101,1)), "")</f>
        <v>1E-3</v>
      </c>
      <c r="AT89" s="48">
        <f t="shared" ca="1" si="37"/>
        <v>1.4450438630136984</v>
      </c>
      <c r="AU89" s="3">
        <f t="shared" ca="1" si="29"/>
        <v>-1.4450438630136984</v>
      </c>
      <c r="AV89" s="3">
        <f t="shared" ca="1" si="30"/>
        <v>-1.4450438630136984</v>
      </c>
    </row>
    <row r="90" spans="1:48" x14ac:dyDescent="0.2">
      <c r="A90" s="4">
        <v>44596</v>
      </c>
      <c r="B90" s="1" t="s">
        <v>57</v>
      </c>
      <c r="I90" s="3">
        <v>1900</v>
      </c>
      <c r="M90" s="3" t="str">
        <f t="shared" si="22"/>
        <v/>
      </c>
      <c r="N90" s="3"/>
      <c r="AA90" s="3">
        <f t="shared" si="23"/>
        <v>3450000</v>
      </c>
      <c r="AB90" s="3">
        <f t="shared" si="31"/>
        <v>3450000.0000000019</v>
      </c>
      <c r="AC90" s="3">
        <f t="shared" si="32"/>
        <v>558681.52999999968</v>
      </c>
      <c r="AD90" s="3">
        <f t="shared" si="33"/>
        <v>2891318.4700000021</v>
      </c>
      <c r="AE90" s="1">
        <f t="shared" ca="1" si="34"/>
        <v>7</v>
      </c>
      <c r="AG90" s="3">
        <f t="shared" si="35"/>
        <v>1900</v>
      </c>
      <c r="AH90" s="1">
        <f t="shared" si="24"/>
        <v>245</v>
      </c>
      <c r="AI90" s="3">
        <f t="shared" si="25"/>
        <v>1900</v>
      </c>
      <c r="AL90" s="3">
        <f t="shared" si="26"/>
        <v>1900</v>
      </c>
      <c r="AM90" s="3">
        <f t="shared" si="27"/>
        <v>1900</v>
      </c>
      <c r="AQ90" s="4">
        <f t="shared" ca="1" si="36"/>
        <v>44438</v>
      </c>
      <c r="AR90" s="3">
        <f t="shared" ca="1" si="28"/>
        <v>527441.00999999989</v>
      </c>
      <c r="AS90" s="63">
        <f ca="1">IF($AQ90&lt;&gt;"", INDEX(Inputs!$B$3:$B$101, MATCH($AQ90,Inputs!$A$3:$A$101,1)), "")</f>
        <v>1E-3</v>
      </c>
      <c r="AT90" s="48">
        <f t="shared" ca="1" si="37"/>
        <v>1.4450438630136984</v>
      </c>
      <c r="AU90" s="3">
        <f t="shared" ca="1" si="29"/>
        <v>-1.4450438630136984</v>
      </c>
      <c r="AV90" s="3">
        <f t="shared" ca="1" si="30"/>
        <v>-1.4450438630136984</v>
      </c>
    </row>
    <row r="91" spans="1:48" x14ac:dyDescent="0.2">
      <c r="A91" s="4">
        <v>44603</v>
      </c>
      <c r="B91" s="1" t="s">
        <v>57</v>
      </c>
      <c r="I91" s="3">
        <v>1900</v>
      </c>
      <c r="M91" s="3" t="str">
        <f t="shared" si="22"/>
        <v/>
      </c>
      <c r="N91" s="3"/>
      <c r="AA91" s="3">
        <f t="shared" si="23"/>
        <v>3450000</v>
      </c>
      <c r="AB91" s="3">
        <f t="shared" si="31"/>
        <v>3450000.0000000019</v>
      </c>
      <c r="AC91" s="3">
        <f t="shared" si="32"/>
        <v>558681.52999999968</v>
      </c>
      <c r="AD91" s="3">
        <f t="shared" si="33"/>
        <v>2891318.4700000021</v>
      </c>
      <c r="AE91" s="1">
        <f t="shared" ca="1" si="34"/>
        <v>5</v>
      </c>
      <c r="AG91" s="3">
        <f t="shared" si="35"/>
        <v>1900</v>
      </c>
      <c r="AH91" s="1">
        <f t="shared" si="24"/>
        <v>252</v>
      </c>
      <c r="AI91" s="3">
        <f t="shared" si="25"/>
        <v>1900</v>
      </c>
      <c r="AL91" s="3">
        <f t="shared" si="26"/>
        <v>1900</v>
      </c>
      <c r="AM91" s="3">
        <f t="shared" si="27"/>
        <v>1900</v>
      </c>
      <c r="AQ91" s="4">
        <f t="shared" ca="1" si="36"/>
        <v>44439</v>
      </c>
      <c r="AR91" s="3">
        <f t="shared" ca="1" si="28"/>
        <v>522678.14999999985</v>
      </c>
      <c r="AS91" s="63">
        <f ca="1">IF($AQ91&lt;&gt;"", INDEX(Inputs!$B$3:$B$101, MATCH($AQ91,Inputs!$A$3:$A$101,1)), "")</f>
        <v>1E-3</v>
      </c>
      <c r="AT91" s="48">
        <f t="shared" ca="1" si="37"/>
        <v>1.431994931506849</v>
      </c>
      <c r="AU91" s="3">
        <f t="shared" ca="1" si="29"/>
        <v>-1.431994931506849</v>
      </c>
      <c r="AV91" s="3">
        <f t="shared" ca="1" si="30"/>
        <v>-1.431994931506849</v>
      </c>
    </row>
    <row r="92" spans="1:48" x14ac:dyDescent="0.2">
      <c r="A92" s="4">
        <v>44608</v>
      </c>
      <c r="B92" s="1" t="s">
        <v>104</v>
      </c>
      <c r="F92" s="3">
        <v>9818.51</v>
      </c>
      <c r="M92" s="3" t="str">
        <f t="shared" si="22"/>
        <v/>
      </c>
      <c r="N92" s="3"/>
      <c r="AA92" s="3">
        <f t="shared" si="23"/>
        <v>3450000</v>
      </c>
      <c r="AB92" s="3">
        <f t="shared" si="31"/>
        <v>3450000.0000000019</v>
      </c>
      <c r="AC92" s="3">
        <f t="shared" si="32"/>
        <v>568500.03999999969</v>
      </c>
      <c r="AD92" s="3">
        <f t="shared" si="33"/>
        <v>2881499.9600000023</v>
      </c>
      <c r="AE92" s="1">
        <f t="shared" ca="1" si="34"/>
        <v>0</v>
      </c>
      <c r="AG92" s="3">
        <f t="shared" si="35"/>
        <v>-9818.51</v>
      </c>
      <c r="AH92" s="1">
        <f t="shared" si="24"/>
        <v>257</v>
      </c>
      <c r="AI92" s="3">
        <f t="shared" si="25"/>
        <v>-9818.51</v>
      </c>
      <c r="AL92" s="3">
        <f t="shared" si="26"/>
        <v>-9818.51</v>
      </c>
      <c r="AM92" s="3">
        <f t="shared" si="27"/>
        <v>-9818.51</v>
      </c>
      <c r="AQ92" s="4">
        <f t="shared" ca="1" si="36"/>
        <v>44440</v>
      </c>
      <c r="AR92" s="3">
        <f t="shared" ca="1" si="28"/>
        <v>522678.14999999985</v>
      </c>
      <c r="AS92" s="63">
        <f ca="1">IF($AQ92&lt;&gt;"", INDEX(Inputs!$B$3:$B$101, MATCH($AQ92,Inputs!$A$3:$A$101,1)), "")</f>
        <v>1E-3</v>
      </c>
      <c r="AT92" s="48">
        <f t="shared" ca="1" si="37"/>
        <v>1.431994931506849</v>
      </c>
      <c r="AU92" s="3">
        <f t="shared" ca="1" si="29"/>
        <v>-1.431994931506849</v>
      </c>
      <c r="AV92" s="3">
        <f t="shared" ca="1" si="30"/>
        <v>-1.431994931506849</v>
      </c>
    </row>
    <row r="93" spans="1:48" x14ac:dyDescent="0.2">
      <c r="A93" s="4">
        <v>44608</v>
      </c>
      <c r="B93" s="1" t="s">
        <v>105</v>
      </c>
      <c r="F93" s="3">
        <v>2232.44</v>
      </c>
      <c r="M93" s="3" t="str">
        <f t="shared" si="22"/>
        <v/>
      </c>
      <c r="N93" s="3"/>
      <c r="P93" s="3"/>
      <c r="AA93" s="3">
        <f t="shared" si="23"/>
        <v>3450000</v>
      </c>
      <c r="AB93" s="3">
        <f t="shared" si="31"/>
        <v>3450000.0000000019</v>
      </c>
      <c r="AC93" s="3">
        <f t="shared" si="32"/>
        <v>570732.47999999963</v>
      </c>
      <c r="AD93" s="3">
        <f t="shared" si="33"/>
        <v>2879267.5200000023</v>
      </c>
      <c r="AE93" s="1">
        <f t="shared" ca="1" si="34"/>
        <v>2</v>
      </c>
      <c r="AG93" s="3">
        <f t="shared" si="35"/>
        <v>-2232.44</v>
      </c>
      <c r="AH93" s="1">
        <f t="shared" si="24"/>
        <v>257</v>
      </c>
      <c r="AI93" s="3">
        <f t="shared" si="25"/>
        <v>-2232.44</v>
      </c>
      <c r="AL93" s="3">
        <f t="shared" si="26"/>
        <v>-2232.44</v>
      </c>
      <c r="AM93" s="3">
        <f t="shared" si="27"/>
        <v>-2232.44</v>
      </c>
      <c r="AQ93" s="4">
        <f t="shared" ca="1" si="36"/>
        <v>44441</v>
      </c>
      <c r="AR93" s="3">
        <f t="shared" ca="1" si="28"/>
        <v>522678.14999999985</v>
      </c>
      <c r="AS93" s="63">
        <f ca="1">IF($AQ93&lt;&gt;"", INDEX(Inputs!$B$3:$B$101, MATCH($AQ93,Inputs!$A$3:$A$101,1)), "")</f>
        <v>1E-3</v>
      </c>
      <c r="AT93" s="48">
        <f t="shared" ca="1" si="37"/>
        <v>1.431994931506849</v>
      </c>
      <c r="AU93" s="3">
        <f t="shared" ca="1" si="29"/>
        <v>-1.431994931506849</v>
      </c>
      <c r="AV93" s="3">
        <f t="shared" ca="1" si="30"/>
        <v>-1.431994931506849</v>
      </c>
    </row>
    <row r="94" spans="1:48" x14ac:dyDescent="0.2">
      <c r="A94" s="4">
        <v>44610</v>
      </c>
      <c r="B94" s="1" t="s">
        <v>57</v>
      </c>
      <c r="I94" s="3">
        <v>1900</v>
      </c>
      <c r="M94" s="3" t="str">
        <f t="shared" si="22"/>
        <v/>
      </c>
      <c r="N94" s="3"/>
      <c r="AA94" s="3">
        <f t="shared" si="23"/>
        <v>3450000</v>
      </c>
      <c r="AB94" s="3">
        <f t="shared" si="31"/>
        <v>3450000.0000000019</v>
      </c>
      <c r="AC94" s="3">
        <f t="shared" si="32"/>
        <v>570732.47999999963</v>
      </c>
      <c r="AD94" s="3">
        <f t="shared" si="33"/>
        <v>2879267.5200000023</v>
      </c>
      <c r="AE94" s="1">
        <f t="shared" ca="1" si="34"/>
        <v>7</v>
      </c>
      <c r="AG94" s="3">
        <f t="shared" si="35"/>
        <v>1900</v>
      </c>
      <c r="AH94" s="1">
        <f t="shared" si="24"/>
        <v>259</v>
      </c>
      <c r="AI94" s="3">
        <f t="shared" si="25"/>
        <v>1900</v>
      </c>
      <c r="AL94" s="3">
        <f t="shared" si="26"/>
        <v>1900</v>
      </c>
      <c r="AM94" s="3">
        <f t="shared" si="27"/>
        <v>1900</v>
      </c>
      <c r="AQ94" s="4">
        <f t="shared" ca="1" si="36"/>
        <v>44442</v>
      </c>
      <c r="AR94" s="3">
        <f t="shared" ca="1" si="28"/>
        <v>522678.14999999985</v>
      </c>
      <c r="AS94" s="63">
        <f ca="1">IF($AQ94&lt;&gt;"", INDEX(Inputs!$B$3:$B$101, MATCH($AQ94,Inputs!$A$3:$A$101,1)), "")</f>
        <v>1E-3</v>
      </c>
      <c r="AT94" s="48">
        <f t="shared" ca="1" si="37"/>
        <v>1.431994931506849</v>
      </c>
      <c r="AU94" s="3">
        <f t="shared" ca="1" si="29"/>
        <v>1898.5680050684932</v>
      </c>
      <c r="AV94" s="3">
        <f t="shared" ca="1" si="30"/>
        <v>1898.5680050684932</v>
      </c>
    </row>
    <row r="95" spans="1:48" x14ac:dyDescent="0.2">
      <c r="A95" s="4">
        <v>44617</v>
      </c>
      <c r="B95" s="1" t="s">
        <v>57</v>
      </c>
      <c r="I95" s="3">
        <v>1900</v>
      </c>
      <c r="M95" s="3" t="str">
        <f t="shared" si="22"/>
        <v/>
      </c>
      <c r="N95" s="3"/>
      <c r="AA95" s="3">
        <f t="shared" si="23"/>
        <v>3450000</v>
      </c>
      <c r="AB95" s="3">
        <f t="shared" si="31"/>
        <v>3450000.0000000019</v>
      </c>
      <c r="AC95" s="3">
        <f t="shared" si="32"/>
        <v>570732.47999999963</v>
      </c>
      <c r="AD95" s="3">
        <f t="shared" si="33"/>
        <v>2879267.5200000023</v>
      </c>
      <c r="AE95" s="1">
        <f t="shared" ca="1" si="34"/>
        <v>3</v>
      </c>
      <c r="AG95" s="3">
        <f t="shared" si="35"/>
        <v>1900</v>
      </c>
      <c r="AH95" s="1">
        <f t="shared" si="24"/>
        <v>266</v>
      </c>
      <c r="AI95" s="3">
        <f t="shared" si="25"/>
        <v>1900</v>
      </c>
      <c r="AL95" s="3">
        <f t="shared" si="26"/>
        <v>1900</v>
      </c>
      <c r="AM95" s="3">
        <f t="shared" si="27"/>
        <v>1900</v>
      </c>
      <c r="AQ95" s="4">
        <f t="shared" ca="1" si="36"/>
        <v>44443</v>
      </c>
      <c r="AR95" s="3">
        <f t="shared" ca="1" si="28"/>
        <v>522678.14999999985</v>
      </c>
      <c r="AS95" s="63">
        <f ca="1">IF($AQ95&lt;&gt;"", INDEX(Inputs!$B$3:$B$101, MATCH($AQ95,Inputs!$A$3:$A$101,1)), "")</f>
        <v>1E-3</v>
      </c>
      <c r="AT95" s="48">
        <f t="shared" ca="1" si="37"/>
        <v>1.431994931506849</v>
      </c>
      <c r="AU95" s="3">
        <f t="shared" ca="1" si="29"/>
        <v>-1.431994931506849</v>
      </c>
      <c r="AV95" s="3">
        <f t="shared" ca="1" si="30"/>
        <v>-1.431994931506849</v>
      </c>
    </row>
    <row r="96" spans="1:48" x14ac:dyDescent="0.2">
      <c r="A96" s="4">
        <v>44620</v>
      </c>
      <c r="B96" s="1" t="s">
        <v>103</v>
      </c>
      <c r="G96" s="3">
        <v>3824.36</v>
      </c>
      <c r="M96" s="3" t="str">
        <f t="shared" si="22"/>
        <v/>
      </c>
      <c r="N96" s="3"/>
      <c r="AA96" s="3">
        <f t="shared" si="23"/>
        <v>3450000</v>
      </c>
      <c r="AB96" s="3">
        <f t="shared" si="31"/>
        <v>3450000.0000000019</v>
      </c>
      <c r="AC96" s="3">
        <f t="shared" si="32"/>
        <v>566908.11999999965</v>
      </c>
      <c r="AD96" s="3">
        <f t="shared" si="33"/>
        <v>2883091.8800000022</v>
      </c>
      <c r="AE96" s="1">
        <f t="shared" ca="1" si="34"/>
        <v>0</v>
      </c>
      <c r="AG96" s="3">
        <f t="shared" si="35"/>
        <v>0</v>
      </c>
      <c r="AH96" s="1">
        <f t="shared" si="24"/>
        <v>269</v>
      </c>
      <c r="AI96" s="3">
        <f t="shared" si="25"/>
        <v>0</v>
      </c>
      <c r="AL96" s="3">
        <f t="shared" si="26"/>
        <v>0</v>
      </c>
      <c r="AM96" s="3">
        <f t="shared" si="27"/>
        <v>0</v>
      </c>
      <c r="AQ96" s="4">
        <f t="shared" ca="1" si="36"/>
        <v>44444</v>
      </c>
      <c r="AR96" s="3">
        <f t="shared" ca="1" si="28"/>
        <v>522678.14999999985</v>
      </c>
      <c r="AS96" s="63">
        <f ca="1">IF($AQ96&lt;&gt;"", INDEX(Inputs!$B$3:$B$101, MATCH($AQ96,Inputs!$A$3:$A$101,1)), "")</f>
        <v>1E-3</v>
      </c>
      <c r="AT96" s="48">
        <f t="shared" ca="1" si="37"/>
        <v>1.431994931506849</v>
      </c>
      <c r="AU96" s="3">
        <f t="shared" ca="1" si="29"/>
        <v>-1.431994931506849</v>
      </c>
      <c r="AV96" s="3">
        <f t="shared" ca="1" si="30"/>
        <v>-1.431994931506849</v>
      </c>
    </row>
    <row r="97" spans="1:48" x14ac:dyDescent="0.2">
      <c r="A97" s="4">
        <v>44620</v>
      </c>
      <c r="B97" s="1" t="s">
        <v>106</v>
      </c>
      <c r="G97" s="3">
        <v>906.37</v>
      </c>
      <c r="M97" s="3" t="str">
        <f t="shared" si="22"/>
        <v/>
      </c>
      <c r="N97" s="3"/>
      <c r="P97" s="3"/>
      <c r="AA97" s="3">
        <f t="shared" si="23"/>
        <v>3450000</v>
      </c>
      <c r="AB97" s="3">
        <f t="shared" si="31"/>
        <v>3450000.0000000019</v>
      </c>
      <c r="AC97" s="3">
        <f t="shared" si="32"/>
        <v>566001.74999999965</v>
      </c>
      <c r="AD97" s="3">
        <f t="shared" si="33"/>
        <v>2883998.2500000023</v>
      </c>
      <c r="AE97" s="1">
        <f t="shared" ca="1" si="34"/>
        <v>4</v>
      </c>
      <c r="AG97" s="3">
        <f t="shared" si="35"/>
        <v>0</v>
      </c>
      <c r="AH97" s="1">
        <f t="shared" si="24"/>
        <v>269</v>
      </c>
      <c r="AI97" s="3">
        <f t="shared" si="25"/>
        <v>0</v>
      </c>
      <c r="AL97" s="3">
        <f t="shared" si="26"/>
        <v>0</v>
      </c>
      <c r="AM97" s="3">
        <f t="shared" si="27"/>
        <v>0</v>
      </c>
      <c r="AQ97" s="4">
        <f t="shared" ca="1" si="36"/>
        <v>44445</v>
      </c>
      <c r="AR97" s="3">
        <f t="shared" ca="1" si="28"/>
        <v>522678.14999999985</v>
      </c>
      <c r="AS97" s="63">
        <f ca="1">IF($AQ97&lt;&gt;"", INDEX(Inputs!$B$3:$B$101, MATCH($AQ97,Inputs!$A$3:$A$101,1)), "")</f>
        <v>1E-3</v>
      </c>
      <c r="AT97" s="48">
        <f t="shared" ca="1" si="37"/>
        <v>1.431994931506849</v>
      </c>
      <c r="AU97" s="3">
        <f t="shared" ca="1" si="29"/>
        <v>-1.431994931506849</v>
      </c>
      <c r="AV97" s="3">
        <f t="shared" ca="1" si="30"/>
        <v>-1.431994931506849</v>
      </c>
    </row>
    <row r="98" spans="1:48" x14ac:dyDescent="0.2">
      <c r="A98" s="4">
        <v>44624</v>
      </c>
      <c r="B98" s="1" t="s">
        <v>57</v>
      </c>
      <c r="I98" s="3">
        <v>1900</v>
      </c>
      <c r="M98" s="3" t="str">
        <f t="shared" si="22"/>
        <v/>
      </c>
      <c r="N98" s="3"/>
      <c r="AA98" s="3">
        <f t="shared" si="23"/>
        <v>3450000</v>
      </c>
      <c r="AB98" s="3">
        <f t="shared" si="31"/>
        <v>3450000.0000000019</v>
      </c>
      <c r="AC98" s="3">
        <f t="shared" si="32"/>
        <v>566001.74999999965</v>
      </c>
      <c r="AD98" s="3">
        <f t="shared" si="33"/>
        <v>2883998.2500000023</v>
      </c>
      <c r="AE98" s="1">
        <f t="shared" ca="1" si="34"/>
        <v>7</v>
      </c>
      <c r="AG98" s="3">
        <f t="shared" si="35"/>
        <v>1900</v>
      </c>
      <c r="AH98" s="1">
        <f t="shared" si="24"/>
        <v>273</v>
      </c>
      <c r="AI98" s="3">
        <f t="shared" si="25"/>
        <v>1900</v>
      </c>
      <c r="AL98" s="3">
        <f t="shared" si="26"/>
        <v>1900</v>
      </c>
      <c r="AM98" s="3">
        <f t="shared" si="27"/>
        <v>1900</v>
      </c>
      <c r="AQ98" s="4">
        <f t="shared" ca="1" si="36"/>
        <v>44446</v>
      </c>
      <c r="AR98" s="3">
        <f t="shared" ca="1" si="28"/>
        <v>522678.14999999985</v>
      </c>
      <c r="AS98" s="63">
        <f ca="1">IF($AQ98&lt;&gt;"", INDEX(Inputs!$B$3:$B$101, MATCH($AQ98,Inputs!$A$3:$A$101,1)), "")</f>
        <v>1E-3</v>
      </c>
      <c r="AT98" s="48">
        <f t="shared" ca="1" si="37"/>
        <v>1.431994931506849</v>
      </c>
      <c r="AU98" s="3">
        <f t="shared" ca="1" si="29"/>
        <v>-1.431994931506849</v>
      </c>
      <c r="AV98" s="3">
        <f t="shared" ca="1" si="30"/>
        <v>-1.431994931506849</v>
      </c>
    </row>
    <row r="99" spans="1:48" x14ac:dyDescent="0.2">
      <c r="A99" s="4">
        <v>44631</v>
      </c>
      <c r="B99" s="1" t="s">
        <v>57</v>
      </c>
      <c r="I99" s="3">
        <v>1900</v>
      </c>
      <c r="M99" s="3" t="str">
        <f t="shared" si="22"/>
        <v/>
      </c>
      <c r="N99" s="3"/>
      <c r="AA99" s="3">
        <f t="shared" si="23"/>
        <v>3450000</v>
      </c>
      <c r="AB99" s="3">
        <f t="shared" si="31"/>
        <v>3450000.0000000019</v>
      </c>
      <c r="AC99" s="3">
        <f t="shared" si="32"/>
        <v>566001.74999999965</v>
      </c>
      <c r="AD99" s="3">
        <f t="shared" si="33"/>
        <v>2883998.2500000023</v>
      </c>
      <c r="AE99" s="1">
        <f t="shared" ca="1" si="34"/>
        <v>5</v>
      </c>
      <c r="AG99" s="3">
        <f t="shared" si="35"/>
        <v>1900</v>
      </c>
      <c r="AH99" s="1">
        <f t="shared" si="24"/>
        <v>280</v>
      </c>
      <c r="AI99" s="3">
        <f t="shared" si="25"/>
        <v>1900</v>
      </c>
      <c r="AL99" s="3">
        <f t="shared" si="26"/>
        <v>1900</v>
      </c>
      <c r="AM99" s="3">
        <f t="shared" si="27"/>
        <v>1900</v>
      </c>
      <c r="AQ99" s="4">
        <f t="shared" ca="1" si="36"/>
        <v>44447</v>
      </c>
      <c r="AR99" s="3">
        <f t="shared" ca="1" si="28"/>
        <v>522678.14999999985</v>
      </c>
      <c r="AS99" s="63">
        <f ca="1">IF($AQ99&lt;&gt;"", INDEX(Inputs!$B$3:$B$101, MATCH($AQ99,Inputs!$A$3:$A$101,1)), "")</f>
        <v>1E-3</v>
      </c>
      <c r="AT99" s="48">
        <f t="shared" ca="1" si="37"/>
        <v>1.431994931506849</v>
      </c>
      <c r="AU99" s="3">
        <f t="shared" ca="1" si="29"/>
        <v>-1.431994931506849</v>
      </c>
      <c r="AV99" s="3">
        <f t="shared" ca="1" si="30"/>
        <v>-1.431994931506849</v>
      </c>
    </row>
    <row r="100" spans="1:48" x14ac:dyDescent="0.2">
      <c r="A100" s="4">
        <v>44636</v>
      </c>
      <c r="B100" s="1" t="s">
        <v>104</v>
      </c>
      <c r="F100" s="3">
        <v>9818.51</v>
      </c>
      <c r="M100" s="3" t="str">
        <f t="shared" si="22"/>
        <v/>
      </c>
      <c r="N100" s="3"/>
      <c r="AA100" s="3">
        <f t="shared" si="23"/>
        <v>3450000</v>
      </c>
      <c r="AB100" s="3">
        <f t="shared" si="31"/>
        <v>3450000.0000000023</v>
      </c>
      <c r="AC100" s="3">
        <f t="shared" si="32"/>
        <v>575820.25999999966</v>
      </c>
      <c r="AD100" s="3">
        <f t="shared" si="33"/>
        <v>2874179.7400000026</v>
      </c>
      <c r="AE100" s="1">
        <f t="shared" ca="1" si="34"/>
        <v>0</v>
      </c>
      <c r="AG100" s="3">
        <f t="shared" si="35"/>
        <v>-9818.51</v>
      </c>
      <c r="AH100" s="1">
        <f t="shared" si="24"/>
        <v>285</v>
      </c>
      <c r="AI100" s="3">
        <f t="shared" si="25"/>
        <v>-9818.51</v>
      </c>
      <c r="AL100" s="3">
        <f t="shared" si="26"/>
        <v>-9818.51</v>
      </c>
      <c r="AM100" s="3">
        <f t="shared" si="27"/>
        <v>-9818.51</v>
      </c>
      <c r="AQ100" s="4">
        <f t="shared" ca="1" si="36"/>
        <v>44448</v>
      </c>
      <c r="AR100" s="3">
        <f t="shared" ca="1" si="28"/>
        <v>522678.14999999985</v>
      </c>
      <c r="AS100" s="63">
        <f ca="1">IF($AQ100&lt;&gt;"", INDEX(Inputs!$B$3:$B$101, MATCH($AQ100,Inputs!$A$3:$A$101,1)), "")</f>
        <v>1E-3</v>
      </c>
      <c r="AT100" s="48">
        <f t="shared" ca="1" si="37"/>
        <v>1.431994931506849</v>
      </c>
      <c r="AU100" s="3">
        <f t="shared" ca="1" si="29"/>
        <v>-1.431994931506849</v>
      </c>
      <c r="AV100" s="3">
        <f t="shared" ca="1" si="30"/>
        <v>-1.431994931506849</v>
      </c>
    </row>
    <row r="101" spans="1:48" x14ac:dyDescent="0.2">
      <c r="A101" s="4">
        <v>44636</v>
      </c>
      <c r="B101" s="1" t="s">
        <v>105</v>
      </c>
      <c r="F101" s="3">
        <v>2232.44</v>
      </c>
      <c r="M101" s="3" t="str">
        <f t="shared" si="22"/>
        <v/>
      </c>
      <c r="N101" s="3"/>
      <c r="P101" s="3"/>
      <c r="AA101" s="3">
        <f t="shared" si="23"/>
        <v>3450000</v>
      </c>
      <c r="AB101" s="3">
        <f t="shared" si="31"/>
        <v>3450000.0000000023</v>
      </c>
      <c r="AC101" s="3">
        <f t="shared" si="32"/>
        <v>578052.6999999996</v>
      </c>
      <c r="AD101" s="3">
        <f t="shared" si="33"/>
        <v>2871947.3000000026</v>
      </c>
      <c r="AE101" s="1">
        <f t="shared" ca="1" si="34"/>
        <v>2</v>
      </c>
      <c r="AG101" s="3">
        <f t="shared" si="35"/>
        <v>-2232.44</v>
      </c>
      <c r="AH101" s="1">
        <f t="shared" si="24"/>
        <v>285</v>
      </c>
      <c r="AI101" s="3">
        <f t="shared" si="25"/>
        <v>-2232.44</v>
      </c>
      <c r="AL101" s="3">
        <f t="shared" si="26"/>
        <v>-2232.44</v>
      </c>
      <c r="AM101" s="3">
        <f t="shared" si="27"/>
        <v>-2232.44</v>
      </c>
      <c r="AQ101" s="4">
        <f t="shared" ca="1" si="36"/>
        <v>44449</v>
      </c>
      <c r="AR101" s="3">
        <f t="shared" ca="1" si="28"/>
        <v>522678.14999999985</v>
      </c>
      <c r="AS101" s="63">
        <f ca="1">IF($AQ101&lt;&gt;"", INDEX(Inputs!$B$3:$B$101, MATCH($AQ101,Inputs!$A$3:$A$101,1)), "")</f>
        <v>1E-3</v>
      </c>
      <c r="AT101" s="48">
        <f t="shared" ca="1" si="37"/>
        <v>1.431994931506849</v>
      </c>
      <c r="AU101" s="3">
        <f t="shared" ca="1" si="29"/>
        <v>1898.5680050684932</v>
      </c>
      <c r="AV101" s="3">
        <f t="shared" ca="1" si="30"/>
        <v>1898.5680050684932</v>
      </c>
    </row>
    <row r="102" spans="1:48" x14ac:dyDescent="0.2">
      <c r="A102" s="4">
        <v>44638</v>
      </c>
      <c r="B102" s="1" t="s">
        <v>57</v>
      </c>
      <c r="I102" s="3">
        <v>1900</v>
      </c>
      <c r="M102" s="3" t="str">
        <f t="shared" si="22"/>
        <v/>
      </c>
      <c r="N102" s="3"/>
      <c r="AA102" s="3">
        <f t="shared" si="23"/>
        <v>3450000</v>
      </c>
      <c r="AB102" s="3">
        <f t="shared" si="31"/>
        <v>3450000.0000000023</v>
      </c>
      <c r="AC102" s="3">
        <f t="shared" si="32"/>
        <v>578052.6999999996</v>
      </c>
      <c r="AD102" s="3">
        <f t="shared" si="33"/>
        <v>2871947.3000000026</v>
      </c>
      <c r="AE102" s="1">
        <f t="shared" ca="1" si="34"/>
        <v>7</v>
      </c>
      <c r="AG102" s="3">
        <f t="shared" si="35"/>
        <v>1900</v>
      </c>
      <c r="AH102" s="1">
        <f t="shared" si="24"/>
        <v>287</v>
      </c>
      <c r="AI102" s="3">
        <f t="shared" si="25"/>
        <v>1900</v>
      </c>
      <c r="AL102" s="3">
        <f t="shared" si="26"/>
        <v>1900</v>
      </c>
      <c r="AM102" s="3">
        <f t="shared" si="27"/>
        <v>1900</v>
      </c>
      <c r="AQ102" s="4">
        <f t="shared" ca="1" si="36"/>
        <v>44450</v>
      </c>
      <c r="AR102" s="3">
        <f t="shared" ca="1" si="28"/>
        <v>522678.14999999985</v>
      </c>
      <c r="AS102" s="63">
        <f ca="1">IF($AQ102&lt;&gt;"", INDEX(Inputs!$B$3:$B$101, MATCH($AQ102,Inputs!$A$3:$A$101,1)), "")</f>
        <v>1E-3</v>
      </c>
      <c r="AT102" s="48">
        <f t="shared" ca="1" si="37"/>
        <v>1.431994931506849</v>
      </c>
      <c r="AU102" s="3">
        <f t="shared" ca="1" si="29"/>
        <v>-1.431994931506849</v>
      </c>
      <c r="AV102" s="3">
        <f t="shared" ca="1" si="30"/>
        <v>-1.431994931506849</v>
      </c>
    </row>
    <row r="103" spans="1:48" x14ac:dyDescent="0.2">
      <c r="A103" s="4">
        <v>44645</v>
      </c>
      <c r="B103" s="1" t="s">
        <v>57</v>
      </c>
      <c r="I103" s="3">
        <v>1900</v>
      </c>
      <c r="M103" s="3" t="str">
        <f t="shared" si="22"/>
        <v/>
      </c>
      <c r="N103" s="3"/>
      <c r="AA103" s="3">
        <f t="shared" si="23"/>
        <v>3450000</v>
      </c>
      <c r="AB103" s="3">
        <f t="shared" si="31"/>
        <v>3450000.0000000023</v>
      </c>
      <c r="AC103" s="3">
        <f t="shared" si="32"/>
        <v>578052.6999999996</v>
      </c>
      <c r="AD103" s="3">
        <f t="shared" si="33"/>
        <v>2871947.3000000026</v>
      </c>
      <c r="AE103" s="1">
        <f t="shared" ca="1" si="34"/>
        <v>6</v>
      </c>
      <c r="AG103" s="3">
        <f t="shared" si="35"/>
        <v>1900</v>
      </c>
      <c r="AH103" s="1">
        <f t="shared" si="24"/>
        <v>294</v>
      </c>
      <c r="AI103" s="3">
        <f t="shared" si="25"/>
        <v>1900</v>
      </c>
      <c r="AL103" s="3">
        <f t="shared" si="26"/>
        <v>1900</v>
      </c>
      <c r="AM103" s="3">
        <f t="shared" si="27"/>
        <v>1900</v>
      </c>
      <c r="AQ103" s="4">
        <f t="shared" ca="1" si="36"/>
        <v>44451</v>
      </c>
      <c r="AR103" s="3">
        <f t="shared" ca="1" si="28"/>
        <v>522678.14999999985</v>
      </c>
      <c r="AS103" s="63">
        <f ca="1">IF($AQ103&lt;&gt;"", INDEX(Inputs!$B$3:$B$101, MATCH($AQ103,Inputs!$A$3:$A$101,1)), "")</f>
        <v>1E-3</v>
      </c>
      <c r="AT103" s="48">
        <f t="shared" ca="1" si="37"/>
        <v>1.431994931506849</v>
      </c>
      <c r="AU103" s="3">
        <f t="shared" ca="1" si="29"/>
        <v>-1898.3919949315068</v>
      </c>
      <c r="AV103" s="3">
        <f t="shared" ca="1" si="30"/>
        <v>-1898.3919949315068</v>
      </c>
    </row>
    <row r="104" spans="1:48" x14ac:dyDescent="0.2">
      <c r="A104" s="4">
        <v>44651</v>
      </c>
      <c r="B104" s="1" t="s">
        <v>103</v>
      </c>
      <c r="G104" s="3">
        <v>4222.57</v>
      </c>
      <c r="M104" s="3" t="str">
        <f t="shared" si="22"/>
        <v/>
      </c>
      <c r="N104" s="3"/>
      <c r="AA104" s="3">
        <f t="shared" si="23"/>
        <v>3450000</v>
      </c>
      <c r="AB104" s="3">
        <f t="shared" si="31"/>
        <v>3450000.0000000019</v>
      </c>
      <c r="AC104" s="3">
        <f t="shared" si="32"/>
        <v>573830.12999999966</v>
      </c>
      <c r="AD104" s="3">
        <f t="shared" si="33"/>
        <v>2876169.8700000024</v>
      </c>
      <c r="AE104" s="1">
        <f t="shared" ca="1" si="34"/>
        <v>0</v>
      </c>
      <c r="AG104" s="3">
        <f t="shared" si="35"/>
        <v>0</v>
      </c>
      <c r="AH104" s="1">
        <f t="shared" si="24"/>
        <v>300</v>
      </c>
      <c r="AI104" s="3">
        <f t="shared" si="25"/>
        <v>0</v>
      </c>
      <c r="AL104" s="3">
        <f t="shared" si="26"/>
        <v>0</v>
      </c>
      <c r="AM104" s="3">
        <f t="shared" si="27"/>
        <v>0</v>
      </c>
      <c r="AQ104" s="4">
        <f t="shared" ca="1" si="36"/>
        <v>44452</v>
      </c>
      <c r="AR104" s="3">
        <f t="shared" ca="1" si="28"/>
        <v>522678.14999999985</v>
      </c>
      <c r="AS104" s="63">
        <f ca="1">IF($AQ104&lt;&gt;"", INDEX(Inputs!$B$3:$B$101, MATCH($AQ104,Inputs!$A$3:$A$101,1)), "")</f>
        <v>1E-3</v>
      </c>
      <c r="AT104" s="48">
        <f t="shared" ca="1" si="37"/>
        <v>1.431994931506849</v>
      </c>
      <c r="AU104" s="3">
        <f t="shared" ca="1" si="29"/>
        <v>-1.431994931506849</v>
      </c>
      <c r="AV104" s="3">
        <f t="shared" ca="1" si="30"/>
        <v>-1.431994931506849</v>
      </c>
    </row>
    <row r="105" spans="1:48" x14ac:dyDescent="0.2">
      <c r="A105" s="4">
        <v>44651</v>
      </c>
      <c r="B105" s="1" t="s">
        <v>106</v>
      </c>
      <c r="G105" s="3">
        <v>769.31</v>
      </c>
      <c r="M105" s="3" t="str">
        <f t="shared" si="22"/>
        <v/>
      </c>
      <c r="N105" s="3"/>
      <c r="P105" s="3"/>
      <c r="AA105" s="3">
        <f t="shared" si="23"/>
        <v>3450000</v>
      </c>
      <c r="AB105" s="3">
        <f t="shared" si="31"/>
        <v>3450000.0000000019</v>
      </c>
      <c r="AC105" s="3">
        <f t="shared" si="32"/>
        <v>573060.8199999996</v>
      </c>
      <c r="AD105" s="3">
        <f t="shared" si="33"/>
        <v>2876939.1800000025</v>
      </c>
      <c r="AE105" s="1">
        <f t="shared" ca="1" si="34"/>
        <v>0</v>
      </c>
      <c r="AG105" s="3">
        <f t="shared" si="35"/>
        <v>0</v>
      </c>
      <c r="AH105" s="1">
        <f t="shared" si="24"/>
        <v>300</v>
      </c>
      <c r="AI105" s="3">
        <f t="shared" si="25"/>
        <v>0</v>
      </c>
      <c r="AL105" s="3">
        <f t="shared" si="26"/>
        <v>0</v>
      </c>
      <c r="AM105" s="3">
        <f t="shared" si="27"/>
        <v>0</v>
      </c>
      <c r="AQ105" s="4">
        <f t="shared" ca="1" si="36"/>
        <v>44453</v>
      </c>
      <c r="AR105" s="3">
        <f t="shared" ca="1" si="28"/>
        <v>522678.14999999985</v>
      </c>
      <c r="AS105" s="63">
        <f ca="1">IF($AQ105&lt;&gt;"", INDEX(Inputs!$B$3:$B$101, MATCH($AQ105,Inputs!$A$3:$A$101,1)), "")</f>
        <v>1E-3</v>
      </c>
      <c r="AT105" s="48">
        <f t="shared" ca="1" si="37"/>
        <v>1.431994931506849</v>
      </c>
      <c r="AU105" s="3">
        <f t="shared" ca="1" si="29"/>
        <v>-1.431994931506849</v>
      </c>
      <c r="AV105" s="3">
        <f t="shared" ca="1" si="30"/>
        <v>-1.431994931506849</v>
      </c>
    </row>
    <row r="106" spans="1:48" x14ac:dyDescent="0.2">
      <c r="A106" s="4">
        <v>44651</v>
      </c>
      <c r="B106" s="1" t="s">
        <v>80</v>
      </c>
      <c r="H106" s="3">
        <v>280.60000000000002</v>
      </c>
      <c r="M106" s="3" t="str">
        <f t="shared" si="22"/>
        <v/>
      </c>
      <c r="N106" s="3"/>
      <c r="P106" s="3"/>
      <c r="AA106" s="3">
        <f t="shared" si="23"/>
        <v>3450000</v>
      </c>
      <c r="AB106" s="3">
        <f t="shared" si="31"/>
        <v>3450000.0000000019</v>
      </c>
      <c r="AC106" s="3">
        <f t="shared" si="32"/>
        <v>573060.8199999996</v>
      </c>
      <c r="AD106" s="3">
        <f t="shared" si="33"/>
        <v>2876939.1800000025</v>
      </c>
      <c r="AE106" s="1">
        <f t="shared" ca="1" si="34"/>
        <v>1</v>
      </c>
      <c r="AG106" s="3">
        <f t="shared" si="35"/>
        <v>-280.60000000000002</v>
      </c>
      <c r="AH106" s="1">
        <f t="shared" si="24"/>
        <v>300</v>
      </c>
      <c r="AI106" s="3">
        <f t="shared" si="25"/>
        <v>-280.60000000000002</v>
      </c>
      <c r="AL106" s="3">
        <f t="shared" si="26"/>
        <v>-280.60000000000002</v>
      </c>
      <c r="AM106" s="3">
        <f t="shared" si="27"/>
        <v>-280.60000000000002</v>
      </c>
      <c r="AQ106" s="4">
        <f t="shared" ca="1" si="36"/>
        <v>44454</v>
      </c>
      <c r="AR106" s="3">
        <f t="shared" ca="1" si="28"/>
        <v>522678.14999999985</v>
      </c>
      <c r="AS106" s="63">
        <f ca="1">IF($AQ106&lt;&gt;"", INDEX(Inputs!$B$3:$B$101, MATCH($AQ106,Inputs!$A$3:$A$101,1)), "")</f>
        <v>1E-3</v>
      </c>
      <c r="AT106" s="48">
        <f t="shared" ca="1" si="37"/>
        <v>1.431994931506849</v>
      </c>
      <c r="AU106" s="3">
        <f t="shared" ca="1" si="29"/>
        <v>-1.431994931506849</v>
      </c>
      <c r="AV106" s="3">
        <f t="shared" ca="1" si="30"/>
        <v>-1.431994931506849</v>
      </c>
    </row>
    <row r="107" spans="1:48" x14ac:dyDescent="0.2">
      <c r="A107" s="4">
        <v>44652</v>
      </c>
      <c r="B107" s="1" t="s">
        <v>57</v>
      </c>
      <c r="I107" s="3">
        <v>1900</v>
      </c>
      <c r="M107" s="3" t="str">
        <f t="shared" si="22"/>
        <v/>
      </c>
      <c r="N107" s="3"/>
      <c r="AA107" s="3">
        <f t="shared" si="23"/>
        <v>3450000</v>
      </c>
      <c r="AB107" s="3">
        <f t="shared" si="31"/>
        <v>3450000.0000000019</v>
      </c>
      <c r="AC107" s="3">
        <f t="shared" si="32"/>
        <v>573060.8199999996</v>
      </c>
      <c r="AD107" s="3">
        <f t="shared" si="33"/>
        <v>2876939.1800000025</v>
      </c>
      <c r="AE107" s="1">
        <f t="shared" ca="1" si="34"/>
        <v>7</v>
      </c>
      <c r="AG107" s="3">
        <f t="shared" si="35"/>
        <v>1900</v>
      </c>
      <c r="AH107" s="1">
        <f t="shared" si="24"/>
        <v>301</v>
      </c>
      <c r="AI107" s="3">
        <f t="shared" si="25"/>
        <v>1900</v>
      </c>
      <c r="AL107" s="3">
        <f t="shared" si="26"/>
        <v>1900</v>
      </c>
      <c r="AM107" s="3">
        <f t="shared" si="27"/>
        <v>1900</v>
      </c>
      <c r="AQ107" s="4">
        <f t="shared" ca="1" si="36"/>
        <v>44455</v>
      </c>
      <c r="AR107" s="3">
        <f t="shared" ca="1" si="28"/>
        <v>534729.09999999974</v>
      </c>
      <c r="AS107" s="63">
        <f ca="1">IF($AQ107&lt;&gt;"", INDEX(Inputs!$B$3:$B$101, MATCH($AQ107,Inputs!$A$3:$A$101,1)), "")</f>
        <v>1E-3</v>
      </c>
      <c r="AT107" s="48">
        <f t="shared" ca="1" si="37"/>
        <v>1.4650112328767118</v>
      </c>
      <c r="AU107" s="3">
        <f t="shared" ca="1" si="29"/>
        <v>-12052.415011232877</v>
      </c>
      <c r="AV107" s="3">
        <f t="shared" ca="1" si="30"/>
        <v>-12052.415011232877</v>
      </c>
    </row>
    <row r="108" spans="1:48" x14ac:dyDescent="0.2">
      <c r="A108" s="4">
        <v>44659</v>
      </c>
      <c r="B108" s="1" t="s">
        <v>57</v>
      </c>
      <c r="I108" s="3">
        <v>1900</v>
      </c>
      <c r="M108" s="3" t="str">
        <f t="shared" si="22"/>
        <v/>
      </c>
      <c r="N108" s="3"/>
      <c r="AA108" s="3">
        <f t="shared" si="23"/>
        <v>3450000</v>
      </c>
      <c r="AB108" s="3">
        <f t="shared" si="31"/>
        <v>3450000.0000000019</v>
      </c>
      <c r="AC108" s="3">
        <f t="shared" si="32"/>
        <v>573060.8199999996</v>
      </c>
      <c r="AD108" s="3">
        <f t="shared" si="33"/>
        <v>2876939.1800000025</v>
      </c>
      <c r="AE108" s="1">
        <f t="shared" ca="1" si="34"/>
        <v>7</v>
      </c>
      <c r="AG108" s="3">
        <f t="shared" si="35"/>
        <v>1900</v>
      </c>
      <c r="AH108" s="1">
        <f t="shared" si="24"/>
        <v>308</v>
      </c>
      <c r="AI108" s="3">
        <f t="shared" si="25"/>
        <v>1900</v>
      </c>
      <c r="AL108" s="3">
        <f t="shared" si="26"/>
        <v>1900</v>
      </c>
      <c r="AM108" s="3">
        <f t="shared" si="27"/>
        <v>1900</v>
      </c>
      <c r="AQ108" s="4">
        <f t="shared" ca="1" si="36"/>
        <v>44456</v>
      </c>
      <c r="AR108" s="3">
        <f t="shared" ca="1" si="28"/>
        <v>534729.09999999974</v>
      </c>
      <c r="AS108" s="63">
        <f ca="1">IF($AQ108&lt;&gt;"", INDEX(Inputs!$B$3:$B$101, MATCH($AQ108,Inputs!$A$3:$A$101,1)), "")</f>
        <v>1E-3</v>
      </c>
      <c r="AT108" s="48">
        <f t="shared" ca="1" si="37"/>
        <v>1.4650112328767118</v>
      </c>
      <c r="AU108" s="3">
        <f t="shared" ca="1" si="29"/>
        <v>1898.5349887671232</v>
      </c>
      <c r="AV108" s="3">
        <f t="shared" ca="1" si="30"/>
        <v>1898.5349887671232</v>
      </c>
    </row>
    <row r="109" spans="1:48" x14ac:dyDescent="0.2">
      <c r="A109" s="4">
        <v>44666</v>
      </c>
      <c r="B109" s="1" t="s">
        <v>57</v>
      </c>
      <c r="I109" s="3">
        <v>1900</v>
      </c>
      <c r="M109" s="3" t="str">
        <f t="shared" si="22"/>
        <v/>
      </c>
      <c r="N109" s="3"/>
      <c r="AA109" s="3">
        <f t="shared" si="23"/>
        <v>3450000</v>
      </c>
      <c r="AB109" s="3">
        <f t="shared" si="31"/>
        <v>3450000.0000000019</v>
      </c>
      <c r="AC109" s="3">
        <f t="shared" si="32"/>
        <v>573060.8199999996</v>
      </c>
      <c r="AD109" s="3">
        <f t="shared" si="33"/>
        <v>2876939.1800000025</v>
      </c>
      <c r="AE109" s="1">
        <f t="shared" ca="1" si="34"/>
        <v>4</v>
      </c>
      <c r="AG109" s="3">
        <f t="shared" si="35"/>
        <v>1900</v>
      </c>
      <c r="AH109" s="1">
        <f t="shared" si="24"/>
        <v>315</v>
      </c>
      <c r="AI109" s="3">
        <f t="shared" si="25"/>
        <v>1900</v>
      </c>
      <c r="AL109" s="3">
        <f t="shared" si="26"/>
        <v>1900</v>
      </c>
      <c r="AM109" s="3">
        <f t="shared" si="27"/>
        <v>1900</v>
      </c>
      <c r="AQ109" s="4">
        <f t="shared" ca="1" si="36"/>
        <v>44457</v>
      </c>
      <c r="AR109" s="3">
        <f t="shared" ca="1" si="28"/>
        <v>534729.09999999974</v>
      </c>
      <c r="AS109" s="63">
        <f ca="1">IF($AQ109&lt;&gt;"", INDEX(Inputs!$B$3:$B$101, MATCH($AQ109,Inputs!$A$3:$A$101,1)), "")</f>
        <v>1E-3</v>
      </c>
      <c r="AT109" s="48">
        <f t="shared" ca="1" si="37"/>
        <v>1.4650112328767118</v>
      </c>
      <c r="AU109" s="3">
        <f t="shared" ca="1" si="29"/>
        <v>-1.4650112328767118</v>
      </c>
      <c r="AV109" s="3">
        <f t="shared" ca="1" si="30"/>
        <v>-1.4650112328767118</v>
      </c>
    </row>
    <row r="110" spans="1:48" x14ac:dyDescent="0.2">
      <c r="A110" s="4">
        <v>44670</v>
      </c>
      <c r="B110" s="1" t="s">
        <v>104</v>
      </c>
      <c r="F110" s="3">
        <v>9818.51</v>
      </c>
      <c r="M110" s="3" t="str">
        <f t="shared" si="22"/>
        <v/>
      </c>
      <c r="N110" s="3"/>
      <c r="AA110" s="3">
        <f t="shared" si="23"/>
        <v>3450000</v>
      </c>
      <c r="AB110" s="3">
        <f t="shared" si="31"/>
        <v>3450000.0000000023</v>
      </c>
      <c r="AC110" s="3">
        <f t="shared" si="32"/>
        <v>582879.32999999961</v>
      </c>
      <c r="AD110" s="3">
        <f t="shared" si="33"/>
        <v>2867120.6700000027</v>
      </c>
      <c r="AE110" s="1">
        <f t="shared" ca="1" si="34"/>
        <v>0</v>
      </c>
      <c r="AG110" s="3">
        <f t="shared" si="35"/>
        <v>-9818.51</v>
      </c>
      <c r="AH110" s="1">
        <f t="shared" si="24"/>
        <v>319</v>
      </c>
      <c r="AI110" s="3">
        <f t="shared" si="25"/>
        <v>-9818.51</v>
      </c>
      <c r="AL110" s="3">
        <f t="shared" si="26"/>
        <v>-9818.51</v>
      </c>
      <c r="AM110" s="3">
        <f t="shared" si="27"/>
        <v>-9818.51</v>
      </c>
      <c r="AQ110" s="4">
        <f t="shared" ca="1" si="36"/>
        <v>44458</v>
      </c>
      <c r="AR110" s="3">
        <f t="shared" ca="1" si="28"/>
        <v>534729.09999999974</v>
      </c>
      <c r="AS110" s="63">
        <f ca="1">IF($AQ110&lt;&gt;"", INDEX(Inputs!$B$3:$B$101, MATCH($AQ110,Inputs!$A$3:$A$101,1)), "")</f>
        <v>1E-3</v>
      </c>
      <c r="AT110" s="48">
        <f t="shared" ca="1" si="37"/>
        <v>1.4650112328767118</v>
      </c>
      <c r="AU110" s="3">
        <f t="shared" ca="1" si="29"/>
        <v>-1.4650112328767118</v>
      </c>
      <c r="AV110" s="3">
        <f t="shared" ca="1" si="30"/>
        <v>-1.4650112328767118</v>
      </c>
    </row>
    <row r="111" spans="1:48" x14ac:dyDescent="0.2">
      <c r="A111" s="4">
        <v>44670</v>
      </c>
      <c r="B111" s="1" t="s">
        <v>105</v>
      </c>
      <c r="F111" s="3">
        <v>2232.44</v>
      </c>
      <c r="M111" s="3" t="str">
        <f t="shared" si="22"/>
        <v/>
      </c>
      <c r="N111" s="3"/>
      <c r="P111" s="3"/>
      <c r="AA111" s="3">
        <f t="shared" si="23"/>
        <v>3450000</v>
      </c>
      <c r="AB111" s="3">
        <f t="shared" si="31"/>
        <v>3450000.0000000023</v>
      </c>
      <c r="AC111" s="3">
        <f t="shared" si="32"/>
        <v>585111.76999999955</v>
      </c>
      <c r="AD111" s="3">
        <f t="shared" si="33"/>
        <v>2864888.2300000028</v>
      </c>
      <c r="AE111" s="1">
        <f t="shared" ca="1" si="34"/>
        <v>3</v>
      </c>
      <c r="AG111" s="3">
        <f t="shared" si="35"/>
        <v>-2232.44</v>
      </c>
      <c r="AH111" s="1">
        <f t="shared" si="24"/>
        <v>319</v>
      </c>
      <c r="AI111" s="3">
        <f t="shared" si="25"/>
        <v>-2232.44</v>
      </c>
      <c r="AL111" s="3">
        <f t="shared" si="26"/>
        <v>-2232.44</v>
      </c>
      <c r="AM111" s="3">
        <f t="shared" si="27"/>
        <v>-2232.44</v>
      </c>
      <c r="AQ111" s="4">
        <f t="shared" ca="1" si="36"/>
        <v>44459</v>
      </c>
      <c r="AR111" s="3">
        <f t="shared" ca="1" si="28"/>
        <v>534729.09999999974</v>
      </c>
      <c r="AS111" s="63">
        <f ca="1">IF($AQ111&lt;&gt;"", INDEX(Inputs!$B$3:$B$101, MATCH($AQ111,Inputs!$A$3:$A$101,1)), "")</f>
        <v>1E-3</v>
      </c>
      <c r="AT111" s="48">
        <f t="shared" ca="1" si="37"/>
        <v>1.4650112328767118</v>
      </c>
      <c r="AU111" s="3">
        <f t="shared" ca="1" si="29"/>
        <v>-1.4650112328767118</v>
      </c>
      <c r="AV111" s="3">
        <f t="shared" ca="1" si="30"/>
        <v>-1.4650112328767118</v>
      </c>
    </row>
    <row r="112" spans="1:48" x14ac:dyDescent="0.2">
      <c r="A112" s="4">
        <v>44673</v>
      </c>
      <c r="B112" s="1" t="s">
        <v>57</v>
      </c>
      <c r="I112" s="3">
        <v>1900</v>
      </c>
      <c r="M112" s="3" t="str">
        <f t="shared" si="22"/>
        <v/>
      </c>
      <c r="N112" s="3"/>
      <c r="AA112" s="3">
        <f t="shared" si="23"/>
        <v>3450000</v>
      </c>
      <c r="AB112" s="3">
        <f t="shared" si="31"/>
        <v>3450000.0000000023</v>
      </c>
      <c r="AC112" s="3">
        <f t="shared" si="32"/>
        <v>585111.76999999955</v>
      </c>
      <c r="AD112" s="3">
        <f t="shared" si="33"/>
        <v>2864888.2300000028</v>
      </c>
      <c r="AE112" s="1">
        <f t="shared" ca="1" si="34"/>
        <v>7</v>
      </c>
      <c r="AG112" s="3">
        <f t="shared" si="35"/>
        <v>1900</v>
      </c>
      <c r="AH112" s="1">
        <f t="shared" si="24"/>
        <v>322</v>
      </c>
      <c r="AI112" s="3">
        <f t="shared" si="25"/>
        <v>1900</v>
      </c>
      <c r="AL112" s="3">
        <f t="shared" si="26"/>
        <v>1900</v>
      </c>
      <c r="AM112" s="3">
        <f t="shared" si="27"/>
        <v>1900</v>
      </c>
      <c r="AQ112" s="4">
        <f t="shared" ca="1" si="36"/>
        <v>44460</v>
      </c>
      <c r="AR112" s="3">
        <f t="shared" ca="1" si="28"/>
        <v>534729.09999999974</v>
      </c>
      <c r="AS112" s="63">
        <f ca="1">IF($AQ112&lt;&gt;"", INDEX(Inputs!$B$3:$B$101, MATCH($AQ112,Inputs!$A$3:$A$101,1)), "")</f>
        <v>1E-3</v>
      </c>
      <c r="AT112" s="48">
        <f t="shared" ca="1" si="37"/>
        <v>1.4650112328767118</v>
      </c>
      <c r="AU112" s="3">
        <f t="shared" ca="1" si="29"/>
        <v>-1.4650112328767118</v>
      </c>
      <c r="AV112" s="3">
        <f t="shared" ca="1" si="30"/>
        <v>-1.4650112328767118</v>
      </c>
    </row>
    <row r="113" spans="1:48" x14ac:dyDescent="0.2">
      <c r="A113" s="4">
        <v>44680</v>
      </c>
      <c r="B113" s="1" t="s">
        <v>57</v>
      </c>
      <c r="I113" s="3">
        <v>1900</v>
      </c>
      <c r="M113" s="3" t="str">
        <f t="shared" si="22"/>
        <v/>
      </c>
      <c r="N113" s="3"/>
      <c r="AA113" s="3">
        <f t="shared" si="23"/>
        <v>3450000</v>
      </c>
      <c r="AB113" s="3">
        <f t="shared" si="31"/>
        <v>3450000.0000000023</v>
      </c>
      <c r="AC113" s="3">
        <f t="shared" si="32"/>
        <v>585111.76999999955</v>
      </c>
      <c r="AD113" s="3">
        <f t="shared" si="33"/>
        <v>2864888.2300000028</v>
      </c>
      <c r="AE113" s="1">
        <f t="shared" ca="1" si="34"/>
        <v>0</v>
      </c>
      <c r="AG113" s="3">
        <f t="shared" si="35"/>
        <v>1900</v>
      </c>
      <c r="AH113" s="1">
        <f t="shared" si="24"/>
        <v>329</v>
      </c>
      <c r="AI113" s="3">
        <f t="shared" si="25"/>
        <v>1900</v>
      </c>
      <c r="AL113" s="3">
        <f t="shared" si="26"/>
        <v>1900</v>
      </c>
      <c r="AM113" s="3">
        <f t="shared" si="27"/>
        <v>1900</v>
      </c>
      <c r="AQ113" s="4">
        <f t="shared" ca="1" si="36"/>
        <v>44461</v>
      </c>
      <c r="AR113" s="3">
        <f t="shared" ca="1" si="28"/>
        <v>534729.09999999974</v>
      </c>
      <c r="AS113" s="63">
        <f ca="1">IF($AQ113&lt;&gt;"", INDEX(Inputs!$B$3:$B$101, MATCH($AQ113,Inputs!$A$3:$A$101,1)), "")</f>
        <v>1E-3</v>
      </c>
      <c r="AT113" s="48">
        <f t="shared" ca="1" si="37"/>
        <v>1.4650112328767118</v>
      </c>
      <c r="AU113" s="3">
        <f t="shared" ca="1" si="29"/>
        <v>-1.4650112328767118</v>
      </c>
      <c r="AV113" s="3">
        <f t="shared" ca="1" si="30"/>
        <v>-1.4650112328767118</v>
      </c>
    </row>
    <row r="114" spans="1:48" x14ac:dyDescent="0.2">
      <c r="A114" s="4">
        <v>44680</v>
      </c>
      <c r="B114" s="1" t="s">
        <v>50</v>
      </c>
      <c r="H114" s="3">
        <v>3124</v>
      </c>
      <c r="M114" s="3" t="str">
        <f t="shared" si="22"/>
        <v/>
      </c>
      <c r="N114" s="3"/>
      <c r="AA114" s="3">
        <f t="shared" si="23"/>
        <v>3450000</v>
      </c>
      <c r="AB114" s="3">
        <f t="shared" si="31"/>
        <v>3450000.0000000023</v>
      </c>
      <c r="AC114" s="3">
        <f t="shared" si="32"/>
        <v>585111.76999999955</v>
      </c>
      <c r="AD114" s="3">
        <f t="shared" si="33"/>
        <v>2864888.2300000028</v>
      </c>
      <c r="AE114" s="1">
        <f t="shared" ca="1" si="34"/>
        <v>0</v>
      </c>
      <c r="AG114" s="3">
        <f t="shared" si="35"/>
        <v>-3124</v>
      </c>
      <c r="AH114" s="1">
        <f t="shared" si="24"/>
        <v>329</v>
      </c>
      <c r="AI114" s="3">
        <f t="shared" si="25"/>
        <v>-3124</v>
      </c>
      <c r="AL114" s="3">
        <f t="shared" si="26"/>
        <v>-3124</v>
      </c>
      <c r="AM114" s="3">
        <f t="shared" si="27"/>
        <v>-3124</v>
      </c>
      <c r="AQ114" s="4">
        <f t="shared" ca="1" si="36"/>
        <v>44462</v>
      </c>
      <c r="AR114" s="3">
        <f t="shared" ca="1" si="28"/>
        <v>534729.09999999974</v>
      </c>
      <c r="AS114" s="63">
        <f ca="1">IF($AQ114&lt;&gt;"", INDEX(Inputs!$B$3:$B$101, MATCH($AQ114,Inputs!$A$3:$A$101,1)), "")</f>
        <v>1E-3</v>
      </c>
      <c r="AT114" s="48">
        <f t="shared" ca="1" si="37"/>
        <v>1.4650112328767118</v>
      </c>
      <c r="AU114" s="3">
        <f t="shared" ca="1" si="29"/>
        <v>-1.4650112328767118</v>
      </c>
      <c r="AV114" s="3">
        <f t="shared" ca="1" si="30"/>
        <v>-1.4650112328767118</v>
      </c>
    </row>
    <row r="115" spans="1:48" x14ac:dyDescent="0.2">
      <c r="A115" s="4">
        <v>44680</v>
      </c>
      <c r="B115" s="1" t="s">
        <v>103</v>
      </c>
      <c r="G115" s="3">
        <v>3943.15</v>
      </c>
      <c r="M115" s="3" t="str">
        <f t="shared" si="22"/>
        <v/>
      </c>
      <c r="N115" s="3"/>
      <c r="AA115" s="3">
        <f t="shared" si="23"/>
        <v>3450000</v>
      </c>
      <c r="AB115" s="3">
        <f t="shared" si="31"/>
        <v>3450000.0000000023</v>
      </c>
      <c r="AC115" s="3">
        <f t="shared" si="32"/>
        <v>581168.61999999953</v>
      </c>
      <c r="AD115" s="3">
        <f t="shared" si="33"/>
        <v>2868831.3800000027</v>
      </c>
      <c r="AE115" s="1">
        <f t="shared" ca="1" si="34"/>
        <v>0</v>
      </c>
      <c r="AG115" s="3">
        <f t="shared" si="35"/>
        <v>0</v>
      </c>
      <c r="AH115" s="1">
        <f t="shared" si="24"/>
        <v>329</v>
      </c>
      <c r="AI115" s="3">
        <f t="shared" si="25"/>
        <v>0</v>
      </c>
      <c r="AL115" s="3">
        <f t="shared" si="26"/>
        <v>0</v>
      </c>
      <c r="AM115" s="3">
        <f t="shared" si="27"/>
        <v>0</v>
      </c>
      <c r="AQ115" s="4">
        <f t="shared" ca="1" si="36"/>
        <v>44463</v>
      </c>
      <c r="AR115" s="3">
        <f t="shared" ca="1" si="28"/>
        <v>534729.09999999974</v>
      </c>
      <c r="AS115" s="63">
        <f ca="1">IF($AQ115&lt;&gt;"", INDEX(Inputs!$B$3:$B$101, MATCH($AQ115,Inputs!$A$3:$A$101,1)), "")</f>
        <v>1E-3</v>
      </c>
      <c r="AT115" s="48">
        <f t="shared" ca="1" si="37"/>
        <v>1.4650112328767118</v>
      </c>
      <c r="AU115" s="3">
        <f t="shared" ca="1" si="29"/>
        <v>1836.8649887671231</v>
      </c>
      <c r="AV115" s="3">
        <f t="shared" ca="1" si="30"/>
        <v>1836.8649887671231</v>
      </c>
    </row>
    <row r="116" spans="1:48" x14ac:dyDescent="0.2">
      <c r="A116" s="4">
        <v>44680</v>
      </c>
      <c r="B116" s="1" t="s">
        <v>106</v>
      </c>
      <c r="G116" s="3">
        <v>523.21</v>
      </c>
      <c r="M116" s="3" t="str">
        <f t="shared" si="22"/>
        <v/>
      </c>
      <c r="N116" s="3"/>
      <c r="P116" s="3"/>
      <c r="AA116" s="3">
        <f t="shared" si="23"/>
        <v>3450000</v>
      </c>
      <c r="AB116" s="3">
        <f t="shared" si="31"/>
        <v>3450000.0000000023</v>
      </c>
      <c r="AC116" s="3">
        <f t="shared" si="32"/>
        <v>580645.40999999957</v>
      </c>
      <c r="AD116" s="3">
        <f t="shared" si="33"/>
        <v>2869354.5900000026</v>
      </c>
      <c r="AE116" s="1">
        <f t="shared" ca="1" si="34"/>
        <v>7</v>
      </c>
      <c r="AG116" s="3">
        <f t="shared" si="35"/>
        <v>0</v>
      </c>
      <c r="AH116" s="1">
        <f t="shared" si="24"/>
        <v>329</v>
      </c>
      <c r="AI116" s="3">
        <f t="shared" si="25"/>
        <v>0</v>
      </c>
      <c r="AL116" s="3">
        <f t="shared" si="26"/>
        <v>0</v>
      </c>
      <c r="AM116" s="3">
        <f t="shared" si="27"/>
        <v>0</v>
      </c>
      <c r="AQ116" s="4">
        <f t="shared" ca="1" si="36"/>
        <v>44464</v>
      </c>
      <c r="AR116" s="3">
        <f t="shared" ca="1" si="28"/>
        <v>534729.09999999974</v>
      </c>
      <c r="AS116" s="63">
        <f ca="1">IF($AQ116&lt;&gt;"", INDEX(Inputs!$B$3:$B$101, MATCH($AQ116,Inputs!$A$3:$A$101,1)), "")</f>
        <v>1E-3</v>
      </c>
      <c r="AT116" s="48">
        <f t="shared" ca="1" si="37"/>
        <v>1.4650112328767118</v>
      </c>
      <c r="AU116" s="3">
        <f t="shared" ca="1" si="29"/>
        <v>-1.4650112328767118</v>
      </c>
      <c r="AV116" s="3">
        <f t="shared" ca="1" si="30"/>
        <v>-1.4650112328767118</v>
      </c>
    </row>
    <row r="117" spans="1:48" x14ac:dyDescent="0.2">
      <c r="A117" s="4">
        <v>44687</v>
      </c>
      <c r="B117" s="1" t="s">
        <v>57</v>
      </c>
      <c r="I117" s="3">
        <v>1900</v>
      </c>
      <c r="M117" s="3" t="str">
        <f t="shared" si="22"/>
        <v/>
      </c>
      <c r="N117" s="3"/>
      <c r="AA117" s="3">
        <f t="shared" si="23"/>
        <v>3450000</v>
      </c>
      <c r="AB117" s="3">
        <f t="shared" si="31"/>
        <v>3450000.0000000023</v>
      </c>
      <c r="AC117" s="3">
        <f t="shared" si="32"/>
        <v>580645.40999999957</v>
      </c>
      <c r="AD117" s="3">
        <f t="shared" si="33"/>
        <v>2869354.5900000026</v>
      </c>
      <c r="AE117" s="1">
        <f t="shared" ca="1" si="34"/>
        <v>7</v>
      </c>
      <c r="AG117" s="3">
        <f t="shared" si="35"/>
        <v>1900</v>
      </c>
      <c r="AH117" s="1">
        <f t="shared" si="24"/>
        <v>336</v>
      </c>
      <c r="AI117" s="3">
        <f t="shared" si="25"/>
        <v>1900</v>
      </c>
      <c r="AL117" s="3">
        <f t="shared" si="26"/>
        <v>1900</v>
      </c>
      <c r="AM117" s="3">
        <f t="shared" si="27"/>
        <v>1900</v>
      </c>
      <c r="AQ117" s="4">
        <f t="shared" ca="1" si="36"/>
        <v>44465</v>
      </c>
      <c r="AR117" s="3">
        <f t="shared" ca="1" si="28"/>
        <v>534729.09999999974</v>
      </c>
      <c r="AS117" s="63">
        <f ca="1">IF($AQ117&lt;&gt;"", INDEX(Inputs!$B$3:$B$101, MATCH($AQ117,Inputs!$A$3:$A$101,1)), "")</f>
        <v>1E-3</v>
      </c>
      <c r="AT117" s="48">
        <f t="shared" ca="1" si="37"/>
        <v>1.4650112328767118</v>
      </c>
      <c r="AU117" s="3">
        <f t="shared" ca="1" si="29"/>
        <v>-1.4650112328767118</v>
      </c>
      <c r="AV117" s="3">
        <f t="shared" ca="1" si="30"/>
        <v>-1.4650112328767118</v>
      </c>
    </row>
    <row r="118" spans="1:48" x14ac:dyDescent="0.2">
      <c r="A118" s="4">
        <v>44694</v>
      </c>
      <c r="B118" s="1" t="s">
        <v>57</v>
      </c>
      <c r="I118" s="3">
        <v>1900</v>
      </c>
      <c r="M118" s="3" t="str">
        <f t="shared" si="22"/>
        <v/>
      </c>
      <c r="N118" s="3"/>
      <c r="AA118" s="3">
        <f t="shared" si="23"/>
        <v>3450000</v>
      </c>
      <c r="AB118" s="3">
        <f t="shared" si="31"/>
        <v>3450000.0000000023</v>
      </c>
      <c r="AC118" s="3">
        <f t="shared" si="32"/>
        <v>580645.40999999957</v>
      </c>
      <c r="AD118" s="3">
        <f t="shared" si="33"/>
        <v>2869354.5900000026</v>
      </c>
      <c r="AE118" s="1">
        <f t="shared" ca="1" si="34"/>
        <v>3</v>
      </c>
      <c r="AG118" s="3">
        <f t="shared" si="35"/>
        <v>1900</v>
      </c>
      <c r="AH118" s="1">
        <f t="shared" si="24"/>
        <v>343</v>
      </c>
      <c r="AI118" s="3">
        <f t="shared" si="25"/>
        <v>1900</v>
      </c>
      <c r="AL118" s="3">
        <f t="shared" si="26"/>
        <v>1900</v>
      </c>
      <c r="AM118" s="3">
        <f t="shared" si="27"/>
        <v>1900</v>
      </c>
      <c r="AQ118" s="4">
        <f t="shared" ca="1" si="36"/>
        <v>44466</v>
      </c>
      <c r="AR118" s="3">
        <f t="shared" ca="1" si="28"/>
        <v>534729.09999999974</v>
      </c>
      <c r="AS118" s="63">
        <f ca="1">IF($AQ118&lt;&gt;"", INDEX(Inputs!$B$3:$B$101, MATCH($AQ118,Inputs!$A$3:$A$101,1)), "")</f>
        <v>1E-3</v>
      </c>
      <c r="AT118" s="48">
        <f t="shared" ca="1" si="37"/>
        <v>1.4650112328767118</v>
      </c>
      <c r="AU118" s="3">
        <f t="shared" ca="1" si="29"/>
        <v>-1.4650112328767118</v>
      </c>
      <c r="AV118" s="3">
        <f t="shared" ca="1" si="30"/>
        <v>-1.4650112328767118</v>
      </c>
    </row>
    <row r="119" spans="1:48" x14ac:dyDescent="0.2">
      <c r="A119" s="4">
        <v>44697</v>
      </c>
      <c r="B119" s="1" t="s">
        <v>104</v>
      </c>
      <c r="F119" s="3">
        <v>9818.51</v>
      </c>
      <c r="M119" s="3" t="str">
        <f t="shared" si="22"/>
        <v/>
      </c>
      <c r="N119" s="3"/>
      <c r="AA119" s="3">
        <f t="shared" si="23"/>
        <v>3450000</v>
      </c>
      <c r="AB119" s="3">
        <f t="shared" si="31"/>
        <v>3450000.0000000023</v>
      </c>
      <c r="AC119" s="3">
        <f t="shared" si="32"/>
        <v>590463.91999999958</v>
      </c>
      <c r="AD119" s="3">
        <f t="shared" si="33"/>
        <v>2859536.0800000029</v>
      </c>
      <c r="AE119" s="1">
        <f t="shared" ca="1" si="34"/>
        <v>0</v>
      </c>
      <c r="AG119" s="3">
        <f t="shared" si="35"/>
        <v>-9818.51</v>
      </c>
      <c r="AH119" s="1">
        <f t="shared" si="24"/>
        <v>346</v>
      </c>
      <c r="AI119" s="3">
        <f t="shared" si="25"/>
        <v>-9818.51</v>
      </c>
      <c r="AL119" s="3">
        <f t="shared" si="26"/>
        <v>-9818.51</v>
      </c>
      <c r="AM119" s="3">
        <f t="shared" si="27"/>
        <v>-9818.51</v>
      </c>
      <c r="AQ119" s="4">
        <f t="shared" ca="1" si="36"/>
        <v>44467</v>
      </c>
      <c r="AR119" s="3">
        <f t="shared" ca="1" si="28"/>
        <v>534729.09999999974</v>
      </c>
      <c r="AS119" s="63">
        <f ca="1">IF($AQ119&lt;&gt;"", INDEX(Inputs!$B$3:$B$101, MATCH($AQ119,Inputs!$A$3:$A$101,1)), "")</f>
        <v>1E-3</v>
      </c>
      <c r="AT119" s="48">
        <f t="shared" ca="1" si="37"/>
        <v>1.4650112328767118</v>
      </c>
      <c r="AU119" s="3">
        <f t="shared" ca="1" si="29"/>
        <v>-1.4650112328767118</v>
      </c>
      <c r="AV119" s="3">
        <f t="shared" ca="1" si="30"/>
        <v>-1.4650112328767118</v>
      </c>
    </row>
    <row r="120" spans="1:48" x14ac:dyDescent="0.2">
      <c r="A120" s="4">
        <v>44697</v>
      </c>
      <c r="B120" s="1" t="s">
        <v>105</v>
      </c>
      <c r="F120" s="3">
        <v>2232.44</v>
      </c>
      <c r="M120" s="3" t="str">
        <f t="shared" si="22"/>
        <v/>
      </c>
      <c r="N120" s="3"/>
      <c r="P120" s="3"/>
      <c r="AA120" s="3">
        <f t="shared" si="23"/>
        <v>3450000</v>
      </c>
      <c r="AB120" s="3">
        <f t="shared" si="31"/>
        <v>3450000.0000000023</v>
      </c>
      <c r="AC120" s="3">
        <f t="shared" si="32"/>
        <v>592696.35999999952</v>
      </c>
      <c r="AD120" s="3">
        <f t="shared" si="33"/>
        <v>2857303.6400000029</v>
      </c>
      <c r="AE120" s="1">
        <f t="shared" ca="1" si="34"/>
        <v>4</v>
      </c>
      <c r="AG120" s="3">
        <f t="shared" si="35"/>
        <v>-2232.44</v>
      </c>
      <c r="AH120" s="1">
        <f t="shared" si="24"/>
        <v>346</v>
      </c>
      <c r="AI120" s="3">
        <f t="shared" si="25"/>
        <v>-2232.44</v>
      </c>
      <c r="AL120" s="3">
        <f t="shared" si="26"/>
        <v>-2232.44</v>
      </c>
      <c r="AM120" s="3">
        <f t="shared" si="27"/>
        <v>-2232.44</v>
      </c>
      <c r="AQ120" s="4">
        <f t="shared" ca="1" si="36"/>
        <v>44468</v>
      </c>
      <c r="AR120" s="3">
        <f t="shared" ca="1" si="28"/>
        <v>534729.09999999974</v>
      </c>
      <c r="AS120" s="63">
        <f ca="1">IF($AQ120&lt;&gt;"", INDEX(Inputs!$B$3:$B$101, MATCH($AQ120,Inputs!$A$3:$A$101,1)), "")</f>
        <v>1E-3</v>
      </c>
      <c r="AT120" s="48">
        <f t="shared" ca="1" si="37"/>
        <v>1.4650112328767118</v>
      </c>
      <c r="AU120" s="3">
        <f t="shared" ca="1" si="29"/>
        <v>-1.4650112328767118</v>
      </c>
      <c r="AV120" s="3">
        <f t="shared" ca="1" si="30"/>
        <v>-1.4650112328767118</v>
      </c>
    </row>
    <row r="121" spans="1:48" x14ac:dyDescent="0.2">
      <c r="A121" s="4">
        <v>44701</v>
      </c>
      <c r="B121" s="1" t="s">
        <v>57</v>
      </c>
      <c r="I121" s="3">
        <v>1900</v>
      </c>
      <c r="M121" s="3" t="str">
        <f t="shared" si="22"/>
        <v/>
      </c>
      <c r="N121" s="3"/>
      <c r="AA121" s="3">
        <f t="shared" si="23"/>
        <v>3450000</v>
      </c>
      <c r="AB121" s="3">
        <f t="shared" si="31"/>
        <v>3450000.0000000023</v>
      </c>
      <c r="AC121" s="3">
        <f t="shared" si="32"/>
        <v>592696.35999999952</v>
      </c>
      <c r="AD121" s="3">
        <f t="shared" si="33"/>
        <v>2857303.6400000029</v>
      </c>
      <c r="AE121" s="1">
        <f t="shared" ca="1" si="34"/>
        <v>7</v>
      </c>
      <c r="AG121" s="3">
        <f t="shared" si="35"/>
        <v>1900</v>
      </c>
      <c r="AH121" s="1">
        <f t="shared" si="24"/>
        <v>350</v>
      </c>
      <c r="AI121" s="3">
        <f t="shared" si="25"/>
        <v>1900</v>
      </c>
      <c r="AL121" s="3">
        <f t="shared" si="26"/>
        <v>1900</v>
      </c>
      <c r="AM121" s="3">
        <f t="shared" si="27"/>
        <v>1900</v>
      </c>
      <c r="AQ121" s="4">
        <f t="shared" ca="1" si="36"/>
        <v>44469</v>
      </c>
      <c r="AR121" s="3">
        <f t="shared" ca="1" si="28"/>
        <v>530037.25999999978</v>
      </c>
      <c r="AS121" s="63">
        <f ca="1">IF($AQ121&lt;&gt;"", INDEX(Inputs!$B$3:$B$101, MATCH($AQ121,Inputs!$A$3:$A$101,1)), "")</f>
        <v>1E-3</v>
      </c>
      <c r="AT121" s="48">
        <f t="shared" ca="1" si="37"/>
        <v>1.4521568767123283</v>
      </c>
      <c r="AU121" s="3">
        <f t="shared" ca="1" si="29"/>
        <v>-1.4521568767123283</v>
      </c>
      <c r="AV121" s="3">
        <f t="shared" ca="1" si="30"/>
        <v>-1.4521568767123283</v>
      </c>
    </row>
    <row r="122" spans="1:48" x14ac:dyDescent="0.2">
      <c r="A122" s="4">
        <v>44708</v>
      </c>
      <c r="B122" s="1" t="s">
        <v>57</v>
      </c>
      <c r="I122" s="3">
        <v>1900</v>
      </c>
      <c r="M122" s="3" t="str">
        <f t="shared" si="22"/>
        <v/>
      </c>
      <c r="N122" s="3"/>
      <c r="AA122" s="3">
        <f t="shared" si="23"/>
        <v>3450000</v>
      </c>
      <c r="AB122" s="3">
        <f t="shared" si="31"/>
        <v>3450000.0000000023</v>
      </c>
      <c r="AC122" s="3">
        <f t="shared" si="32"/>
        <v>592696.35999999952</v>
      </c>
      <c r="AD122" s="3">
        <f t="shared" si="33"/>
        <v>2857303.6400000029</v>
      </c>
      <c r="AE122" s="1">
        <f t="shared" ca="1" si="34"/>
        <v>4</v>
      </c>
      <c r="AG122" s="3">
        <f t="shared" si="35"/>
        <v>1900</v>
      </c>
      <c r="AH122" s="1">
        <f t="shared" si="24"/>
        <v>357</v>
      </c>
      <c r="AI122" s="3">
        <f t="shared" si="25"/>
        <v>1900</v>
      </c>
      <c r="AL122" s="3">
        <f t="shared" si="26"/>
        <v>1900</v>
      </c>
      <c r="AM122" s="3">
        <f t="shared" si="27"/>
        <v>1900</v>
      </c>
      <c r="AQ122" s="4">
        <f t="shared" ca="1" si="36"/>
        <v>44470</v>
      </c>
      <c r="AR122" s="3">
        <f t="shared" ca="1" si="28"/>
        <v>530037.25999999978</v>
      </c>
      <c r="AS122" s="63">
        <f ca="1">IF($AQ122&lt;&gt;"", INDEX(Inputs!$B$3:$B$101, MATCH($AQ122,Inputs!$A$3:$A$101,1)), "")</f>
        <v>1E-3</v>
      </c>
      <c r="AT122" s="48">
        <f t="shared" ca="1" si="37"/>
        <v>1.4521568767123283</v>
      </c>
      <c r="AU122" s="3">
        <f t="shared" ca="1" si="29"/>
        <v>1898.5478431232877</v>
      </c>
      <c r="AV122" s="3">
        <f t="shared" ca="1" si="30"/>
        <v>1898.5478431232877</v>
      </c>
    </row>
    <row r="123" spans="1:48" x14ac:dyDescent="0.2">
      <c r="A123" s="4">
        <v>44712</v>
      </c>
      <c r="B123" s="1" t="s">
        <v>103</v>
      </c>
      <c r="G123" s="3">
        <v>4338.13</v>
      </c>
      <c r="M123" s="3" t="str">
        <f t="shared" si="22"/>
        <v/>
      </c>
      <c r="N123" s="3"/>
      <c r="AA123" s="3">
        <f t="shared" si="23"/>
        <v>3450000</v>
      </c>
      <c r="AB123" s="3">
        <f t="shared" si="31"/>
        <v>3450000.0000000023</v>
      </c>
      <c r="AC123" s="3">
        <f t="shared" si="32"/>
        <v>588358.22999999952</v>
      </c>
      <c r="AD123" s="3">
        <f t="shared" si="33"/>
        <v>2861641.7700000028</v>
      </c>
      <c r="AE123" s="1">
        <f t="shared" ca="1" si="34"/>
        <v>0</v>
      </c>
      <c r="AG123" s="3">
        <f t="shared" si="35"/>
        <v>0</v>
      </c>
      <c r="AH123" s="1">
        <f t="shared" si="24"/>
        <v>361</v>
      </c>
      <c r="AI123" s="3">
        <f t="shared" si="25"/>
        <v>0</v>
      </c>
      <c r="AL123" s="3">
        <f t="shared" si="26"/>
        <v>0</v>
      </c>
      <c r="AM123" s="3">
        <f t="shared" si="27"/>
        <v>0</v>
      </c>
      <c r="AQ123" s="4">
        <f t="shared" ca="1" si="36"/>
        <v>44471</v>
      </c>
      <c r="AR123" s="3">
        <f t="shared" ca="1" si="28"/>
        <v>530037.25999999978</v>
      </c>
      <c r="AS123" s="63">
        <f ca="1">IF($AQ123&lt;&gt;"", INDEX(Inputs!$B$3:$B$101, MATCH($AQ123,Inputs!$A$3:$A$101,1)), "")</f>
        <v>1E-3</v>
      </c>
      <c r="AT123" s="48">
        <f t="shared" ca="1" si="37"/>
        <v>1.4521568767123283</v>
      </c>
      <c r="AU123" s="3">
        <f t="shared" ca="1" si="29"/>
        <v>-1.4521568767123283</v>
      </c>
      <c r="AV123" s="3">
        <f t="shared" ca="1" si="30"/>
        <v>-1.4521568767123283</v>
      </c>
    </row>
    <row r="124" spans="1:48" x14ac:dyDescent="0.2">
      <c r="A124" s="4">
        <v>44712</v>
      </c>
      <c r="B124" s="1" t="s">
        <v>106</v>
      </c>
      <c r="G124" s="3">
        <v>1068.97</v>
      </c>
      <c r="M124" s="3" t="str">
        <f t="shared" si="22"/>
        <v/>
      </c>
      <c r="N124" s="3"/>
      <c r="P124" s="3"/>
      <c r="AA124" s="3">
        <f t="shared" si="23"/>
        <v>3450000</v>
      </c>
      <c r="AB124" s="3">
        <f t="shared" si="31"/>
        <v>3450000.0000000028</v>
      </c>
      <c r="AC124" s="3">
        <f t="shared" si="32"/>
        <v>587289.25999999954</v>
      </c>
      <c r="AD124" s="3">
        <f t="shared" si="33"/>
        <v>2862710.740000003</v>
      </c>
      <c r="AE124" s="1">
        <f t="shared" ca="1" si="34"/>
        <v>3</v>
      </c>
      <c r="AG124" s="3">
        <f t="shared" si="35"/>
        <v>0</v>
      </c>
      <c r="AH124" s="1">
        <f t="shared" si="24"/>
        <v>361</v>
      </c>
      <c r="AI124" s="3">
        <f t="shared" si="25"/>
        <v>0</v>
      </c>
      <c r="AL124" s="3">
        <f t="shared" si="26"/>
        <v>0</v>
      </c>
      <c r="AM124" s="3">
        <f t="shared" si="27"/>
        <v>0</v>
      </c>
      <c r="AQ124" s="4">
        <f t="shared" ca="1" si="36"/>
        <v>44472</v>
      </c>
      <c r="AR124" s="3">
        <f t="shared" ca="1" si="28"/>
        <v>530037.25999999978</v>
      </c>
      <c r="AS124" s="63">
        <f ca="1">IF($AQ124&lt;&gt;"", INDEX(Inputs!$B$3:$B$101, MATCH($AQ124,Inputs!$A$3:$A$101,1)), "")</f>
        <v>1E-3</v>
      </c>
      <c r="AT124" s="48">
        <f t="shared" ca="1" si="37"/>
        <v>1.4521568767123283</v>
      </c>
      <c r="AU124" s="3">
        <f t="shared" ca="1" si="29"/>
        <v>-1.4521568767123283</v>
      </c>
      <c r="AV124" s="3">
        <f t="shared" ca="1" si="30"/>
        <v>-1.4521568767123283</v>
      </c>
    </row>
    <row r="125" spans="1:48" x14ac:dyDescent="0.2">
      <c r="A125" s="4">
        <v>44715</v>
      </c>
      <c r="B125" s="1" t="s">
        <v>57</v>
      </c>
      <c r="I125" s="3">
        <v>1900</v>
      </c>
      <c r="M125" s="3" t="str">
        <f t="shared" si="22"/>
        <v/>
      </c>
      <c r="N125" s="3"/>
      <c r="AA125" s="3">
        <f t="shared" si="23"/>
        <v>3450000</v>
      </c>
      <c r="AB125" s="3">
        <f t="shared" si="31"/>
        <v>3450000.0000000028</v>
      </c>
      <c r="AC125" s="3">
        <f t="shared" si="32"/>
        <v>587289.25999999954</v>
      </c>
      <c r="AD125" s="3">
        <f t="shared" si="33"/>
        <v>2862710.740000003</v>
      </c>
      <c r="AE125" s="1">
        <f t="shared" ca="1" si="34"/>
        <v>7</v>
      </c>
      <c r="AG125" s="3">
        <f t="shared" si="35"/>
        <v>1900</v>
      </c>
      <c r="AH125" s="1">
        <f t="shared" si="24"/>
        <v>364</v>
      </c>
      <c r="AI125" s="3">
        <f t="shared" si="25"/>
        <v>1900</v>
      </c>
      <c r="AL125" s="3">
        <f t="shared" si="26"/>
        <v>1900</v>
      </c>
      <c r="AM125" s="3">
        <f t="shared" si="27"/>
        <v>1900</v>
      </c>
      <c r="AQ125" s="4">
        <f t="shared" ca="1" si="36"/>
        <v>44473</v>
      </c>
      <c r="AR125" s="3">
        <f t="shared" ca="1" si="28"/>
        <v>530037.25999999978</v>
      </c>
      <c r="AS125" s="63">
        <f ca="1">IF($AQ125&lt;&gt;"", INDEX(Inputs!$B$3:$B$101, MATCH($AQ125,Inputs!$A$3:$A$101,1)), "")</f>
        <v>1E-3</v>
      </c>
      <c r="AT125" s="48">
        <f t="shared" ca="1" si="37"/>
        <v>1.4521568767123283</v>
      </c>
      <c r="AU125" s="3">
        <f t="shared" ca="1" si="29"/>
        <v>-1.4521568767123283</v>
      </c>
      <c r="AV125" s="3">
        <f t="shared" ca="1" si="30"/>
        <v>-1.4521568767123283</v>
      </c>
    </row>
    <row r="126" spans="1:48" x14ac:dyDescent="0.2">
      <c r="A126" s="4">
        <v>44722</v>
      </c>
      <c r="B126" s="1" t="s">
        <v>57</v>
      </c>
      <c r="I126" s="3">
        <v>1900</v>
      </c>
      <c r="M126" s="3" t="str">
        <f t="shared" si="22"/>
        <v/>
      </c>
      <c r="N126" s="3"/>
      <c r="AA126" s="3">
        <f t="shared" si="23"/>
        <v>3450000</v>
      </c>
      <c r="AB126" s="3">
        <f t="shared" si="31"/>
        <v>3450000.0000000028</v>
      </c>
      <c r="AC126" s="3">
        <f t="shared" si="32"/>
        <v>587289.25999999954</v>
      </c>
      <c r="AD126" s="3">
        <f t="shared" si="33"/>
        <v>2862710.740000003</v>
      </c>
      <c r="AE126" s="1">
        <f t="shared" ca="1" si="34"/>
        <v>6</v>
      </c>
      <c r="AG126" s="3">
        <f t="shared" si="35"/>
        <v>1900</v>
      </c>
      <c r="AH126" s="1">
        <f t="shared" si="24"/>
        <v>371</v>
      </c>
      <c r="AI126" s="3">
        <f t="shared" si="25"/>
        <v>1900</v>
      </c>
      <c r="AL126" s="3">
        <f t="shared" si="26"/>
        <v>1900</v>
      </c>
      <c r="AM126" s="3">
        <f t="shared" si="27"/>
        <v>1900</v>
      </c>
      <c r="AQ126" s="4">
        <f t="shared" ca="1" si="36"/>
        <v>44474</v>
      </c>
      <c r="AR126" s="3">
        <f t="shared" ca="1" si="28"/>
        <v>530037.25999999978</v>
      </c>
      <c r="AS126" s="63">
        <f ca="1">IF($AQ126&lt;&gt;"", INDEX(Inputs!$B$3:$B$101, MATCH($AQ126,Inputs!$A$3:$A$101,1)), "")</f>
        <v>1E-3</v>
      </c>
      <c r="AT126" s="48">
        <f t="shared" ca="1" si="37"/>
        <v>1.4521568767123283</v>
      </c>
      <c r="AU126" s="3">
        <f t="shared" ca="1" si="29"/>
        <v>-1.4521568767123283</v>
      </c>
      <c r="AV126" s="3">
        <f t="shared" ca="1" si="30"/>
        <v>-1.4521568767123283</v>
      </c>
    </row>
    <row r="127" spans="1:48" x14ac:dyDescent="0.2">
      <c r="A127" s="4">
        <v>44728</v>
      </c>
      <c r="B127" s="1" t="s">
        <v>104</v>
      </c>
      <c r="F127" s="3">
        <v>9818.51</v>
      </c>
      <c r="M127" s="3" t="str">
        <f t="shared" si="22"/>
        <v/>
      </c>
      <c r="N127" s="3"/>
      <c r="AA127" s="3">
        <f t="shared" si="23"/>
        <v>3450000</v>
      </c>
      <c r="AB127" s="3">
        <f t="shared" si="31"/>
        <v>3450000.0000000028</v>
      </c>
      <c r="AC127" s="3">
        <f t="shared" si="32"/>
        <v>597107.76999999955</v>
      </c>
      <c r="AD127" s="3">
        <f t="shared" si="33"/>
        <v>2852892.2300000032</v>
      </c>
      <c r="AE127" s="1">
        <f t="shared" ca="1" si="34"/>
        <v>0</v>
      </c>
      <c r="AG127" s="3">
        <f t="shared" si="35"/>
        <v>-9818.51</v>
      </c>
      <c r="AH127" s="1">
        <f t="shared" si="24"/>
        <v>377</v>
      </c>
      <c r="AI127" s="3">
        <f t="shared" si="25"/>
        <v>-9818.51</v>
      </c>
      <c r="AL127" s="3">
        <f t="shared" si="26"/>
        <v>-9818.51</v>
      </c>
      <c r="AM127" s="3">
        <f t="shared" si="27"/>
        <v>-9818.51</v>
      </c>
      <c r="AQ127" s="4">
        <f t="shared" ca="1" si="36"/>
        <v>44475</v>
      </c>
      <c r="AR127" s="3">
        <f t="shared" ca="1" si="28"/>
        <v>530037.25999999978</v>
      </c>
      <c r="AS127" s="63">
        <f ca="1">IF($AQ127&lt;&gt;"", INDEX(Inputs!$B$3:$B$101, MATCH($AQ127,Inputs!$A$3:$A$101,1)), "")</f>
        <v>1E-3</v>
      </c>
      <c r="AT127" s="48">
        <f t="shared" ca="1" si="37"/>
        <v>1.4521568767123283</v>
      </c>
      <c r="AU127" s="3">
        <f t="shared" ca="1" si="29"/>
        <v>-1.4521568767123283</v>
      </c>
      <c r="AV127" s="3">
        <f t="shared" ca="1" si="30"/>
        <v>-1.4521568767123283</v>
      </c>
    </row>
    <row r="128" spans="1:48" x14ac:dyDescent="0.2">
      <c r="A128" s="4">
        <v>44728</v>
      </c>
      <c r="B128" s="1" t="s">
        <v>105</v>
      </c>
      <c r="F128" s="3">
        <v>2232.44</v>
      </c>
      <c r="M128" s="3" t="str">
        <f t="shared" si="22"/>
        <v/>
      </c>
      <c r="N128" s="3"/>
      <c r="P128" s="3"/>
      <c r="AA128" s="3">
        <f t="shared" si="23"/>
        <v>3450000</v>
      </c>
      <c r="AB128" s="3">
        <f t="shared" si="31"/>
        <v>3450000.0000000028</v>
      </c>
      <c r="AC128" s="3">
        <f t="shared" si="32"/>
        <v>599340.2099999995</v>
      </c>
      <c r="AD128" s="3">
        <f t="shared" si="33"/>
        <v>2850659.7900000033</v>
      </c>
      <c r="AE128" s="1">
        <f t="shared" ca="1" si="34"/>
        <v>1</v>
      </c>
      <c r="AG128" s="3">
        <f t="shared" si="35"/>
        <v>-2232.44</v>
      </c>
      <c r="AH128" s="1">
        <f t="shared" si="24"/>
        <v>377</v>
      </c>
      <c r="AI128" s="3">
        <f t="shared" si="25"/>
        <v>-2232.44</v>
      </c>
      <c r="AL128" s="3">
        <f t="shared" si="26"/>
        <v>-2232.44</v>
      </c>
      <c r="AM128" s="3">
        <f t="shared" si="27"/>
        <v>-2232.44</v>
      </c>
      <c r="AQ128" s="4">
        <f t="shared" ca="1" si="36"/>
        <v>44476</v>
      </c>
      <c r="AR128" s="3">
        <f t="shared" ca="1" si="28"/>
        <v>530037.25999999978</v>
      </c>
      <c r="AS128" s="63">
        <f ca="1">IF($AQ128&lt;&gt;"", INDEX(Inputs!$B$3:$B$101, MATCH($AQ128,Inputs!$A$3:$A$101,1)), "")</f>
        <v>1E-3</v>
      </c>
      <c r="AT128" s="48">
        <f t="shared" ca="1" si="37"/>
        <v>1.4521568767123283</v>
      </c>
      <c r="AU128" s="3">
        <f t="shared" ca="1" si="29"/>
        <v>-1.4521568767123283</v>
      </c>
      <c r="AV128" s="3">
        <f t="shared" ca="1" si="30"/>
        <v>-1.4521568767123283</v>
      </c>
    </row>
    <row r="129" spans="1:48" x14ac:dyDescent="0.2">
      <c r="A129" s="4">
        <v>44729</v>
      </c>
      <c r="B129" s="1" t="s">
        <v>57</v>
      </c>
      <c r="I129" s="3">
        <v>1900</v>
      </c>
      <c r="M129" s="3" t="str">
        <f t="shared" si="22"/>
        <v/>
      </c>
      <c r="N129" s="3"/>
      <c r="AA129" s="3">
        <f t="shared" si="23"/>
        <v>3450000</v>
      </c>
      <c r="AB129" s="3">
        <f t="shared" si="31"/>
        <v>3450000.0000000028</v>
      </c>
      <c r="AC129" s="3">
        <f t="shared" si="32"/>
        <v>599340.2099999995</v>
      </c>
      <c r="AD129" s="3">
        <f t="shared" si="33"/>
        <v>2850659.7900000033</v>
      </c>
      <c r="AE129" s="1">
        <f t="shared" ca="1" si="34"/>
        <v>7</v>
      </c>
      <c r="AG129" s="3">
        <f t="shared" si="35"/>
        <v>1900</v>
      </c>
      <c r="AH129" s="1">
        <f t="shared" si="24"/>
        <v>378</v>
      </c>
      <c r="AI129" s="3">
        <f t="shared" si="25"/>
        <v>1900</v>
      </c>
      <c r="AL129" s="3">
        <f t="shared" si="26"/>
        <v>1900</v>
      </c>
      <c r="AM129" s="3">
        <f t="shared" si="27"/>
        <v>1900</v>
      </c>
      <c r="AQ129" s="4">
        <f t="shared" ca="1" si="36"/>
        <v>44477</v>
      </c>
      <c r="AR129" s="3">
        <f t="shared" ca="1" si="28"/>
        <v>530037.25999999978</v>
      </c>
      <c r="AS129" s="63">
        <f ca="1">IF($AQ129&lt;&gt;"", INDEX(Inputs!$B$3:$B$101, MATCH($AQ129,Inputs!$A$3:$A$101,1)), "")</f>
        <v>1E-3</v>
      </c>
      <c r="AT129" s="48">
        <f t="shared" ca="1" si="37"/>
        <v>1.4521568767123283</v>
      </c>
      <c r="AU129" s="3">
        <f t="shared" ca="1" si="29"/>
        <v>1898.5478431232877</v>
      </c>
      <c r="AV129" s="3">
        <f t="shared" ca="1" si="30"/>
        <v>1898.5478431232877</v>
      </c>
    </row>
    <row r="130" spans="1:48" x14ac:dyDescent="0.2">
      <c r="A130" s="4">
        <v>44736</v>
      </c>
      <c r="B130" s="1" t="s">
        <v>57</v>
      </c>
      <c r="I130" s="3">
        <v>1900</v>
      </c>
      <c r="M130" s="3" t="str">
        <f t="shared" si="22"/>
        <v/>
      </c>
      <c r="N130" s="3"/>
      <c r="AA130" s="3">
        <f t="shared" si="23"/>
        <v>3450000</v>
      </c>
      <c r="AB130" s="3">
        <f t="shared" si="31"/>
        <v>3450000.0000000028</v>
      </c>
      <c r="AC130" s="3">
        <f t="shared" si="32"/>
        <v>599340.2099999995</v>
      </c>
      <c r="AD130" s="3">
        <f t="shared" si="33"/>
        <v>2850659.7900000033</v>
      </c>
      <c r="AE130" s="1">
        <f t="shared" ca="1" si="34"/>
        <v>6</v>
      </c>
      <c r="AG130" s="3">
        <f t="shared" si="35"/>
        <v>1900</v>
      </c>
      <c r="AH130" s="1">
        <f t="shared" si="24"/>
        <v>385</v>
      </c>
      <c r="AI130" s="3">
        <f t="shared" si="25"/>
        <v>1900</v>
      </c>
      <c r="AL130" s="3">
        <f t="shared" si="26"/>
        <v>1900</v>
      </c>
      <c r="AM130" s="3">
        <f t="shared" si="27"/>
        <v>1900</v>
      </c>
      <c r="AQ130" s="4">
        <f t="shared" ca="1" si="36"/>
        <v>44478</v>
      </c>
      <c r="AR130" s="3">
        <f t="shared" ca="1" si="28"/>
        <v>530037.25999999978</v>
      </c>
      <c r="AS130" s="63">
        <f ca="1">IF($AQ130&lt;&gt;"", INDEX(Inputs!$B$3:$B$101, MATCH($AQ130,Inputs!$A$3:$A$101,1)), "")</f>
        <v>1E-3</v>
      </c>
      <c r="AT130" s="48">
        <f t="shared" ca="1" si="37"/>
        <v>1.4521568767123283</v>
      </c>
      <c r="AU130" s="3">
        <f t="shared" ca="1" si="29"/>
        <v>-1.4521568767123283</v>
      </c>
      <c r="AV130" s="3">
        <f t="shared" ca="1" si="30"/>
        <v>-1.4521568767123283</v>
      </c>
    </row>
    <row r="131" spans="1:48" x14ac:dyDescent="0.2">
      <c r="A131" s="4">
        <v>44742</v>
      </c>
      <c r="B131" s="1" t="s">
        <v>103</v>
      </c>
      <c r="G131" s="3">
        <v>4057.66</v>
      </c>
      <c r="M131" s="3" t="str">
        <f t="shared" ref="M131:M194" si="38">IF($A131&lt;&gt;"", IF(ISNUMBER(SEARCH("Debt Cost (est.)",B131)), SUMIFS(AT:AT, AQ:AQ, "&gt;="&amp;DATE("20"&amp;RIGHT(LEFT(B131,4),2)-1,7,1), AQ:AQ, "&lt;="&amp;DATE("20"&amp;RIGHT(LEFT(B131,4),2),6,30)), ""), "")</f>
        <v/>
      </c>
      <c r="N131" s="3"/>
      <c r="AA131" s="3">
        <f t="shared" ref="AA131:AA194" si="39">IF($A131&lt;&gt;"", MIN(AB131,$P$3), "")</f>
        <v>3450000</v>
      </c>
      <c r="AB131" s="3">
        <f t="shared" si="31"/>
        <v>3450000.0000000028</v>
      </c>
      <c r="AC131" s="3">
        <f t="shared" si="32"/>
        <v>595282.54999999946</v>
      </c>
      <c r="AD131" s="3">
        <f t="shared" si="33"/>
        <v>2854717.4500000034</v>
      </c>
      <c r="AE131" s="1">
        <f t="shared" ca="1" si="34"/>
        <v>0</v>
      </c>
      <c r="AG131" s="3">
        <f t="shared" si="35"/>
        <v>0</v>
      </c>
      <c r="AH131" s="1">
        <f t="shared" ref="AH131:AH194" si="40">IF(A131&lt;&gt;"", A131-A$3, "")</f>
        <v>391</v>
      </c>
      <c r="AI131" s="3">
        <f t="shared" ref="AI131:AI194" si="41">IF(A131&lt;&gt;"", AG131*(1+$X$3)^-(AH131/365), "")</f>
        <v>0</v>
      </c>
      <c r="AL131" s="3">
        <f t="shared" ref="AL131:AL194" si="42">IF($A131&lt;&gt;"", AG131-IF(ISNUMBER(K131),K131*L131,0), "")</f>
        <v>0</v>
      </c>
      <c r="AM131" s="3">
        <f t="shared" ref="AM131:AM194" si="43">IF(A131&lt;&gt;"", AL131*(1+$X$6/CompoundingRate)^-(AH131/(365/CompoundingRate)), "")</f>
        <v>0</v>
      </c>
      <c r="AQ131" s="4">
        <f t="shared" ca="1" si="36"/>
        <v>44479</v>
      </c>
      <c r="AR131" s="3">
        <f t="shared" ref="AR131:AR194" ca="1" si="44">IF($AQ131&lt;&gt;"", INDEX($AC$3:$AC$1055, MATCH($AQ131,$A$3:$A$1055,1)), "")</f>
        <v>530037.25999999978</v>
      </c>
      <c r="AS131" s="63">
        <f ca="1">IF($AQ131&lt;&gt;"", INDEX(Inputs!$B$3:$B$101, MATCH($AQ131,Inputs!$A$3:$A$101,1)), "")</f>
        <v>1E-3</v>
      </c>
      <c r="AT131" s="48">
        <f t="shared" ca="1" si="37"/>
        <v>1.4521568767123283</v>
      </c>
      <c r="AU131" s="3">
        <f t="shared" ref="AU131:AU194" ca="1" si="45">IF($AQ131&lt;&gt;"", SUMIFS($AL$3:$AL$1054, $A$3:$A$1054,$AQ131) + SUMIFS($M$3:$M$1054, $A$3:$A$1054,$AQ131)*IFERROR(AVERAGEIFS($L$3:$L$1054, $A$3:$A$1054,$AQ131, $M$3:$M$1054,"&gt;0"),0) - AT131, "")</f>
        <v>-1.4521568767123283</v>
      </c>
      <c r="AV131" s="3">
        <f t="shared" ref="AV131:AV194" ca="1" si="46">IF(AQ131&lt;&gt;"", AU131*(1+$X$9/CompoundingRate)^-((AQ131-AQ$3)/(365/CompoundingRate)), "")</f>
        <v>-1.4521568767123283</v>
      </c>
    </row>
    <row r="132" spans="1:48" x14ac:dyDescent="0.2">
      <c r="A132" s="4">
        <v>44742</v>
      </c>
      <c r="B132" s="1" t="s">
        <v>106</v>
      </c>
      <c r="G132" s="3">
        <v>1118.0999999999999</v>
      </c>
      <c r="M132" s="3" t="str">
        <f t="shared" si="38"/>
        <v/>
      </c>
      <c r="N132" s="3"/>
      <c r="P132" s="3"/>
      <c r="AA132" s="3">
        <f t="shared" si="39"/>
        <v>3450000</v>
      </c>
      <c r="AB132" s="3">
        <f t="shared" ref="AB132:AB195" si="47">IF($A132&lt;&gt;"", AC132+AD132, "")</f>
        <v>3450000.0000000028</v>
      </c>
      <c r="AC132" s="3">
        <f t="shared" ref="AC132:AC195" si="48">IF(A132&lt;&gt;"", AC131+D132+F132-G132, "")</f>
        <v>594164.44999999949</v>
      </c>
      <c r="AD132" s="3">
        <f t="shared" ref="AD132:AD195" si="49">IF(A132&lt;&gt;"", AD131+C132-F132+G132, "")</f>
        <v>2855835.5500000035</v>
      </c>
      <c r="AE132" s="1">
        <f t="shared" ref="AE132:AE195" ca="1" si="50">IF(A133&lt;&gt;"", A133-A132, IF(A132&lt;&gt;"",IF(AC132&lt;&gt;0,TODAY()-A132,0), ""))</f>
        <v>0</v>
      </c>
      <c r="AG132" s="3">
        <f t="shared" ref="AG132:AG195" si="51">IF($A132&lt;&gt;"", I132+J132+E132-F132-H132, "")</f>
        <v>0</v>
      </c>
      <c r="AH132" s="1">
        <f t="shared" si="40"/>
        <v>391</v>
      </c>
      <c r="AI132" s="3">
        <f t="shared" si="41"/>
        <v>0</v>
      </c>
      <c r="AL132" s="3">
        <f t="shared" si="42"/>
        <v>0</v>
      </c>
      <c r="AM132" s="3">
        <f t="shared" si="43"/>
        <v>0</v>
      </c>
      <c r="AQ132" s="4">
        <f t="shared" ca="1" si="36"/>
        <v>44480</v>
      </c>
      <c r="AR132" s="3">
        <f t="shared" ca="1" si="44"/>
        <v>530037.25999999978</v>
      </c>
      <c r="AS132" s="63">
        <f ca="1">IF($AQ132&lt;&gt;"", INDEX(Inputs!$B$3:$B$101, MATCH($AQ132,Inputs!$A$3:$A$101,1)), "")</f>
        <v>1E-3</v>
      </c>
      <c r="AT132" s="48">
        <f t="shared" ca="1" si="37"/>
        <v>1.4521568767123283</v>
      </c>
      <c r="AU132" s="3">
        <f t="shared" ca="1" si="45"/>
        <v>-1.4521568767123283</v>
      </c>
      <c r="AV132" s="3">
        <f t="shared" ca="1" si="46"/>
        <v>-1.4521568767123283</v>
      </c>
    </row>
    <row r="133" spans="1:48" x14ac:dyDescent="0.2">
      <c r="A133" s="4">
        <v>44742</v>
      </c>
      <c r="B133" s="1" t="s">
        <v>80</v>
      </c>
      <c r="H133" s="3">
        <v>273.33999999999997</v>
      </c>
      <c r="M133" s="3" t="str">
        <f t="shared" si="38"/>
        <v/>
      </c>
      <c r="N133" s="3"/>
      <c r="P133" s="3"/>
      <c r="AA133" s="3">
        <f t="shared" si="39"/>
        <v>3450000</v>
      </c>
      <c r="AB133" s="3">
        <f t="shared" si="47"/>
        <v>3450000.0000000028</v>
      </c>
      <c r="AC133" s="3">
        <f t="shared" si="48"/>
        <v>594164.44999999949</v>
      </c>
      <c r="AD133" s="3">
        <f t="shared" si="49"/>
        <v>2855835.5500000035</v>
      </c>
      <c r="AE133" s="1">
        <f t="shared" ca="1" si="50"/>
        <v>0</v>
      </c>
      <c r="AG133" s="3">
        <f t="shared" si="51"/>
        <v>-273.33999999999997</v>
      </c>
      <c r="AH133" s="1">
        <f t="shared" si="40"/>
        <v>391</v>
      </c>
      <c r="AI133" s="3">
        <f t="shared" si="41"/>
        <v>-273.33999999999997</v>
      </c>
      <c r="AL133" s="3">
        <f t="shared" si="42"/>
        <v>-273.33999999999997</v>
      </c>
      <c r="AM133" s="3">
        <f t="shared" si="43"/>
        <v>-273.33999999999997</v>
      </c>
      <c r="AQ133" s="4">
        <f t="shared" ca="1" si="36"/>
        <v>44481</v>
      </c>
      <c r="AR133" s="3">
        <f t="shared" ca="1" si="44"/>
        <v>530037.25999999978</v>
      </c>
      <c r="AS133" s="63">
        <f ca="1">IF($AQ133&lt;&gt;"", INDEX(Inputs!$B$3:$B$101, MATCH($AQ133,Inputs!$A$3:$A$101,1)), "")</f>
        <v>1E-3</v>
      </c>
      <c r="AT133" s="48">
        <f t="shared" ca="1" si="37"/>
        <v>1.4521568767123283</v>
      </c>
      <c r="AU133" s="3">
        <f t="shared" ca="1" si="45"/>
        <v>-1.4521568767123283</v>
      </c>
      <c r="AV133" s="3">
        <f t="shared" ca="1" si="46"/>
        <v>-1.4521568767123283</v>
      </c>
    </row>
    <row r="134" spans="1:48" x14ac:dyDescent="0.2">
      <c r="A134" s="4">
        <v>44742</v>
      </c>
      <c r="B134" s="1" t="s">
        <v>84</v>
      </c>
      <c r="K134" s="3">
        <f>SUM(I28:I130)</f>
        <v>95000</v>
      </c>
      <c r="L134" s="65">
        <v>0.32500000000000001</v>
      </c>
      <c r="M134" s="3" t="str">
        <f t="shared" si="38"/>
        <v/>
      </c>
      <c r="N134" s="3"/>
      <c r="P134" s="3"/>
      <c r="AA134" s="3">
        <f t="shared" si="39"/>
        <v>3450000</v>
      </c>
      <c r="AB134" s="3">
        <f t="shared" si="47"/>
        <v>3450000.0000000028</v>
      </c>
      <c r="AC134" s="3">
        <f t="shared" si="48"/>
        <v>594164.44999999949</v>
      </c>
      <c r="AD134" s="3">
        <f t="shared" si="49"/>
        <v>2855835.5500000035</v>
      </c>
      <c r="AE134" s="1">
        <f t="shared" ca="1" si="50"/>
        <v>0</v>
      </c>
      <c r="AG134" s="3">
        <f t="shared" si="51"/>
        <v>0</v>
      </c>
      <c r="AH134" s="1">
        <f t="shared" si="40"/>
        <v>391</v>
      </c>
      <c r="AI134" s="3">
        <f t="shared" si="41"/>
        <v>0</v>
      </c>
      <c r="AL134" s="3">
        <f t="shared" si="42"/>
        <v>-30875</v>
      </c>
      <c r="AM134" s="3">
        <f t="shared" si="43"/>
        <v>-30875</v>
      </c>
      <c r="AQ134" s="4">
        <f t="shared" ca="1" si="36"/>
        <v>44482</v>
      </c>
      <c r="AR134" s="3">
        <f t="shared" ca="1" si="44"/>
        <v>530037.25999999978</v>
      </c>
      <c r="AS134" s="63">
        <f ca="1">IF($AQ134&lt;&gt;"", INDEX(Inputs!$B$3:$B$101, MATCH($AQ134,Inputs!$A$3:$A$101,1)), "")</f>
        <v>1E-3</v>
      </c>
      <c r="AT134" s="48">
        <f t="shared" ca="1" si="37"/>
        <v>1.4521568767123283</v>
      </c>
      <c r="AU134" s="3">
        <f t="shared" ca="1" si="45"/>
        <v>-1.4521568767123283</v>
      </c>
      <c r="AV134" s="3">
        <f t="shared" ca="1" si="46"/>
        <v>-1.4521568767123283</v>
      </c>
    </row>
    <row r="135" spans="1:48" x14ac:dyDescent="0.2">
      <c r="A135" s="4">
        <v>44742</v>
      </c>
      <c r="B135" s="1" t="s">
        <v>85</v>
      </c>
      <c r="K135" s="3">
        <f>-SUM(G32:G132)</f>
        <v>-55895.999999999993</v>
      </c>
      <c r="L135" s="65">
        <v>0.32500000000000001</v>
      </c>
      <c r="M135" s="3" t="str">
        <f t="shared" si="38"/>
        <v/>
      </c>
      <c r="N135" s="3"/>
      <c r="P135" s="3"/>
      <c r="AA135" s="3">
        <f t="shared" si="39"/>
        <v>3450000</v>
      </c>
      <c r="AB135" s="3">
        <f t="shared" si="47"/>
        <v>3450000.0000000028</v>
      </c>
      <c r="AC135" s="3">
        <f t="shared" si="48"/>
        <v>594164.44999999949</v>
      </c>
      <c r="AD135" s="3">
        <f t="shared" si="49"/>
        <v>2855835.5500000035</v>
      </c>
      <c r="AE135" s="1">
        <f t="shared" ca="1" si="50"/>
        <v>0</v>
      </c>
      <c r="AG135" s="3">
        <f t="shared" si="51"/>
        <v>0</v>
      </c>
      <c r="AH135" s="1">
        <f t="shared" si="40"/>
        <v>391</v>
      </c>
      <c r="AI135" s="3">
        <f t="shared" si="41"/>
        <v>0</v>
      </c>
      <c r="AL135" s="3">
        <f t="shared" si="42"/>
        <v>18166.199999999997</v>
      </c>
      <c r="AM135" s="3">
        <f t="shared" si="43"/>
        <v>18166.199999999997</v>
      </c>
      <c r="AQ135" s="4">
        <f t="shared" ca="1" si="36"/>
        <v>44483</v>
      </c>
      <c r="AR135" s="3">
        <f t="shared" ca="1" si="44"/>
        <v>530037.25999999978</v>
      </c>
      <c r="AS135" s="63">
        <f ca="1">IF($AQ135&lt;&gt;"", INDEX(Inputs!$B$3:$B$101, MATCH($AQ135,Inputs!$A$3:$A$101,1)), "")</f>
        <v>1E-3</v>
      </c>
      <c r="AT135" s="48">
        <f t="shared" ca="1" si="37"/>
        <v>1.4521568767123283</v>
      </c>
      <c r="AU135" s="3">
        <f t="shared" ca="1" si="45"/>
        <v>-1.4521568767123283</v>
      </c>
      <c r="AV135" s="3">
        <f t="shared" ca="1" si="46"/>
        <v>-1.4521568767123283</v>
      </c>
    </row>
    <row r="136" spans="1:48" x14ac:dyDescent="0.2">
      <c r="A136" s="4">
        <v>44742</v>
      </c>
      <c r="B136" s="1" t="s">
        <v>86</v>
      </c>
      <c r="K136" s="3">
        <f>-1*((H20+H45+H74+H89+H114)+(H17)+(H24*20%+H21*13.33%+H25*28.57%+H23*20%)+(H29)+(H19)+(H22+H26+H27)+(H18+H50+H77+H106+H133))</f>
        <v>-21887.170715</v>
      </c>
      <c r="L136" s="65">
        <v>0.32500000000000001</v>
      </c>
      <c r="M136" s="3" t="str">
        <f t="shared" si="38"/>
        <v/>
      </c>
      <c r="N136" s="3"/>
      <c r="P136" s="3"/>
      <c r="AA136" s="3">
        <f t="shared" si="39"/>
        <v>3450000</v>
      </c>
      <c r="AB136" s="3">
        <f t="shared" si="47"/>
        <v>3450000.0000000028</v>
      </c>
      <c r="AC136" s="3">
        <f t="shared" si="48"/>
        <v>594164.44999999949</v>
      </c>
      <c r="AD136" s="3">
        <f t="shared" si="49"/>
        <v>2855835.5500000035</v>
      </c>
      <c r="AE136" s="1">
        <f t="shared" ca="1" si="50"/>
        <v>0</v>
      </c>
      <c r="AG136" s="3">
        <f t="shared" si="51"/>
        <v>0</v>
      </c>
      <c r="AH136" s="1">
        <f t="shared" si="40"/>
        <v>391</v>
      </c>
      <c r="AI136" s="3">
        <f t="shared" si="41"/>
        <v>0</v>
      </c>
      <c r="AL136" s="3">
        <f t="shared" si="42"/>
        <v>7113.3304823750004</v>
      </c>
      <c r="AM136" s="3">
        <f t="shared" si="43"/>
        <v>7113.3304823750004</v>
      </c>
      <c r="AQ136" s="4">
        <f t="shared" ca="1" si="36"/>
        <v>44484</v>
      </c>
      <c r="AR136" s="3">
        <f t="shared" ca="1" si="44"/>
        <v>530037.25999999978</v>
      </c>
      <c r="AS136" s="63">
        <f ca="1">IF($AQ136&lt;&gt;"", INDEX(Inputs!$B$3:$B$101, MATCH($AQ136,Inputs!$A$3:$A$101,1)), "")</f>
        <v>1E-3</v>
      </c>
      <c r="AT136" s="48">
        <f t="shared" ca="1" si="37"/>
        <v>1.4521568767123283</v>
      </c>
      <c r="AU136" s="3">
        <f t="shared" ca="1" si="45"/>
        <v>1898.5478431232877</v>
      </c>
      <c r="AV136" s="3">
        <f t="shared" ca="1" si="46"/>
        <v>1898.5478431232877</v>
      </c>
    </row>
    <row r="137" spans="1:48" x14ac:dyDescent="0.2">
      <c r="A137" s="4">
        <v>44742</v>
      </c>
      <c r="B137" s="1" t="s">
        <v>83</v>
      </c>
      <c r="L137" s="65">
        <v>0.32500000000000001</v>
      </c>
      <c r="M137" s="3">
        <f t="shared" ca="1" si="38"/>
        <v>962.50584968492967</v>
      </c>
      <c r="N137" s="3"/>
      <c r="P137" s="3"/>
      <c r="AA137" s="3">
        <f t="shared" si="39"/>
        <v>3450000</v>
      </c>
      <c r="AB137" s="3">
        <f t="shared" si="47"/>
        <v>3450000.0000000028</v>
      </c>
      <c r="AC137" s="3">
        <f t="shared" si="48"/>
        <v>594164.44999999949</v>
      </c>
      <c r="AD137" s="3">
        <f t="shared" si="49"/>
        <v>2855835.5500000035</v>
      </c>
      <c r="AE137" s="1">
        <f t="shared" ca="1" si="50"/>
        <v>1</v>
      </c>
      <c r="AG137" s="3">
        <f t="shared" si="51"/>
        <v>0</v>
      </c>
      <c r="AH137" s="1">
        <f t="shared" si="40"/>
        <v>391</v>
      </c>
      <c r="AI137" s="3">
        <f t="shared" si="41"/>
        <v>0</v>
      </c>
      <c r="AL137" s="3">
        <f t="shared" si="42"/>
        <v>0</v>
      </c>
      <c r="AM137" s="3">
        <f t="shared" si="43"/>
        <v>0</v>
      </c>
      <c r="AQ137" s="4">
        <f t="shared" ca="1" si="36"/>
        <v>44485</v>
      </c>
      <c r="AR137" s="3">
        <f t="shared" ca="1" si="44"/>
        <v>530037.25999999978</v>
      </c>
      <c r="AS137" s="63">
        <f ca="1">IF($AQ137&lt;&gt;"", INDEX(Inputs!$B$3:$B$101, MATCH($AQ137,Inputs!$A$3:$A$101,1)), "")</f>
        <v>1E-3</v>
      </c>
      <c r="AT137" s="48">
        <f t="shared" ca="1" si="37"/>
        <v>1.4521568767123283</v>
      </c>
      <c r="AU137" s="3">
        <f t="shared" ca="1" si="45"/>
        <v>-1.4521568767123283</v>
      </c>
      <c r="AV137" s="3">
        <f t="shared" ca="1" si="46"/>
        <v>-1.4521568767123283</v>
      </c>
    </row>
    <row r="138" spans="1:48" x14ac:dyDescent="0.2">
      <c r="A138" s="4">
        <v>44743</v>
      </c>
      <c r="B138" s="1" t="s">
        <v>57</v>
      </c>
      <c r="I138" s="3">
        <v>1900</v>
      </c>
      <c r="M138" s="3" t="str">
        <f t="shared" si="38"/>
        <v/>
      </c>
      <c r="N138" s="3"/>
      <c r="AA138" s="3">
        <f t="shared" si="39"/>
        <v>3450000</v>
      </c>
      <c r="AB138" s="3">
        <f t="shared" si="47"/>
        <v>3450000.0000000028</v>
      </c>
      <c r="AC138" s="3">
        <f t="shared" si="48"/>
        <v>594164.44999999949</v>
      </c>
      <c r="AD138" s="3">
        <f t="shared" si="49"/>
        <v>2855835.5500000035</v>
      </c>
      <c r="AE138" s="1">
        <f t="shared" ca="1" si="50"/>
        <v>7</v>
      </c>
      <c r="AG138" s="3">
        <f t="shared" si="51"/>
        <v>1900</v>
      </c>
      <c r="AH138" s="1">
        <f t="shared" si="40"/>
        <v>392</v>
      </c>
      <c r="AI138" s="3">
        <f t="shared" si="41"/>
        <v>1900</v>
      </c>
      <c r="AL138" s="3">
        <f t="shared" si="42"/>
        <v>1900</v>
      </c>
      <c r="AM138" s="3">
        <f t="shared" si="43"/>
        <v>1900</v>
      </c>
      <c r="AQ138" s="4">
        <f t="shared" ca="1" si="36"/>
        <v>44486</v>
      </c>
      <c r="AR138" s="3">
        <f t="shared" ca="1" si="44"/>
        <v>530037.25999999978</v>
      </c>
      <c r="AS138" s="63">
        <f ca="1">IF($AQ138&lt;&gt;"", INDEX(Inputs!$B$3:$B$101, MATCH($AQ138,Inputs!$A$3:$A$101,1)), "")</f>
        <v>1E-3</v>
      </c>
      <c r="AT138" s="48">
        <f t="shared" ca="1" si="37"/>
        <v>1.4521568767123283</v>
      </c>
      <c r="AU138" s="3">
        <f t="shared" ca="1" si="45"/>
        <v>-1.4521568767123283</v>
      </c>
      <c r="AV138" s="3">
        <f t="shared" ca="1" si="46"/>
        <v>-1.4521568767123283</v>
      </c>
    </row>
    <row r="139" spans="1:48" x14ac:dyDescent="0.2">
      <c r="A139" s="4">
        <v>44750</v>
      </c>
      <c r="B139" s="1" t="s">
        <v>57</v>
      </c>
      <c r="I139" s="3">
        <v>1900</v>
      </c>
      <c r="M139" s="3" t="str">
        <f t="shared" si="38"/>
        <v/>
      </c>
      <c r="N139" s="3"/>
      <c r="AA139" s="3">
        <f t="shared" si="39"/>
        <v>3450000</v>
      </c>
      <c r="AB139" s="3">
        <f t="shared" si="47"/>
        <v>3450000.0000000028</v>
      </c>
      <c r="AC139" s="3">
        <f t="shared" si="48"/>
        <v>594164.44999999949</v>
      </c>
      <c r="AD139" s="3">
        <f t="shared" si="49"/>
        <v>2855835.5500000035</v>
      </c>
      <c r="AE139" s="1">
        <f t="shared" ca="1" si="50"/>
        <v>7</v>
      </c>
      <c r="AG139" s="3">
        <f t="shared" si="51"/>
        <v>1900</v>
      </c>
      <c r="AH139" s="1">
        <f t="shared" si="40"/>
        <v>399</v>
      </c>
      <c r="AI139" s="3">
        <f t="shared" si="41"/>
        <v>1900</v>
      </c>
      <c r="AL139" s="3">
        <f t="shared" si="42"/>
        <v>1900</v>
      </c>
      <c r="AM139" s="3">
        <f t="shared" si="43"/>
        <v>1900</v>
      </c>
      <c r="AQ139" s="4">
        <f t="shared" ca="1" si="36"/>
        <v>44487</v>
      </c>
      <c r="AR139" s="3">
        <f t="shared" ca="1" si="44"/>
        <v>542088.20999999973</v>
      </c>
      <c r="AS139" s="63">
        <f ca="1">IF($AQ139&lt;&gt;"", INDEX(Inputs!$B$3:$B$101, MATCH($AQ139,Inputs!$A$3:$A$101,1)), "")</f>
        <v>1E-3</v>
      </c>
      <c r="AT139" s="48">
        <f t="shared" ca="1" si="37"/>
        <v>1.4851731780821911</v>
      </c>
      <c r="AU139" s="3">
        <f t="shared" ca="1" si="45"/>
        <v>-12052.435173178083</v>
      </c>
      <c r="AV139" s="3">
        <f t="shared" ca="1" si="46"/>
        <v>-12052.435173178083</v>
      </c>
    </row>
    <row r="140" spans="1:48" x14ac:dyDescent="0.2">
      <c r="A140" s="4">
        <v>44757</v>
      </c>
      <c r="B140" s="1" t="s">
        <v>57</v>
      </c>
      <c r="M140" s="3" t="str">
        <f t="shared" si="38"/>
        <v/>
      </c>
      <c r="N140" s="3"/>
      <c r="AA140" s="3">
        <f t="shared" si="39"/>
        <v>3450000</v>
      </c>
      <c r="AB140" s="3">
        <f t="shared" si="47"/>
        <v>3450000.0000000028</v>
      </c>
      <c r="AC140" s="3">
        <f t="shared" si="48"/>
        <v>594164.44999999949</v>
      </c>
      <c r="AD140" s="3">
        <f t="shared" si="49"/>
        <v>2855835.5500000035</v>
      </c>
      <c r="AE140" s="1">
        <f t="shared" ca="1" si="50"/>
        <v>0</v>
      </c>
      <c r="AG140" s="3">
        <f t="shared" si="51"/>
        <v>0</v>
      </c>
      <c r="AH140" s="1">
        <f t="shared" si="40"/>
        <v>406</v>
      </c>
      <c r="AI140" s="3">
        <f t="shared" si="41"/>
        <v>0</v>
      </c>
      <c r="AL140" s="3">
        <f t="shared" si="42"/>
        <v>0</v>
      </c>
      <c r="AM140" s="3">
        <f t="shared" si="43"/>
        <v>0</v>
      </c>
      <c r="AQ140" s="4">
        <f t="shared" ca="1" si="36"/>
        <v>44488</v>
      </c>
      <c r="AR140" s="3">
        <f t="shared" ca="1" si="44"/>
        <v>542088.20999999973</v>
      </c>
      <c r="AS140" s="63">
        <f ca="1">IF($AQ140&lt;&gt;"", INDEX(Inputs!$B$3:$B$101, MATCH($AQ140,Inputs!$A$3:$A$101,1)), "")</f>
        <v>1E-3</v>
      </c>
      <c r="AT140" s="48">
        <f t="shared" ca="1" si="37"/>
        <v>1.4851731780821911</v>
      </c>
      <c r="AU140" s="3">
        <f t="shared" ca="1" si="45"/>
        <v>-1.4851731780821911</v>
      </c>
      <c r="AV140" s="3">
        <f t="shared" ca="1" si="46"/>
        <v>-1.4851731780821911</v>
      </c>
    </row>
    <row r="141" spans="1:48" x14ac:dyDescent="0.2">
      <c r="A141" s="4">
        <v>44757</v>
      </c>
      <c r="B141" s="1" t="s">
        <v>64</v>
      </c>
      <c r="H141" s="3">
        <v>395</v>
      </c>
      <c r="M141" s="3" t="str">
        <f t="shared" si="38"/>
        <v/>
      </c>
      <c r="N141" s="3"/>
      <c r="AA141" s="3">
        <f t="shared" si="39"/>
        <v>3450000</v>
      </c>
      <c r="AB141" s="3">
        <f t="shared" si="47"/>
        <v>3450000.0000000028</v>
      </c>
      <c r="AC141" s="3">
        <f t="shared" si="48"/>
        <v>594164.44999999949</v>
      </c>
      <c r="AD141" s="3">
        <f t="shared" si="49"/>
        <v>2855835.5500000035</v>
      </c>
      <c r="AE141" s="1">
        <f t="shared" ca="1" si="50"/>
        <v>3</v>
      </c>
      <c r="AG141" s="3">
        <f t="shared" si="51"/>
        <v>-395</v>
      </c>
      <c r="AH141" s="1">
        <f t="shared" si="40"/>
        <v>406</v>
      </c>
      <c r="AI141" s="3">
        <f t="shared" si="41"/>
        <v>-395</v>
      </c>
      <c r="AL141" s="3">
        <f t="shared" si="42"/>
        <v>-395</v>
      </c>
      <c r="AM141" s="3">
        <f t="shared" si="43"/>
        <v>-395</v>
      </c>
      <c r="AQ141" s="4">
        <f t="shared" ca="1" si="36"/>
        <v>44489</v>
      </c>
      <c r="AR141" s="3">
        <f t="shared" ca="1" si="44"/>
        <v>542088.20999999973</v>
      </c>
      <c r="AS141" s="63">
        <f ca="1">IF($AQ141&lt;&gt;"", INDEX(Inputs!$B$3:$B$101, MATCH($AQ141,Inputs!$A$3:$A$101,1)), "")</f>
        <v>1E-3</v>
      </c>
      <c r="AT141" s="48">
        <f t="shared" ca="1" si="37"/>
        <v>1.4851731780821911</v>
      </c>
      <c r="AU141" s="3">
        <f t="shared" ca="1" si="45"/>
        <v>-1.4851731780821911</v>
      </c>
      <c r="AV141" s="3">
        <f t="shared" ca="1" si="46"/>
        <v>-1.4851731780821911</v>
      </c>
    </row>
    <row r="142" spans="1:48" x14ac:dyDescent="0.2">
      <c r="A142" s="4">
        <v>44760</v>
      </c>
      <c r="B142" s="1" t="s">
        <v>104</v>
      </c>
      <c r="F142" s="3">
        <v>9818.51</v>
      </c>
      <c r="M142" s="3" t="str">
        <f t="shared" si="38"/>
        <v/>
      </c>
      <c r="N142" s="3"/>
      <c r="AA142" s="3">
        <f t="shared" si="39"/>
        <v>3450000</v>
      </c>
      <c r="AB142" s="3">
        <f t="shared" si="47"/>
        <v>3450000.0000000033</v>
      </c>
      <c r="AC142" s="3">
        <f t="shared" si="48"/>
        <v>603982.9599999995</v>
      </c>
      <c r="AD142" s="3">
        <f t="shared" si="49"/>
        <v>2846017.0400000038</v>
      </c>
      <c r="AE142" s="1">
        <f t="shared" ca="1" si="50"/>
        <v>0</v>
      </c>
      <c r="AG142" s="3">
        <f t="shared" si="51"/>
        <v>-9818.51</v>
      </c>
      <c r="AH142" s="1">
        <f t="shared" si="40"/>
        <v>409</v>
      </c>
      <c r="AI142" s="3">
        <f t="shared" si="41"/>
        <v>-9818.51</v>
      </c>
      <c r="AL142" s="3">
        <f t="shared" si="42"/>
        <v>-9818.51</v>
      </c>
      <c r="AM142" s="3">
        <f t="shared" si="43"/>
        <v>-9818.51</v>
      </c>
      <c r="AQ142" s="4">
        <f t="shared" ref="AQ142:AQ205" ca="1" si="52">IF(AQ141&lt;$AP$3,AQ141+1,"")</f>
        <v>44490</v>
      </c>
      <c r="AR142" s="3">
        <f t="shared" ca="1" si="44"/>
        <v>542088.20999999973</v>
      </c>
      <c r="AS142" s="63">
        <f ca="1">IF($AQ142&lt;&gt;"", INDEX(Inputs!$B$3:$B$101, MATCH($AQ142,Inputs!$A$3:$A$101,1)), "")</f>
        <v>1E-3</v>
      </c>
      <c r="AT142" s="48">
        <f t="shared" ref="AT142:AT205" ca="1" si="53">IF($AQ142&lt;&gt;"", AR142*AS142/365, "")</f>
        <v>1.4851731780821911</v>
      </c>
      <c r="AU142" s="3">
        <f t="shared" ca="1" si="45"/>
        <v>-1.4851731780821911</v>
      </c>
      <c r="AV142" s="3">
        <f t="shared" ca="1" si="46"/>
        <v>-1.4851731780821911</v>
      </c>
    </row>
    <row r="143" spans="1:48" x14ac:dyDescent="0.2">
      <c r="A143" s="4">
        <v>44760</v>
      </c>
      <c r="B143" s="1" t="s">
        <v>105</v>
      </c>
      <c r="F143" s="3">
        <v>2254.54</v>
      </c>
      <c r="M143" s="3" t="str">
        <f t="shared" si="38"/>
        <v/>
      </c>
      <c r="N143" s="3"/>
      <c r="P143" s="3"/>
      <c r="AA143" s="3">
        <f t="shared" si="39"/>
        <v>3450000</v>
      </c>
      <c r="AB143" s="3">
        <f t="shared" si="47"/>
        <v>3450000.0000000033</v>
      </c>
      <c r="AC143" s="3">
        <f t="shared" si="48"/>
        <v>606237.49999999953</v>
      </c>
      <c r="AD143" s="3">
        <f t="shared" si="49"/>
        <v>2843762.5000000037</v>
      </c>
      <c r="AE143" s="1">
        <f t="shared" ca="1" si="50"/>
        <v>11</v>
      </c>
      <c r="AG143" s="3">
        <f t="shared" si="51"/>
        <v>-2254.54</v>
      </c>
      <c r="AH143" s="1">
        <f t="shared" si="40"/>
        <v>409</v>
      </c>
      <c r="AI143" s="3">
        <f t="shared" si="41"/>
        <v>-2254.54</v>
      </c>
      <c r="AL143" s="3">
        <f t="shared" si="42"/>
        <v>-2254.54</v>
      </c>
      <c r="AM143" s="3">
        <f t="shared" si="43"/>
        <v>-2254.54</v>
      </c>
      <c r="AQ143" s="4">
        <f t="shared" ca="1" si="52"/>
        <v>44491</v>
      </c>
      <c r="AR143" s="3">
        <f t="shared" ca="1" si="44"/>
        <v>542088.20999999973</v>
      </c>
      <c r="AS143" s="63">
        <f ca="1">IF($AQ143&lt;&gt;"", INDEX(Inputs!$B$3:$B$101, MATCH($AQ143,Inputs!$A$3:$A$101,1)), "")</f>
        <v>1E-3</v>
      </c>
      <c r="AT143" s="48">
        <f t="shared" ca="1" si="53"/>
        <v>1.4851731780821911</v>
      </c>
      <c r="AU143" s="3">
        <f t="shared" ca="1" si="45"/>
        <v>1898.5148268219177</v>
      </c>
      <c r="AV143" s="3">
        <f t="shared" ca="1" si="46"/>
        <v>1898.5148268219177</v>
      </c>
    </row>
    <row r="144" spans="1:48" x14ac:dyDescent="0.2">
      <c r="A144" s="4">
        <v>44771</v>
      </c>
      <c r="B144" s="1" t="s">
        <v>103</v>
      </c>
      <c r="G144" s="3">
        <v>3914.3</v>
      </c>
      <c r="M144" s="3" t="str">
        <f t="shared" si="38"/>
        <v/>
      </c>
      <c r="N144" s="3"/>
      <c r="AA144" s="3">
        <f t="shared" si="39"/>
        <v>3450000</v>
      </c>
      <c r="AB144" s="3">
        <f t="shared" si="47"/>
        <v>3450000.0000000028</v>
      </c>
      <c r="AC144" s="3">
        <f t="shared" si="48"/>
        <v>602323.19999999949</v>
      </c>
      <c r="AD144" s="3">
        <f t="shared" si="49"/>
        <v>2847676.8000000035</v>
      </c>
      <c r="AE144" s="1">
        <f t="shared" ca="1" si="50"/>
        <v>0</v>
      </c>
      <c r="AG144" s="3">
        <f t="shared" si="51"/>
        <v>0</v>
      </c>
      <c r="AH144" s="1">
        <f t="shared" si="40"/>
        <v>420</v>
      </c>
      <c r="AI144" s="3">
        <f t="shared" si="41"/>
        <v>0</v>
      </c>
      <c r="AL144" s="3">
        <f t="shared" si="42"/>
        <v>0</v>
      </c>
      <c r="AM144" s="3">
        <f t="shared" si="43"/>
        <v>0</v>
      </c>
      <c r="AQ144" s="4">
        <f t="shared" ca="1" si="52"/>
        <v>44492</v>
      </c>
      <c r="AR144" s="3">
        <f t="shared" ca="1" si="44"/>
        <v>542088.20999999973</v>
      </c>
      <c r="AS144" s="63">
        <f ca="1">IF($AQ144&lt;&gt;"", INDEX(Inputs!$B$3:$B$101, MATCH($AQ144,Inputs!$A$3:$A$101,1)), "")</f>
        <v>1E-3</v>
      </c>
      <c r="AT144" s="48">
        <f t="shared" ca="1" si="53"/>
        <v>1.4851731780821911</v>
      </c>
      <c r="AU144" s="3">
        <f t="shared" ca="1" si="45"/>
        <v>-1.4851731780821911</v>
      </c>
      <c r="AV144" s="3">
        <f t="shared" ca="1" si="46"/>
        <v>-1.4851731780821911</v>
      </c>
    </row>
    <row r="145" spans="1:48" x14ac:dyDescent="0.2">
      <c r="A145" s="4">
        <v>44771</v>
      </c>
      <c r="B145" s="1" t="s">
        <v>106</v>
      </c>
      <c r="G145" s="3">
        <v>1142.31</v>
      </c>
      <c r="M145" s="3" t="str">
        <f t="shared" si="38"/>
        <v/>
      </c>
      <c r="N145" s="3"/>
      <c r="P145" s="3"/>
      <c r="AA145" s="3">
        <f t="shared" si="39"/>
        <v>3450000</v>
      </c>
      <c r="AB145" s="3">
        <f t="shared" si="47"/>
        <v>3450000.0000000028</v>
      </c>
      <c r="AC145" s="3">
        <f t="shared" si="48"/>
        <v>601180.88999999943</v>
      </c>
      <c r="AD145" s="3">
        <f t="shared" si="49"/>
        <v>2848819.1100000036</v>
      </c>
      <c r="AE145" s="1">
        <f t="shared" ca="1" si="50"/>
        <v>3</v>
      </c>
      <c r="AG145" s="3">
        <f t="shared" si="51"/>
        <v>0</v>
      </c>
      <c r="AH145" s="1">
        <f t="shared" si="40"/>
        <v>420</v>
      </c>
      <c r="AI145" s="3">
        <f t="shared" si="41"/>
        <v>0</v>
      </c>
      <c r="AL145" s="3">
        <f t="shared" si="42"/>
        <v>0</v>
      </c>
      <c r="AM145" s="3">
        <f t="shared" si="43"/>
        <v>0</v>
      </c>
      <c r="AQ145" s="4">
        <f t="shared" ca="1" si="52"/>
        <v>44493</v>
      </c>
      <c r="AR145" s="3">
        <f t="shared" ca="1" si="44"/>
        <v>542088.20999999973</v>
      </c>
      <c r="AS145" s="63">
        <f ca="1">IF($AQ145&lt;&gt;"", INDEX(Inputs!$B$3:$B$101, MATCH($AQ145,Inputs!$A$3:$A$101,1)), "")</f>
        <v>1E-3</v>
      </c>
      <c r="AT145" s="48">
        <f t="shared" ca="1" si="53"/>
        <v>1.4851731780821911</v>
      </c>
      <c r="AU145" s="3">
        <f t="shared" ca="1" si="45"/>
        <v>-1.4851731780821911</v>
      </c>
      <c r="AV145" s="3">
        <f t="shared" ca="1" si="46"/>
        <v>-1.4851731780821911</v>
      </c>
    </row>
    <row r="146" spans="1:48" x14ac:dyDescent="0.2">
      <c r="A146" s="4">
        <v>44774</v>
      </c>
      <c r="B146" s="1" t="s">
        <v>50</v>
      </c>
      <c r="H146" s="3">
        <v>3124</v>
      </c>
      <c r="M146" s="3" t="str">
        <f t="shared" si="38"/>
        <v/>
      </c>
      <c r="N146" s="3"/>
      <c r="AA146" s="3">
        <f t="shared" si="39"/>
        <v>3450000</v>
      </c>
      <c r="AB146" s="3">
        <f t="shared" si="47"/>
        <v>3450000.0000000028</v>
      </c>
      <c r="AC146" s="3">
        <f t="shared" si="48"/>
        <v>601180.88999999943</v>
      </c>
      <c r="AD146" s="3">
        <f t="shared" si="49"/>
        <v>2848819.1100000036</v>
      </c>
      <c r="AE146" s="1">
        <f t="shared" ca="1" si="50"/>
        <v>10</v>
      </c>
      <c r="AG146" s="3">
        <f t="shared" si="51"/>
        <v>-3124</v>
      </c>
      <c r="AH146" s="1">
        <f t="shared" si="40"/>
        <v>423</v>
      </c>
      <c r="AI146" s="3">
        <f t="shared" si="41"/>
        <v>-3124</v>
      </c>
      <c r="AL146" s="3">
        <f t="shared" si="42"/>
        <v>-3124</v>
      </c>
      <c r="AM146" s="3">
        <f t="shared" si="43"/>
        <v>-3124</v>
      </c>
      <c r="AQ146" s="4">
        <f t="shared" ca="1" si="52"/>
        <v>44494</v>
      </c>
      <c r="AR146" s="3">
        <f t="shared" ca="1" si="44"/>
        <v>542088.20999999973</v>
      </c>
      <c r="AS146" s="63">
        <f ca="1">IF($AQ146&lt;&gt;"", INDEX(Inputs!$B$3:$B$101, MATCH($AQ146,Inputs!$A$3:$A$101,1)), "")</f>
        <v>1E-3</v>
      </c>
      <c r="AT146" s="48">
        <f t="shared" ca="1" si="53"/>
        <v>1.4851731780821911</v>
      </c>
      <c r="AU146" s="3">
        <f t="shared" ca="1" si="45"/>
        <v>-1.4851731780821911</v>
      </c>
      <c r="AV146" s="3">
        <f t="shared" ca="1" si="46"/>
        <v>-1.4851731780821911</v>
      </c>
    </row>
    <row r="147" spans="1:48" x14ac:dyDescent="0.2">
      <c r="A147" s="4">
        <v>44784</v>
      </c>
      <c r="B147" s="1" t="s">
        <v>65</v>
      </c>
      <c r="H147" s="3">
        <v>594.02</v>
      </c>
      <c r="M147" s="3" t="str">
        <f t="shared" si="38"/>
        <v/>
      </c>
      <c r="N147" s="3"/>
      <c r="AA147" s="3">
        <f t="shared" si="39"/>
        <v>3450000</v>
      </c>
      <c r="AB147" s="3">
        <f t="shared" si="47"/>
        <v>3450000.0000000028</v>
      </c>
      <c r="AC147" s="3">
        <f t="shared" si="48"/>
        <v>601180.88999999943</v>
      </c>
      <c r="AD147" s="3">
        <f t="shared" si="49"/>
        <v>2848819.1100000036</v>
      </c>
      <c r="AE147" s="1">
        <f t="shared" ca="1" si="50"/>
        <v>5</v>
      </c>
      <c r="AG147" s="3">
        <f t="shared" si="51"/>
        <v>-594.02</v>
      </c>
      <c r="AH147" s="1">
        <f t="shared" si="40"/>
        <v>433</v>
      </c>
      <c r="AI147" s="3">
        <f t="shared" si="41"/>
        <v>-594.02</v>
      </c>
      <c r="AL147" s="3">
        <f t="shared" si="42"/>
        <v>-594.02</v>
      </c>
      <c r="AM147" s="3">
        <f t="shared" si="43"/>
        <v>-594.02</v>
      </c>
      <c r="AQ147" s="4">
        <f t="shared" ca="1" si="52"/>
        <v>44495</v>
      </c>
      <c r="AR147" s="3">
        <f t="shared" ca="1" si="44"/>
        <v>542088.20999999973</v>
      </c>
      <c r="AS147" s="63">
        <f ca="1">IF($AQ147&lt;&gt;"", INDEX(Inputs!$B$3:$B$101, MATCH($AQ147,Inputs!$A$3:$A$101,1)), "")</f>
        <v>1E-3</v>
      </c>
      <c r="AT147" s="48">
        <f t="shared" ca="1" si="53"/>
        <v>1.4851731780821911</v>
      </c>
      <c r="AU147" s="3">
        <f t="shared" ca="1" si="45"/>
        <v>-1.4851731780821911</v>
      </c>
      <c r="AV147" s="3">
        <f t="shared" ca="1" si="46"/>
        <v>-1.4851731780821911</v>
      </c>
    </row>
    <row r="148" spans="1:48" x14ac:dyDescent="0.2">
      <c r="A148" s="4">
        <v>44789</v>
      </c>
      <c r="B148" s="1" t="s">
        <v>104</v>
      </c>
      <c r="F148" s="3">
        <v>9818.51</v>
      </c>
      <c r="M148" s="3" t="str">
        <f t="shared" si="38"/>
        <v/>
      </c>
      <c r="N148" s="3"/>
      <c r="AA148" s="3">
        <f t="shared" si="39"/>
        <v>3450000</v>
      </c>
      <c r="AB148" s="3">
        <f t="shared" si="47"/>
        <v>3450000.0000000033</v>
      </c>
      <c r="AC148" s="3">
        <f t="shared" si="48"/>
        <v>610999.39999999944</v>
      </c>
      <c r="AD148" s="3">
        <f t="shared" si="49"/>
        <v>2839000.6000000038</v>
      </c>
      <c r="AE148" s="1">
        <f t="shared" ca="1" si="50"/>
        <v>0</v>
      </c>
      <c r="AG148" s="3">
        <f t="shared" si="51"/>
        <v>-9818.51</v>
      </c>
      <c r="AH148" s="1">
        <f t="shared" si="40"/>
        <v>438</v>
      </c>
      <c r="AI148" s="3">
        <f t="shared" si="41"/>
        <v>-9818.51</v>
      </c>
      <c r="AL148" s="3">
        <f t="shared" si="42"/>
        <v>-9818.51</v>
      </c>
      <c r="AM148" s="3">
        <f t="shared" si="43"/>
        <v>-9818.51</v>
      </c>
      <c r="AQ148" s="4">
        <f t="shared" ca="1" si="52"/>
        <v>44496</v>
      </c>
      <c r="AR148" s="3">
        <f t="shared" ca="1" si="44"/>
        <v>542088.20999999973</v>
      </c>
      <c r="AS148" s="63">
        <f ca="1">IF($AQ148&lt;&gt;"", INDEX(Inputs!$B$3:$B$101, MATCH($AQ148,Inputs!$A$3:$A$101,1)), "")</f>
        <v>1E-3</v>
      </c>
      <c r="AT148" s="48">
        <f t="shared" ca="1" si="53"/>
        <v>1.4851731780821911</v>
      </c>
      <c r="AU148" s="3">
        <f t="shared" ca="1" si="45"/>
        <v>-1.4851731780821911</v>
      </c>
      <c r="AV148" s="3">
        <f t="shared" ca="1" si="46"/>
        <v>-1.4851731780821911</v>
      </c>
    </row>
    <row r="149" spans="1:48" x14ac:dyDescent="0.2">
      <c r="A149" s="4">
        <v>44789</v>
      </c>
      <c r="B149" s="1" t="s">
        <v>105</v>
      </c>
      <c r="F149" s="3">
        <v>2254.54</v>
      </c>
      <c r="M149" s="3" t="str">
        <f t="shared" si="38"/>
        <v/>
      </c>
      <c r="N149" s="3"/>
      <c r="P149" s="3"/>
      <c r="AA149" s="3">
        <f t="shared" si="39"/>
        <v>3450000</v>
      </c>
      <c r="AB149" s="3">
        <f t="shared" si="47"/>
        <v>3450000.0000000033</v>
      </c>
      <c r="AC149" s="3">
        <f t="shared" si="48"/>
        <v>613253.93999999948</v>
      </c>
      <c r="AD149" s="3">
        <f t="shared" si="49"/>
        <v>2836746.0600000038</v>
      </c>
      <c r="AE149" s="1">
        <f t="shared" ca="1" si="50"/>
        <v>15</v>
      </c>
      <c r="AG149" s="3">
        <f t="shared" si="51"/>
        <v>-2254.54</v>
      </c>
      <c r="AH149" s="1">
        <f t="shared" si="40"/>
        <v>438</v>
      </c>
      <c r="AI149" s="3">
        <f t="shared" si="41"/>
        <v>-2254.54</v>
      </c>
      <c r="AL149" s="3">
        <f t="shared" si="42"/>
        <v>-2254.54</v>
      </c>
      <c r="AM149" s="3">
        <f t="shared" si="43"/>
        <v>-2254.54</v>
      </c>
      <c r="AQ149" s="4">
        <f t="shared" ca="1" si="52"/>
        <v>44497</v>
      </c>
      <c r="AR149" s="3">
        <f t="shared" ca="1" si="44"/>
        <v>542088.20999999973</v>
      </c>
      <c r="AS149" s="63">
        <f ca="1">IF($AQ149&lt;&gt;"", INDEX(Inputs!$B$3:$B$101, MATCH($AQ149,Inputs!$A$3:$A$101,1)), "")</f>
        <v>1E-3</v>
      </c>
      <c r="AT149" s="48">
        <f t="shared" ca="1" si="53"/>
        <v>1.4851731780821911</v>
      </c>
      <c r="AU149" s="3">
        <f t="shared" ca="1" si="45"/>
        <v>-1.4851731780821911</v>
      </c>
      <c r="AV149" s="3">
        <f t="shared" ca="1" si="46"/>
        <v>-1.4851731780821911</v>
      </c>
    </row>
    <row r="150" spans="1:48" x14ac:dyDescent="0.2">
      <c r="A150" s="4">
        <v>44804</v>
      </c>
      <c r="B150" s="1" t="s">
        <v>103</v>
      </c>
      <c r="G150" s="3">
        <v>4441.72</v>
      </c>
      <c r="M150" s="3" t="str">
        <f t="shared" si="38"/>
        <v/>
      </c>
      <c r="N150" s="3"/>
      <c r="AA150" s="3">
        <f t="shared" si="39"/>
        <v>3450000</v>
      </c>
      <c r="AB150" s="3">
        <f t="shared" si="47"/>
        <v>3450000.0000000037</v>
      </c>
      <c r="AC150" s="3">
        <f t="shared" si="48"/>
        <v>608812.21999999951</v>
      </c>
      <c r="AD150" s="3">
        <f t="shared" si="49"/>
        <v>2841187.780000004</v>
      </c>
      <c r="AE150" s="1">
        <f t="shared" ca="1" si="50"/>
        <v>0</v>
      </c>
      <c r="AG150" s="3">
        <f t="shared" si="51"/>
        <v>0</v>
      </c>
      <c r="AH150" s="1">
        <f t="shared" si="40"/>
        <v>453</v>
      </c>
      <c r="AI150" s="3">
        <f t="shared" si="41"/>
        <v>0</v>
      </c>
      <c r="AL150" s="3">
        <f t="shared" si="42"/>
        <v>0</v>
      </c>
      <c r="AM150" s="3">
        <f t="shared" si="43"/>
        <v>0</v>
      </c>
      <c r="AQ150" s="4">
        <f t="shared" ca="1" si="52"/>
        <v>44498</v>
      </c>
      <c r="AR150" s="3">
        <f t="shared" ca="1" si="44"/>
        <v>537461.62999999977</v>
      </c>
      <c r="AS150" s="63">
        <f ca="1">IF($AQ150&lt;&gt;"", INDEX(Inputs!$B$3:$B$101, MATCH($AQ150,Inputs!$A$3:$A$101,1)), "")</f>
        <v>1E-3</v>
      </c>
      <c r="AT150" s="48">
        <f t="shared" ca="1" si="53"/>
        <v>1.4724976164383556</v>
      </c>
      <c r="AU150" s="3">
        <f t="shared" ca="1" si="45"/>
        <v>1898.5275023835616</v>
      </c>
      <c r="AV150" s="3">
        <f t="shared" ca="1" si="46"/>
        <v>1898.5275023835616</v>
      </c>
    </row>
    <row r="151" spans="1:48" x14ac:dyDescent="0.2">
      <c r="A151" s="4">
        <v>44804</v>
      </c>
      <c r="B151" s="1" t="s">
        <v>106</v>
      </c>
      <c r="G151" s="3">
        <v>1590.38</v>
      </c>
      <c r="M151" s="3" t="str">
        <f t="shared" si="38"/>
        <v/>
      </c>
      <c r="N151" s="3"/>
      <c r="P151" s="3"/>
      <c r="AA151" s="3">
        <f t="shared" si="39"/>
        <v>3450000</v>
      </c>
      <c r="AB151" s="3">
        <f t="shared" si="47"/>
        <v>3450000.0000000033</v>
      </c>
      <c r="AC151" s="3">
        <f t="shared" si="48"/>
        <v>607221.8399999995</v>
      </c>
      <c r="AD151" s="3">
        <f t="shared" si="49"/>
        <v>2842778.1600000039</v>
      </c>
      <c r="AE151" s="1">
        <f t="shared" ca="1" si="50"/>
        <v>12</v>
      </c>
      <c r="AG151" s="3">
        <f t="shared" si="51"/>
        <v>0</v>
      </c>
      <c r="AH151" s="1">
        <f t="shared" si="40"/>
        <v>453</v>
      </c>
      <c r="AI151" s="3">
        <f t="shared" si="41"/>
        <v>0</v>
      </c>
      <c r="AL151" s="3">
        <f t="shared" si="42"/>
        <v>0</v>
      </c>
      <c r="AM151" s="3">
        <f t="shared" si="43"/>
        <v>0</v>
      </c>
      <c r="AQ151" s="4">
        <f t="shared" ca="1" si="52"/>
        <v>44499</v>
      </c>
      <c r="AR151" s="3">
        <f t="shared" ca="1" si="44"/>
        <v>537461.62999999977</v>
      </c>
      <c r="AS151" s="63">
        <f ca="1">IF($AQ151&lt;&gt;"", INDEX(Inputs!$B$3:$B$101, MATCH($AQ151,Inputs!$A$3:$A$101,1)), "")</f>
        <v>1E-3</v>
      </c>
      <c r="AT151" s="48">
        <f t="shared" ca="1" si="53"/>
        <v>1.4724976164383556</v>
      </c>
      <c r="AU151" s="3">
        <f t="shared" ca="1" si="45"/>
        <v>-1.4724976164383556</v>
      </c>
      <c r="AV151" s="3">
        <f t="shared" ca="1" si="46"/>
        <v>-1.4724976164383556</v>
      </c>
    </row>
    <row r="152" spans="1:48" x14ac:dyDescent="0.2">
      <c r="A152" s="4">
        <v>44816</v>
      </c>
      <c r="B152" s="1" t="s">
        <v>57</v>
      </c>
      <c r="I152" s="3">
        <v>15260</v>
      </c>
      <c r="M152" s="3" t="str">
        <f t="shared" si="38"/>
        <v/>
      </c>
      <c r="N152" s="3"/>
      <c r="AA152" s="3">
        <f t="shared" si="39"/>
        <v>3450000</v>
      </c>
      <c r="AB152" s="3">
        <f t="shared" si="47"/>
        <v>3450000.0000000033</v>
      </c>
      <c r="AC152" s="3">
        <f t="shared" si="48"/>
        <v>607221.8399999995</v>
      </c>
      <c r="AD152" s="3">
        <f t="shared" si="49"/>
        <v>2842778.1600000039</v>
      </c>
      <c r="AE152" s="1">
        <f t="shared" ca="1" si="50"/>
        <v>4</v>
      </c>
      <c r="AG152" s="3">
        <f t="shared" si="51"/>
        <v>15260</v>
      </c>
      <c r="AH152" s="1">
        <f t="shared" si="40"/>
        <v>465</v>
      </c>
      <c r="AI152" s="3">
        <f t="shared" si="41"/>
        <v>15260</v>
      </c>
      <c r="AL152" s="3">
        <f t="shared" si="42"/>
        <v>15260</v>
      </c>
      <c r="AM152" s="3">
        <f t="shared" si="43"/>
        <v>15260</v>
      </c>
      <c r="AQ152" s="4">
        <f t="shared" ca="1" si="52"/>
        <v>44500</v>
      </c>
      <c r="AR152" s="3">
        <f t="shared" ca="1" si="44"/>
        <v>537461.62999999977</v>
      </c>
      <c r="AS152" s="63">
        <f ca="1">IF($AQ152&lt;&gt;"", INDEX(Inputs!$B$3:$B$101, MATCH($AQ152,Inputs!$A$3:$A$101,1)), "")</f>
        <v>1E-3</v>
      </c>
      <c r="AT152" s="48">
        <f t="shared" ca="1" si="53"/>
        <v>1.4724976164383556</v>
      </c>
      <c r="AU152" s="3">
        <f t="shared" ca="1" si="45"/>
        <v>-1.4724976164383556</v>
      </c>
      <c r="AV152" s="3">
        <f t="shared" ca="1" si="46"/>
        <v>-1.4724976164383556</v>
      </c>
    </row>
    <row r="153" spans="1:48" x14ac:dyDescent="0.2">
      <c r="A153" s="4">
        <v>44820</v>
      </c>
      <c r="B153" s="1" t="s">
        <v>57</v>
      </c>
      <c r="I153" s="3">
        <v>1900</v>
      </c>
      <c r="M153" s="3" t="str">
        <f t="shared" si="38"/>
        <v/>
      </c>
      <c r="N153" s="3"/>
      <c r="AA153" s="3">
        <f t="shared" si="39"/>
        <v>3450000</v>
      </c>
      <c r="AB153" s="3">
        <f t="shared" si="47"/>
        <v>3450000.0000000033</v>
      </c>
      <c r="AC153" s="3">
        <f t="shared" si="48"/>
        <v>607221.8399999995</v>
      </c>
      <c r="AD153" s="3">
        <f t="shared" si="49"/>
        <v>2842778.1600000039</v>
      </c>
      <c r="AE153" s="1">
        <f t="shared" ca="1" si="50"/>
        <v>0</v>
      </c>
      <c r="AG153" s="3">
        <f t="shared" si="51"/>
        <v>1900</v>
      </c>
      <c r="AH153" s="1">
        <f t="shared" si="40"/>
        <v>469</v>
      </c>
      <c r="AI153" s="3">
        <f t="shared" si="41"/>
        <v>1900</v>
      </c>
      <c r="AL153" s="3">
        <f t="shared" si="42"/>
        <v>1900</v>
      </c>
      <c r="AM153" s="3">
        <f t="shared" si="43"/>
        <v>1900</v>
      </c>
      <c r="AQ153" s="4">
        <f t="shared" ca="1" si="52"/>
        <v>44501</v>
      </c>
      <c r="AR153" s="3">
        <f t="shared" ca="1" si="44"/>
        <v>537461.62999999977</v>
      </c>
      <c r="AS153" s="63">
        <f ca="1">IF($AQ153&lt;&gt;"", INDEX(Inputs!$B$3:$B$101, MATCH($AQ153,Inputs!$A$3:$A$101,1)), "")</f>
        <v>1E-3</v>
      </c>
      <c r="AT153" s="48">
        <f t="shared" ca="1" si="53"/>
        <v>1.4724976164383556</v>
      </c>
      <c r="AU153" s="3">
        <f t="shared" ca="1" si="45"/>
        <v>-1.4724976164383556</v>
      </c>
      <c r="AV153" s="3">
        <f t="shared" ca="1" si="46"/>
        <v>-1.4724976164383556</v>
      </c>
    </row>
    <row r="154" spans="1:48" x14ac:dyDescent="0.2">
      <c r="A154" s="4">
        <v>44820</v>
      </c>
      <c r="B154" s="1" t="s">
        <v>104</v>
      </c>
      <c r="F154" s="3">
        <v>9818.51</v>
      </c>
      <c r="M154" s="3" t="str">
        <f t="shared" si="38"/>
        <v/>
      </c>
      <c r="N154" s="3"/>
      <c r="AA154" s="3">
        <f t="shared" si="39"/>
        <v>3450000</v>
      </c>
      <c r="AB154" s="3">
        <f t="shared" si="47"/>
        <v>3450000.0000000037</v>
      </c>
      <c r="AC154" s="3">
        <f t="shared" si="48"/>
        <v>617040.34999999951</v>
      </c>
      <c r="AD154" s="3">
        <f t="shared" si="49"/>
        <v>2832959.6500000041</v>
      </c>
      <c r="AE154" s="1">
        <f t="shared" ca="1" si="50"/>
        <v>0</v>
      </c>
      <c r="AG154" s="3">
        <f t="shared" si="51"/>
        <v>-9818.51</v>
      </c>
      <c r="AH154" s="1">
        <f t="shared" si="40"/>
        <v>469</v>
      </c>
      <c r="AI154" s="3">
        <f t="shared" si="41"/>
        <v>-9818.51</v>
      </c>
      <c r="AL154" s="3">
        <f t="shared" si="42"/>
        <v>-9818.51</v>
      </c>
      <c r="AM154" s="3">
        <f t="shared" si="43"/>
        <v>-9818.51</v>
      </c>
      <c r="AQ154" s="4">
        <f t="shared" ca="1" si="52"/>
        <v>44502</v>
      </c>
      <c r="AR154" s="3">
        <f t="shared" ca="1" si="44"/>
        <v>537461.62999999977</v>
      </c>
      <c r="AS154" s="63">
        <f ca="1">IF($AQ154&lt;&gt;"", INDEX(Inputs!$B$3:$B$101, MATCH($AQ154,Inputs!$A$3:$A$101,1)), "")</f>
        <v>1E-3</v>
      </c>
      <c r="AT154" s="48">
        <f t="shared" ca="1" si="53"/>
        <v>1.4724976164383556</v>
      </c>
      <c r="AU154" s="3">
        <f t="shared" ca="1" si="45"/>
        <v>-1.4724976164383556</v>
      </c>
      <c r="AV154" s="3">
        <f t="shared" ca="1" si="46"/>
        <v>-1.4724976164383556</v>
      </c>
    </row>
    <row r="155" spans="1:48" x14ac:dyDescent="0.2">
      <c r="A155" s="4">
        <v>44820</v>
      </c>
      <c r="B155" s="1" t="s">
        <v>105</v>
      </c>
      <c r="F155" s="3">
        <v>2254.54</v>
      </c>
      <c r="M155" s="3" t="str">
        <f t="shared" si="38"/>
        <v/>
      </c>
      <c r="N155" s="3"/>
      <c r="P155" s="3"/>
      <c r="AA155" s="3">
        <f t="shared" si="39"/>
        <v>3450000</v>
      </c>
      <c r="AB155" s="3">
        <f t="shared" si="47"/>
        <v>3450000.0000000037</v>
      </c>
      <c r="AC155" s="3">
        <f t="shared" si="48"/>
        <v>619294.88999999955</v>
      </c>
      <c r="AD155" s="3">
        <f t="shared" si="49"/>
        <v>2830705.1100000041</v>
      </c>
      <c r="AE155" s="1">
        <f t="shared" ca="1" si="50"/>
        <v>7</v>
      </c>
      <c r="AG155" s="3">
        <f t="shared" si="51"/>
        <v>-2254.54</v>
      </c>
      <c r="AH155" s="1">
        <f t="shared" si="40"/>
        <v>469</v>
      </c>
      <c r="AI155" s="3">
        <f t="shared" si="41"/>
        <v>-2254.54</v>
      </c>
      <c r="AL155" s="3">
        <f t="shared" si="42"/>
        <v>-2254.54</v>
      </c>
      <c r="AM155" s="3">
        <f t="shared" si="43"/>
        <v>-2254.54</v>
      </c>
      <c r="AQ155" s="4">
        <f t="shared" ca="1" si="52"/>
        <v>44503</v>
      </c>
      <c r="AR155" s="3">
        <f t="shared" ca="1" si="44"/>
        <v>537461.62999999977</v>
      </c>
      <c r="AS155" s="63">
        <f ca="1">IF($AQ155&lt;&gt;"", INDEX(Inputs!$B$3:$B$101, MATCH($AQ155,Inputs!$A$3:$A$101,1)), "")</f>
        <v>1E-3</v>
      </c>
      <c r="AT155" s="48">
        <f t="shared" ca="1" si="53"/>
        <v>1.4724976164383556</v>
      </c>
      <c r="AU155" s="3">
        <f t="shared" ca="1" si="45"/>
        <v>-1.4724976164383556</v>
      </c>
      <c r="AV155" s="3">
        <f t="shared" ca="1" si="46"/>
        <v>-1.4724976164383556</v>
      </c>
    </row>
    <row r="156" spans="1:48" x14ac:dyDescent="0.2">
      <c r="A156" s="4">
        <v>44827</v>
      </c>
      <c r="B156" s="1" t="s">
        <v>57</v>
      </c>
      <c r="I156" s="3">
        <v>1900</v>
      </c>
      <c r="M156" s="3" t="str">
        <f t="shared" si="38"/>
        <v/>
      </c>
      <c r="N156" s="3"/>
      <c r="AA156" s="3">
        <f t="shared" si="39"/>
        <v>3450000</v>
      </c>
      <c r="AB156" s="3">
        <f t="shared" si="47"/>
        <v>3450000.0000000037</v>
      </c>
      <c r="AC156" s="3">
        <f t="shared" si="48"/>
        <v>619294.88999999955</v>
      </c>
      <c r="AD156" s="3">
        <f t="shared" si="49"/>
        <v>2830705.1100000041</v>
      </c>
      <c r="AE156" s="1">
        <f t="shared" ca="1" si="50"/>
        <v>3</v>
      </c>
      <c r="AG156" s="3">
        <f t="shared" si="51"/>
        <v>1900</v>
      </c>
      <c r="AH156" s="1">
        <f t="shared" si="40"/>
        <v>476</v>
      </c>
      <c r="AI156" s="3">
        <f t="shared" si="41"/>
        <v>1900</v>
      </c>
      <c r="AL156" s="3">
        <f t="shared" si="42"/>
        <v>1900</v>
      </c>
      <c r="AM156" s="3">
        <f t="shared" si="43"/>
        <v>1900</v>
      </c>
      <c r="AQ156" s="4">
        <f t="shared" ca="1" si="52"/>
        <v>44504</v>
      </c>
      <c r="AR156" s="3">
        <f t="shared" ca="1" si="44"/>
        <v>537461.62999999977</v>
      </c>
      <c r="AS156" s="63">
        <f ca="1">IF($AQ156&lt;&gt;"", INDEX(Inputs!$B$3:$B$101, MATCH($AQ156,Inputs!$A$3:$A$101,1)), "")</f>
        <v>1E-3</v>
      </c>
      <c r="AT156" s="48">
        <f t="shared" ca="1" si="53"/>
        <v>1.4724976164383556</v>
      </c>
      <c r="AU156" s="3">
        <f t="shared" ca="1" si="45"/>
        <v>-1.4724976164383556</v>
      </c>
      <c r="AV156" s="3">
        <f t="shared" ca="1" si="46"/>
        <v>-1.4724976164383556</v>
      </c>
    </row>
    <row r="157" spans="1:48" x14ac:dyDescent="0.2">
      <c r="A157" s="4">
        <v>44830</v>
      </c>
      <c r="B157" s="1" t="s">
        <v>80</v>
      </c>
      <c r="H157" s="3">
        <v>266.70999999999998</v>
      </c>
      <c r="M157" s="3" t="str">
        <f t="shared" si="38"/>
        <v/>
      </c>
      <c r="N157" s="3"/>
      <c r="AA157" s="3">
        <f t="shared" si="39"/>
        <v>3450000</v>
      </c>
      <c r="AB157" s="3">
        <f t="shared" si="47"/>
        <v>3450000.0000000037</v>
      </c>
      <c r="AC157" s="3">
        <f t="shared" si="48"/>
        <v>619294.88999999955</v>
      </c>
      <c r="AD157" s="3">
        <f t="shared" si="49"/>
        <v>2830705.1100000041</v>
      </c>
      <c r="AE157" s="1">
        <f t="shared" ca="1" si="50"/>
        <v>4</v>
      </c>
      <c r="AG157" s="3">
        <f t="shared" si="51"/>
        <v>-266.70999999999998</v>
      </c>
      <c r="AH157" s="1">
        <f t="shared" si="40"/>
        <v>479</v>
      </c>
      <c r="AI157" s="3">
        <f t="shared" si="41"/>
        <v>-266.70999999999998</v>
      </c>
      <c r="AL157" s="3">
        <f t="shared" si="42"/>
        <v>-266.70999999999998</v>
      </c>
      <c r="AM157" s="3">
        <f t="shared" si="43"/>
        <v>-266.70999999999998</v>
      </c>
      <c r="AQ157" s="4">
        <f t="shared" ca="1" si="52"/>
        <v>44505</v>
      </c>
      <c r="AR157" s="3">
        <f t="shared" ca="1" si="44"/>
        <v>537461.62999999977</v>
      </c>
      <c r="AS157" s="63">
        <f ca="1">IF($AQ157&lt;&gt;"", INDEX(Inputs!$B$3:$B$101, MATCH($AQ157,Inputs!$A$3:$A$101,1)), "")</f>
        <v>1E-3</v>
      </c>
      <c r="AT157" s="48">
        <f t="shared" ca="1" si="53"/>
        <v>1.4724976164383556</v>
      </c>
      <c r="AU157" s="3">
        <f t="shared" ca="1" si="45"/>
        <v>1898.5275023835616</v>
      </c>
      <c r="AV157" s="3">
        <f t="shared" ca="1" si="46"/>
        <v>1898.5275023835616</v>
      </c>
    </row>
    <row r="158" spans="1:48" x14ac:dyDescent="0.2">
      <c r="A158" s="4">
        <v>44834</v>
      </c>
      <c r="B158" s="1" t="s">
        <v>57</v>
      </c>
      <c r="I158" s="3">
        <v>1900</v>
      </c>
      <c r="M158" s="3" t="str">
        <f t="shared" si="38"/>
        <v/>
      </c>
      <c r="N158" s="3"/>
      <c r="AA158" s="3">
        <f t="shared" si="39"/>
        <v>3450000</v>
      </c>
      <c r="AB158" s="3">
        <f t="shared" si="47"/>
        <v>3450000.0000000037</v>
      </c>
      <c r="AC158" s="3">
        <f t="shared" si="48"/>
        <v>619294.88999999955</v>
      </c>
      <c r="AD158" s="3">
        <f t="shared" si="49"/>
        <v>2830705.1100000041</v>
      </c>
      <c r="AE158" s="1">
        <f t="shared" ca="1" si="50"/>
        <v>0</v>
      </c>
      <c r="AG158" s="3">
        <f t="shared" si="51"/>
        <v>1900</v>
      </c>
      <c r="AH158" s="1">
        <f t="shared" si="40"/>
        <v>483</v>
      </c>
      <c r="AI158" s="3">
        <f t="shared" si="41"/>
        <v>1900</v>
      </c>
      <c r="AL158" s="3">
        <f t="shared" si="42"/>
        <v>1900</v>
      </c>
      <c r="AM158" s="3">
        <f t="shared" si="43"/>
        <v>1900</v>
      </c>
      <c r="AQ158" s="4">
        <f t="shared" ca="1" si="52"/>
        <v>44506</v>
      </c>
      <c r="AR158" s="3">
        <f t="shared" ca="1" si="44"/>
        <v>537461.62999999977</v>
      </c>
      <c r="AS158" s="63">
        <f ca="1">IF($AQ158&lt;&gt;"", INDEX(Inputs!$B$3:$B$101, MATCH($AQ158,Inputs!$A$3:$A$101,1)), "")</f>
        <v>1E-3</v>
      </c>
      <c r="AT158" s="48">
        <f t="shared" ca="1" si="53"/>
        <v>1.4724976164383556</v>
      </c>
      <c r="AU158" s="3">
        <f t="shared" ca="1" si="45"/>
        <v>-1.4724976164383556</v>
      </c>
      <c r="AV158" s="3">
        <f t="shared" ca="1" si="46"/>
        <v>-1.4724976164383556</v>
      </c>
    </row>
    <row r="159" spans="1:48" x14ac:dyDescent="0.2">
      <c r="A159" s="4">
        <v>44834</v>
      </c>
      <c r="B159" s="1" t="s">
        <v>103</v>
      </c>
      <c r="G159" s="3">
        <v>4028.53</v>
      </c>
      <c r="M159" s="3" t="str">
        <f t="shared" si="38"/>
        <v/>
      </c>
      <c r="N159" s="3"/>
      <c r="AA159" s="3">
        <f t="shared" si="39"/>
        <v>3450000</v>
      </c>
      <c r="AB159" s="3">
        <f t="shared" si="47"/>
        <v>3450000.0000000033</v>
      </c>
      <c r="AC159" s="3">
        <f t="shared" si="48"/>
        <v>615266.35999999952</v>
      </c>
      <c r="AD159" s="3">
        <f t="shared" si="49"/>
        <v>2834733.6400000039</v>
      </c>
      <c r="AE159" s="1">
        <f t="shared" ca="1" si="50"/>
        <v>0</v>
      </c>
      <c r="AG159" s="3">
        <f t="shared" si="51"/>
        <v>0</v>
      </c>
      <c r="AH159" s="1">
        <f t="shared" si="40"/>
        <v>483</v>
      </c>
      <c r="AI159" s="3">
        <f t="shared" si="41"/>
        <v>0</v>
      </c>
      <c r="AL159" s="3">
        <f t="shared" si="42"/>
        <v>0</v>
      </c>
      <c r="AM159" s="3">
        <f t="shared" si="43"/>
        <v>0</v>
      </c>
      <c r="AQ159" s="4">
        <f t="shared" ca="1" si="52"/>
        <v>44507</v>
      </c>
      <c r="AR159" s="3">
        <f t="shared" ca="1" si="44"/>
        <v>537461.62999999977</v>
      </c>
      <c r="AS159" s="63">
        <f ca="1">IF($AQ159&lt;&gt;"", INDEX(Inputs!$B$3:$B$101, MATCH($AQ159,Inputs!$A$3:$A$101,1)), "")</f>
        <v>1E-3</v>
      </c>
      <c r="AT159" s="48">
        <f t="shared" ca="1" si="53"/>
        <v>1.4724976164383556</v>
      </c>
      <c r="AU159" s="3">
        <f t="shared" ca="1" si="45"/>
        <v>-1.4724976164383556</v>
      </c>
      <c r="AV159" s="3">
        <f t="shared" ca="1" si="46"/>
        <v>-1.4724976164383556</v>
      </c>
    </row>
    <row r="160" spans="1:48" x14ac:dyDescent="0.2">
      <c r="A160" s="4">
        <v>44834</v>
      </c>
      <c r="B160" s="1" t="s">
        <v>106</v>
      </c>
      <c r="G160" s="3">
        <v>1570.24</v>
      </c>
      <c r="M160" s="3" t="str">
        <f t="shared" si="38"/>
        <v/>
      </c>
      <c r="N160" s="3"/>
      <c r="P160" s="3"/>
      <c r="AA160" s="3">
        <f t="shared" si="39"/>
        <v>3450000</v>
      </c>
      <c r="AB160" s="3">
        <f t="shared" si="47"/>
        <v>3450000.0000000037</v>
      </c>
      <c r="AC160" s="3">
        <f t="shared" si="48"/>
        <v>613696.11999999953</v>
      </c>
      <c r="AD160" s="3">
        <f t="shared" si="49"/>
        <v>2836303.8800000041</v>
      </c>
      <c r="AE160" s="1">
        <f t="shared" ca="1" si="50"/>
        <v>7</v>
      </c>
      <c r="AG160" s="3">
        <f t="shared" si="51"/>
        <v>0</v>
      </c>
      <c r="AH160" s="1">
        <f t="shared" si="40"/>
        <v>483</v>
      </c>
      <c r="AI160" s="3">
        <f t="shared" si="41"/>
        <v>0</v>
      </c>
      <c r="AL160" s="3">
        <f t="shared" si="42"/>
        <v>0</v>
      </c>
      <c r="AM160" s="3">
        <f t="shared" si="43"/>
        <v>0</v>
      </c>
      <c r="AQ160" s="4">
        <f t="shared" ca="1" si="52"/>
        <v>44508</v>
      </c>
      <c r="AR160" s="3">
        <f t="shared" ca="1" si="44"/>
        <v>537461.62999999977</v>
      </c>
      <c r="AS160" s="63">
        <f ca="1">IF($AQ160&lt;&gt;"", INDEX(Inputs!$B$3:$B$101, MATCH($AQ160,Inputs!$A$3:$A$101,1)), "")</f>
        <v>1E-3</v>
      </c>
      <c r="AT160" s="48">
        <f t="shared" ca="1" si="53"/>
        <v>1.4724976164383556</v>
      </c>
      <c r="AU160" s="3">
        <f t="shared" ca="1" si="45"/>
        <v>-1.4724976164383556</v>
      </c>
      <c r="AV160" s="3">
        <f t="shared" ca="1" si="46"/>
        <v>-1.4724976164383556</v>
      </c>
    </row>
    <row r="161" spans="1:48" x14ac:dyDescent="0.2">
      <c r="A161" s="4">
        <v>44841</v>
      </c>
      <c r="B161" s="1" t="s">
        <v>57</v>
      </c>
      <c r="I161" s="3">
        <v>1900</v>
      </c>
      <c r="M161" s="3" t="str">
        <f t="shared" si="38"/>
        <v/>
      </c>
      <c r="N161" s="3"/>
      <c r="AA161" s="3">
        <f t="shared" si="39"/>
        <v>3450000</v>
      </c>
      <c r="AB161" s="3">
        <f t="shared" si="47"/>
        <v>3450000.0000000037</v>
      </c>
      <c r="AC161" s="3">
        <f t="shared" si="48"/>
        <v>613696.11999999953</v>
      </c>
      <c r="AD161" s="3">
        <f t="shared" si="49"/>
        <v>2836303.8800000041</v>
      </c>
      <c r="AE161" s="1">
        <f t="shared" ca="1" si="50"/>
        <v>7</v>
      </c>
      <c r="AG161" s="3">
        <f t="shared" si="51"/>
        <v>1900</v>
      </c>
      <c r="AH161" s="1">
        <f t="shared" si="40"/>
        <v>490</v>
      </c>
      <c r="AI161" s="3">
        <f t="shared" si="41"/>
        <v>1900</v>
      </c>
      <c r="AL161" s="3">
        <f t="shared" si="42"/>
        <v>1900</v>
      </c>
      <c r="AM161" s="3">
        <f t="shared" si="43"/>
        <v>1900</v>
      </c>
      <c r="AQ161" s="4">
        <f t="shared" ca="1" si="52"/>
        <v>44509</v>
      </c>
      <c r="AR161" s="3">
        <f t="shared" ca="1" si="44"/>
        <v>537461.62999999977</v>
      </c>
      <c r="AS161" s="63">
        <f ca="1">IF($AQ161&lt;&gt;"", INDEX(Inputs!$B$3:$B$101, MATCH($AQ161,Inputs!$A$3:$A$101,1)), "")</f>
        <v>1E-3</v>
      </c>
      <c r="AT161" s="48">
        <f t="shared" ca="1" si="53"/>
        <v>1.4724976164383556</v>
      </c>
      <c r="AU161" s="3">
        <f t="shared" ca="1" si="45"/>
        <v>-1.4724976164383556</v>
      </c>
      <c r="AV161" s="3">
        <f t="shared" ca="1" si="46"/>
        <v>-1.4724976164383556</v>
      </c>
    </row>
    <row r="162" spans="1:48" x14ac:dyDescent="0.2">
      <c r="A162" s="4">
        <v>44848</v>
      </c>
      <c r="B162" s="1" t="s">
        <v>57</v>
      </c>
      <c r="I162" s="3">
        <v>1900</v>
      </c>
      <c r="M162" s="3" t="str">
        <f t="shared" si="38"/>
        <v/>
      </c>
      <c r="N162" s="3"/>
      <c r="AA162" s="3">
        <f t="shared" si="39"/>
        <v>3450000</v>
      </c>
      <c r="AB162" s="3">
        <f t="shared" si="47"/>
        <v>3450000.0000000037</v>
      </c>
      <c r="AC162" s="3">
        <f t="shared" si="48"/>
        <v>613696.11999999953</v>
      </c>
      <c r="AD162" s="3">
        <f t="shared" si="49"/>
        <v>2836303.8800000041</v>
      </c>
      <c r="AE162" s="1">
        <f t="shared" ca="1" si="50"/>
        <v>3</v>
      </c>
      <c r="AG162" s="3">
        <f t="shared" si="51"/>
        <v>1900</v>
      </c>
      <c r="AH162" s="1">
        <f t="shared" si="40"/>
        <v>497</v>
      </c>
      <c r="AI162" s="3">
        <f t="shared" si="41"/>
        <v>1900</v>
      </c>
      <c r="AL162" s="3">
        <f t="shared" si="42"/>
        <v>1900</v>
      </c>
      <c r="AM162" s="3">
        <f t="shared" si="43"/>
        <v>1900</v>
      </c>
      <c r="AQ162" s="4">
        <f t="shared" ca="1" si="52"/>
        <v>44510</v>
      </c>
      <c r="AR162" s="3">
        <f t="shared" ca="1" si="44"/>
        <v>537461.62999999977</v>
      </c>
      <c r="AS162" s="63">
        <f ca="1">IF($AQ162&lt;&gt;"", INDEX(Inputs!$B$3:$B$101, MATCH($AQ162,Inputs!$A$3:$A$101,1)), "")</f>
        <v>1E-3</v>
      </c>
      <c r="AT162" s="48">
        <f t="shared" ca="1" si="53"/>
        <v>1.4724976164383556</v>
      </c>
      <c r="AU162" s="3">
        <f t="shared" ca="1" si="45"/>
        <v>-1.4724976164383556</v>
      </c>
      <c r="AV162" s="3">
        <f t="shared" ca="1" si="46"/>
        <v>-1.4724976164383556</v>
      </c>
    </row>
    <row r="163" spans="1:48" x14ac:dyDescent="0.2">
      <c r="A163" s="4">
        <v>44851</v>
      </c>
      <c r="B163" s="1" t="s">
        <v>104</v>
      </c>
      <c r="F163" s="3">
        <v>9818.51</v>
      </c>
      <c r="M163" s="3" t="str">
        <f t="shared" si="38"/>
        <v/>
      </c>
      <c r="N163" s="3"/>
      <c r="AA163" s="3">
        <f t="shared" si="39"/>
        <v>3450000</v>
      </c>
      <c r="AB163" s="3">
        <f t="shared" si="47"/>
        <v>3450000.0000000037</v>
      </c>
      <c r="AC163" s="3">
        <f t="shared" si="48"/>
        <v>623514.62999999954</v>
      </c>
      <c r="AD163" s="3">
        <f t="shared" si="49"/>
        <v>2826485.3700000043</v>
      </c>
      <c r="AE163" s="1">
        <f t="shared" ca="1" si="50"/>
        <v>0</v>
      </c>
      <c r="AG163" s="3">
        <f t="shared" si="51"/>
        <v>-9818.51</v>
      </c>
      <c r="AH163" s="1">
        <f t="shared" si="40"/>
        <v>500</v>
      </c>
      <c r="AI163" s="3">
        <f t="shared" si="41"/>
        <v>-9818.51</v>
      </c>
      <c r="AL163" s="3">
        <f t="shared" si="42"/>
        <v>-9818.51</v>
      </c>
      <c r="AM163" s="3">
        <f t="shared" si="43"/>
        <v>-9818.51</v>
      </c>
      <c r="AQ163" s="4">
        <f t="shared" ca="1" si="52"/>
        <v>44511</v>
      </c>
      <c r="AR163" s="3">
        <f t="shared" ca="1" si="44"/>
        <v>537461.62999999977</v>
      </c>
      <c r="AS163" s="63">
        <f ca="1">IF($AQ163&lt;&gt;"", INDEX(Inputs!$B$3:$B$101, MATCH($AQ163,Inputs!$A$3:$A$101,1)), "")</f>
        <v>1E-3</v>
      </c>
      <c r="AT163" s="48">
        <f t="shared" ca="1" si="53"/>
        <v>1.4724976164383556</v>
      </c>
      <c r="AU163" s="3">
        <f t="shared" ca="1" si="45"/>
        <v>-1.4724976164383556</v>
      </c>
      <c r="AV163" s="3">
        <f t="shared" ca="1" si="46"/>
        <v>-1.4724976164383556</v>
      </c>
    </row>
    <row r="164" spans="1:48" x14ac:dyDescent="0.2">
      <c r="A164" s="4">
        <v>44851</v>
      </c>
      <c r="B164" s="1" t="s">
        <v>105</v>
      </c>
      <c r="F164" s="3">
        <v>2254.54</v>
      </c>
      <c r="M164" s="3" t="str">
        <f t="shared" si="38"/>
        <v/>
      </c>
      <c r="N164" s="3"/>
      <c r="P164" s="3"/>
      <c r="AA164" s="3">
        <f t="shared" si="39"/>
        <v>3450000</v>
      </c>
      <c r="AB164" s="3">
        <f t="shared" si="47"/>
        <v>3450000.0000000037</v>
      </c>
      <c r="AC164" s="3">
        <f t="shared" si="48"/>
        <v>625769.16999999958</v>
      </c>
      <c r="AD164" s="3">
        <f t="shared" si="49"/>
        <v>2824230.8300000043</v>
      </c>
      <c r="AE164" s="1">
        <f t="shared" ca="1" si="50"/>
        <v>4</v>
      </c>
      <c r="AG164" s="3">
        <f t="shared" si="51"/>
        <v>-2254.54</v>
      </c>
      <c r="AH164" s="1">
        <f t="shared" si="40"/>
        <v>500</v>
      </c>
      <c r="AI164" s="3">
        <f t="shared" si="41"/>
        <v>-2254.54</v>
      </c>
      <c r="AL164" s="3">
        <f t="shared" si="42"/>
        <v>-2254.54</v>
      </c>
      <c r="AM164" s="3">
        <f t="shared" si="43"/>
        <v>-2254.54</v>
      </c>
      <c r="AQ164" s="4">
        <f t="shared" ca="1" si="52"/>
        <v>44512</v>
      </c>
      <c r="AR164" s="3">
        <f t="shared" ca="1" si="44"/>
        <v>537461.62999999977</v>
      </c>
      <c r="AS164" s="63">
        <f ca="1">IF($AQ164&lt;&gt;"", INDEX(Inputs!$B$3:$B$101, MATCH($AQ164,Inputs!$A$3:$A$101,1)), "")</f>
        <v>1E-3</v>
      </c>
      <c r="AT164" s="48">
        <f t="shared" ca="1" si="53"/>
        <v>1.4724976164383556</v>
      </c>
      <c r="AU164" s="3">
        <f t="shared" ca="1" si="45"/>
        <v>1898.5275023835616</v>
      </c>
      <c r="AV164" s="3">
        <f t="shared" ca="1" si="46"/>
        <v>1898.5275023835616</v>
      </c>
    </row>
    <row r="165" spans="1:48" x14ac:dyDescent="0.2">
      <c r="A165" s="4">
        <v>44855</v>
      </c>
      <c r="B165" s="1" t="s">
        <v>57</v>
      </c>
      <c r="I165" s="3">
        <v>1900</v>
      </c>
      <c r="M165" s="3" t="str">
        <f t="shared" si="38"/>
        <v/>
      </c>
      <c r="N165" s="3"/>
      <c r="AA165" s="3">
        <f t="shared" si="39"/>
        <v>3450000</v>
      </c>
      <c r="AB165" s="3">
        <f t="shared" si="47"/>
        <v>3450000.0000000037</v>
      </c>
      <c r="AC165" s="3">
        <f t="shared" si="48"/>
        <v>625769.16999999958</v>
      </c>
      <c r="AD165" s="3">
        <f t="shared" si="49"/>
        <v>2824230.8300000043</v>
      </c>
      <c r="AE165" s="1">
        <f t="shared" ca="1" si="50"/>
        <v>7</v>
      </c>
      <c r="AG165" s="3">
        <f t="shared" si="51"/>
        <v>1900</v>
      </c>
      <c r="AH165" s="1">
        <f t="shared" si="40"/>
        <v>504</v>
      </c>
      <c r="AI165" s="3">
        <f t="shared" si="41"/>
        <v>1900</v>
      </c>
      <c r="AL165" s="3">
        <f t="shared" si="42"/>
        <v>1900</v>
      </c>
      <c r="AM165" s="3">
        <f t="shared" si="43"/>
        <v>1900</v>
      </c>
      <c r="AQ165" s="4">
        <f t="shared" ca="1" si="52"/>
        <v>44513</v>
      </c>
      <c r="AR165" s="3">
        <f t="shared" ca="1" si="44"/>
        <v>537461.62999999977</v>
      </c>
      <c r="AS165" s="63">
        <f ca="1">IF($AQ165&lt;&gt;"", INDEX(Inputs!$B$3:$B$101, MATCH($AQ165,Inputs!$A$3:$A$101,1)), "")</f>
        <v>1E-3</v>
      </c>
      <c r="AT165" s="48">
        <f t="shared" ca="1" si="53"/>
        <v>1.4724976164383556</v>
      </c>
      <c r="AU165" s="3">
        <f t="shared" ca="1" si="45"/>
        <v>-1.4724976164383556</v>
      </c>
      <c r="AV165" s="3">
        <f t="shared" ca="1" si="46"/>
        <v>-1.4724976164383556</v>
      </c>
    </row>
    <row r="166" spans="1:48" x14ac:dyDescent="0.2">
      <c r="A166" s="4">
        <v>44862</v>
      </c>
      <c r="B166" s="1" t="s">
        <v>57</v>
      </c>
      <c r="I166" s="3">
        <v>1900</v>
      </c>
      <c r="M166" s="3" t="str">
        <f t="shared" si="38"/>
        <v/>
      </c>
      <c r="N166" s="3"/>
      <c r="AA166" s="3">
        <f t="shared" si="39"/>
        <v>3450000</v>
      </c>
      <c r="AB166" s="3">
        <f t="shared" si="47"/>
        <v>3450000.0000000037</v>
      </c>
      <c r="AC166" s="3">
        <f t="shared" si="48"/>
        <v>625769.16999999958</v>
      </c>
      <c r="AD166" s="3">
        <f t="shared" si="49"/>
        <v>2824230.8300000043</v>
      </c>
      <c r="AE166" s="1">
        <f t="shared" ca="1" si="50"/>
        <v>3</v>
      </c>
      <c r="AG166" s="3">
        <f t="shared" si="51"/>
        <v>1900</v>
      </c>
      <c r="AH166" s="1">
        <f t="shared" si="40"/>
        <v>511</v>
      </c>
      <c r="AI166" s="3">
        <f t="shared" si="41"/>
        <v>1900</v>
      </c>
      <c r="AL166" s="3">
        <f t="shared" si="42"/>
        <v>1900</v>
      </c>
      <c r="AM166" s="3">
        <f t="shared" si="43"/>
        <v>1900</v>
      </c>
      <c r="AQ166" s="4">
        <f t="shared" ca="1" si="52"/>
        <v>44514</v>
      </c>
      <c r="AR166" s="3">
        <f t="shared" ca="1" si="44"/>
        <v>537461.62999999977</v>
      </c>
      <c r="AS166" s="63">
        <f ca="1">IF($AQ166&lt;&gt;"", INDEX(Inputs!$B$3:$B$101, MATCH($AQ166,Inputs!$A$3:$A$101,1)), "")</f>
        <v>1E-3</v>
      </c>
      <c r="AT166" s="48">
        <f t="shared" ca="1" si="53"/>
        <v>1.4724976164383556</v>
      </c>
      <c r="AU166" s="3">
        <f t="shared" ca="1" si="45"/>
        <v>-1.4724976164383556</v>
      </c>
      <c r="AV166" s="3">
        <f t="shared" ca="1" si="46"/>
        <v>-1.4724976164383556</v>
      </c>
    </row>
    <row r="167" spans="1:48" x14ac:dyDescent="0.2">
      <c r="A167" s="4">
        <v>44865</v>
      </c>
      <c r="B167" s="1" t="s">
        <v>103</v>
      </c>
      <c r="G167" s="3">
        <v>4152.84</v>
      </c>
      <c r="M167" s="3" t="str">
        <f t="shared" si="38"/>
        <v/>
      </c>
      <c r="N167" s="3"/>
      <c r="AA167" s="3">
        <f t="shared" si="39"/>
        <v>3450000</v>
      </c>
      <c r="AB167" s="3">
        <f t="shared" si="47"/>
        <v>3450000.0000000037</v>
      </c>
      <c r="AC167" s="3">
        <f t="shared" si="48"/>
        <v>621616.32999999961</v>
      </c>
      <c r="AD167" s="3">
        <f t="shared" si="49"/>
        <v>2828383.6700000041</v>
      </c>
      <c r="AE167" s="1">
        <f t="shared" ca="1" si="50"/>
        <v>0</v>
      </c>
      <c r="AG167" s="3">
        <f t="shared" si="51"/>
        <v>0</v>
      </c>
      <c r="AH167" s="1">
        <f t="shared" si="40"/>
        <v>514</v>
      </c>
      <c r="AI167" s="3">
        <f t="shared" si="41"/>
        <v>0</v>
      </c>
      <c r="AL167" s="3">
        <f t="shared" si="42"/>
        <v>0</v>
      </c>
      <c r="AM167" s="3">
        <f t="shared" si="43"/>
        <v>0</v>
      </c>
      <c r="AQ167" s="4">
        <f t="shared" ca="1" si="52"/>
        <v>44515</v>
      </c>
      <c r="AR167" s="3">
        <f t="shared" ca="1" si="44"/>
        <v>537461.62999999977</v>
      </c>
      <c r="AS167" s="63">
        <f ca="1">IF($AQ167&lt;&gt;"", INDEX(Inputs!$B$3:$B$101, MATCH($AQ167,Inputs!$A$3:$A$101,1)), "")</f>
        <v>1E-3</v>
      </c>
      <c r="AT167" s="48">
        <f t="shared" ca="1" si="53"/>
        <v>1.4724976164383556</v>
      </c>
      <c r="AU167" s="3">
        <f t="shared" ca="1" si="45"/>
        <v>-1.4724976164383556</v>
      </c>
      <c r="AV167" s="3">
        <f t="shared" ca="1" si="46"/>
        <v>-1.4724976164383556</v>
      </c>
    </row>
    <row r="168" spans="1:48" x14ac:dyDescent="0.2">
      <c r="A168" s="4">
        <v>44865</v>
      </c>
      <c r="B168" s="1" t="s">
        <v>106</v>
      </c>
      <c r="G168" s="3">
        <v>1762.53</v>
      </c>
      <c r="M168" s="3" t="str">
        <f t="shared" si="38"/>
        <v/>
      </c>
      <c r="N168" s="3"/>
      <c r="P168" s="3"/>
      <c r="AA168" s="3">
        <f t="shared" si="39"/>
        <v>3450000</v>
      </c>
      <c r="AB168" s="3">
        <f t="shared" si="47"/>
        <v>3450000.0000000037</v>
      </c>
      <c r="AC168" s="3">
        <f t="shared" si="48"/>
        <v>619853.79999999958</v>
      </c>
      <c r="AD168" s="3">
        <f t="shared" si="49"/>
        <v>2830146.2000000039</v>
      </c>
      <c r="AE168" s="1">
        <f t="shared" ca="1" si="50"/>
        <v>4</v>
      </c>
      <c r="AG168" s="3">
        <f t="shared" si="51"/>
        <v>0</v>
      </c>
      <c r="AH168" s="1">
        <f t="shared" si="40"/>
        <v>514</v>
      </c>
      <c r="AI168" s="3">
        <f t="shared" si="41"/>
        <v>0</v>
      </c>
      <c r="AL168" s="3">
        <f t="shared" si="42"/>
        <v>0</v>
      </c>
      <c r="AM168" s="3">
        <f t="shared" si="43"/>
        <v>0</v>
      </c>
      <c r="AQ168" s="4">
        <f t="shared" ca="1" si="52"/>
        <v>44516</v>
      </c>
      <c r="AR168" s="3">
        <f t="shared" ca="1" si="44"/>
        <v>549512.57999999973</v>
      </c>
      <c r="AS168" s="63">
        <f ca="1">IF($AQ168&lt;&gt;"", INDEX(Inputs!$B$3:$B$101, MATCH($AQ168,Inputs!$A$3:$A$101,1)), "")</f>
        <v>1E-3</v>
      </c>
      <c r="AT168" s="48">
        <f t="shared" ca="1" si="53"/>
        <v>1.5055139178082184</v>
      </c>
      <c r="AU168" s="3">
        <f t="shared" ca="1" si="45"/>
        <v>-12052.455513917808</v>
      </c>
      <c r="AV168" s="3">
        <f t="shared" ca="1" si="46"/>
        <v>-12052.455513917808</v>
      </c>
    </row>
    <row r="169" spans="1:48" x14ac:dyDescent="0.2">
      <c r="A169" s="4">
        <v>44869</v>
      </c>
      <c r="B169" s="1" t="s">
        <v>57</v>
      </c>
      <c r="I169" s="3">
        <v>1900</v>
      </c>
      <c r="M169" s="3" t="str">
        <f t="shared" si="38"/>
        <v/>
      </c>
      <c r="N169" s="3"/>
      <c r="AA169" s="3">
        <f t="shared" si="39"/>
        <v>3450000</v>
      </c>
      <c r="AB169" s="3">
        <f t="shared" si="47"/>
        <v>3450000.0000000037</v>
      </c>
      <c r="AC169" s="3">
        <f t="shared" si="48"/>
        <v>619853.79999999958</v>
      </c>
      <c r="AD169" s="3">
        <f t="shared" si="49"/>
        <v>2830146.2000000039</v>
      </c>
      <c r="AE169" s="1">
        <f t="shared" ca="1" si="50"/>
        <v>7</v>
      </c>
      <c r="AG169" s="3">
        <f t="shared" si="51"/>
        <v>1900</v>
      </c>
      <c r="AH169" s="1">
        <f t="shared" si="40"/>
        <v>518</v>
      </c>
      <c r="AI169" s="3">
        <f t="shared" si="41"/>
        <v>1900</v>
      </c>
      <c r="AL169" s="3">
        <f t="shared" si="42"/>
        <v>1900</v>
      </c>
      <c r="AM169" s="3">
        <f t="shared" si="43"/>
        <v>1900</v>
      </c>
      <c r="AQ169" s="4">
        <f t="shared" ca="1" si="52"/>
        <v>44517</v>
      </c>
      <c r="AR169" s="3">
        <f t="shared" ca="1" si="44"/>
        <v>549512.57999999973</v>
      </c>
      <c r="AS169" s="63">
        <f ca="1">IF($AQ169&lt;&gt;"", INDEX(Inputs!$B$3:$B$101, MATCH($AQ169,Inputs!$A$3:$A$101,1)), "")</f>
        <v>1E-3</v>
      </c>
      <c r="AT169" s="48">
        <f t="shared" ca="1" si="53"/>
        <v>1.5055139178082184</v>
      </c>
      <c r="AU169" s="3">
        <f t="shared" ca="1" si="45"/>
        <v>-1.5055139178082184</v>
      </c>
      <c r="AV169" s="3">
        <f t="shared" ca="1" si="46"/>
        <v>-1.5055139178082184</v>
      </c>
    </row>
    <row r="170" spans="1:48" x14ac:dyDescent="0.2">
      <c r="A170" s="4">
        <v>44876</v>
      </c>
      <c r="B170" s="1" t="s">
        <v>57</v>
      </c>
      <c r="I170" s="3">
        <v>1900</v>
      </c>
      <c r="M170" s="3" t="str">
        <f t="shared" si="38"/>
        <v/>
      </c>
      <c r="N170" s="3"/>
      <c r="AA170" s="3">
        <f t="shared" si="39"/>
        <v>3450000</v>
      </c>
      <c r="AB170" s="3">
        <f t="shared" si="47"/>
        <v>3450000.0000000037</v>
      </c>
      <c r="AC170" s="3">
        <f t="shared" si="48"/>
        <v>619853.79999999958</v>
      </c>
      <c r="AD170" s="3">
        <f t="shared" si="49"/>
        <v>2830146.2000000039</v>
      </c>
      <c r="AE170" s="1">
        <f t="shared" ca="1" si="50"/>
        <v>5</v>
      </c>
      <c r="AG170" s="3">
        <f t="shared" si="51"/>
        <v>1900</v>
      </c>
      <c r="AH170" s="1">
        <f t="shared" si="40"/>
        <v>525</v>
      </c>
      <c r="AI170" s="3">
        <f t="shared" si="41"/>
        <v>1900</v>
      </c>
      <c r="AL170" s="3">
        <f t="shared" si="42"/>
        <v>1900</v>
      </c>
      <c r="AM170" s="3">
        <f t="shared" si="43"/>
        <v>1900</v>
      </c>
      <c r="AQ170" s="4">
        <f t="shared" ca="1" si="52"/>
        <v>44518</v>
      </c>
      <c r="AR170" s="3">
        <f t="shared" ca="1" si="44"/>
        <v>549512.57999999973</v>
      </c>
      <c r="AS170" s="63">
        <f ca="1">IF($AQ170&lt;&gt;"", INDEX(Inputs!$B$3:$B$101, MATCH($AQ170,Inputs!$A$3:$A$101,1)), "")</f>
        <v>1E-3</v>
      </c>
      <c r="AT170" s="48">
        <f t="shared" ca="1" si="53"/>
        <v>1.5055139178082184</v>
      </c>
      <c r="AU170" s="3">
        <f t="shared" ca="1" si="45"/>
        <v>-1.5055139178082184</v>
      </c>
      <c r="AV170" s="3">
        <f t="shared" ca="1" si="46"/>
        <v>-1.5055139178082184</v>
      </c>
    </row>
    <row r="171" spans="1:48" x14ac:dyDescent="0.2">
      <c r="A171" s="4">
        <v>44881</v>
      </c>
      <c r="B171" s="1" t="s">
        <v>104</v>
      </c>
      <c r="F171" s="3">
        <v>9818.51</v>
      </c>
      <c r="M171" s="3" t="str">
        <f t="shared" si="38"/>
        <v/>
      </c>
      <c r="N171" s="3"/>
      <c r="AA171" s="3">
        <f t="shared" si="39"/>
        <v>3450000</v>
      </c>
      <c r="AB171" s="3">
        <f t="shared" si="47"/>
        <v>3450000.0000000037</v>
      </c>
      <c r="AC171" s="3">
        <f t="shared" si="48"/>
        <v>629672.30999999959</v>
      </c>
      <c r="AD171" s="3">
        <f t="shared" si="49"/>
        <v>2820327.6900000041</v>
      </c>
      <c r="AE171" s="1">
        <f t="shared" ca="1" si="50"/>
        <v>0</v>
      </c>
      <c r="AG171" s="3">
        <f t="shared" si="51"/>
        <v>-9818.51</v>
      </c>
      <c r="AH171" s="1">
        <f t="shared" si="40"/>
        <v>530</v>
      </c>
      <c r="AI171" s="3">
        <f t="shared" si="41"/>
        <v>-9818.51</v>
      </c>
      <c r="AL171" s="3">
        <f t="shared" si="42"/>
        <v>-9818.51</v>
      </c>
      <c r="AM171" s="3">
        <f t="shared" si="43"/>
        <v>-9818.51</v>
      </c>
      <c r="AQ171" s="4">
        <f t="shared" ca="1" si="52"/>
        <v>44519</v>
      </c>
      <c r="AR171" s="3">
        <f t="shared" ca="1" si="44"/>
        <v>549512.57999999973</v>
      </c>
      <c r="AS171" s="63">
        <f ca="1">IF($AQ171&lt;&gt;"", INDEX(Inputs!$B$3:$B$101, MATCH($AQ171,Inputs!$A$3:$A$101,1)), "")</f>
        <v>1E-3</v>
      </c>
      <c r="AT171" s="48">
        <f t="shared" ca="1" si="53"/>
        <v>1.5055139178082184</v>
      </c>
      <c r="AU171" s="3">
        <f t="shared" ca="1" si="45"/>
        <v>1898.4944860821918</v>
      </c>
      <c r="AV171" s="3">
        <f t="shared" ca="1" si="46"/>
        <v>1898.4944860821918</v>
      </c>
    </row>
    <row r="172" spans="1:48" x14ac:dyDescent="0.2">
      <c r="A172" s="4">
        <v>44881</v>
      </c>
      <c r="B172" s="1" t="s">
        <v>105</v>
      </c>
      <c r="F172" s="3">
        <v>2653.37</v>
      </c>
      <c r="M172" s="3" t="str">
        <f t="shared" si="38"/>
        <v/>
      </c>
      <c r="N172" s="3"/>
      <c r="P172" s="3"/>
      <c r="AA172" s="3">
        <f t="shared" si="39"/>
        <v>3450000</v>
      </c>
      <c r="AB172" s="3">
        <f t="shared" si="47"/>
        <v>3450000.0000000037</v>
      </c>
      <c r="AC172" s="3">
        <f t="shared" si="48"/>
        <v>632325.67999999959</v>
      </c>
      <c r="AD172" s="3">
        <f t="shared" si="49"/>
        <v>2817674.320000004</v>
      </c>
      <c r="AE172" s="1">
        <f t="shared" ca="1" si="50"/>
        <v>2</v>
      </c>
      <c r="AG172" s="3">
        <f t="shared" si="51"/>
        <v>-2653.37</v>
      </c>
      <c r="AH172" s="1">
        <f t="shared" si="40"/>
        <v>530</v>
      </c>
      <c r="AI172" s="3">
        <f t="shared" si="41"/>
        <v>-2653.37</v>
      </c>
      <c r="AL172" s="3">
        <f t="shared" si="42"/>
        <v>-2653.37</v>
      </c>
      <c r="AM172" s="3">
        <f t="shared" si="43"/>
        <v>-2653.37</v>
      </c>
      <c r="AQ172" s="4">
        <f t="shared" ca="1" si="52"/>
        <v>44520</v>
      </c>
      <c r="AR172" s="3">
        <f t="shared" ca="1" si="44"/>
        <v>549512.57999999973</v>
      </c>
      <c r="AS172" s="63">
        <f ca="1">IF($AQ172&lt;&gt;"", INDEX(Inputs!$B$3:$B$101, MATCH($AQ172,Inputs!$A$3:$A$101,1)), "")</f>
        <v>1E-3</v>
      </c>
      <c r="AT172" s="48">
        <f t="shared" ca="1" si="53"/>
        <v>1.5055139178082184</v>
      </c>
      <c r="AU172" s="3">
        <f t="shared" ca="1" si="45"/>
        <v>-1.5055139178082184</v>
      </c>
      <c r="AV172" s="3">
        <f t="shared" ca="1" si="46"/>
        <v>-1.5055139178082184</v>
      </c>
    </row>
    <row r="173" spans="1:48" x14ac:dyDescent="0.2">
      <c r="A173" s="4">
        <v>44883</v>
      </c>
      <c r="B173" s="1" t="s">
        <v>57</v>
      </c>
      <c r="I173" s="3">
        <v>1900</v>
      </c>
      <c r="M173" s="3" t="str">
        <f t="shared" si="38"/>
        <v/>
      </c>
      <c r="N173" s="3"/>
      <c r="AA173" s="3">
        <f t="shared" si="39"/>
        <v>3450000</v>
      </c>
      <c r="AB173" s="3">
        <f t="shared" si="47"/>
        <v>3450000.0000000037</v>
      </c>
      <c r="AC173" s="3">
        <f t="shared" si="48"/>
        <v>632325.67999999959</v>
      </c>
      <c r="AD173" s="3">
        <f t="shared" si="49"/>
        <v>2817674.320000004</v>
      </c>
      <c r="AE173" s="1">
        <f t="shared" ca="1" si="50"/>
        <v>7</v>
      </c>
      <c r="AG173" s="3">
        <f t="shared" si="51"/>
        <v>1900</v>
      </c>
      <c r="AH173" s="1">
        <f t="shared" si="40"/>
        <v>532</v>
      </c>
      <c r="AI173" s="3">
        <f t="shared" si="41"/>
        <v>1900</v>
      </c>
      <c r="AL173" s="3">
        <f t="shared" si="42"/>
        <v>1900</v>
      </c>
      <c r="AM173" s="3">
        <f t="shared" si="43"/>
        <v>1900</v>
      </c>
      <c r="AQ173" s="4">
        <f t="shared" ca="1" si="52"/>
        <v>44521</v>
      </c>
      <c r="AR173" s="3">
        <f t="shared" ca="1" si="44"/>
        <v>549512.57999999973</v>
      </c>
      <c r="AS173" s="63">
        <f ca="1">IF($AQ173&lt;&gt;"", INDEX(Inputs!$B$3:$B$101, MATCH($AQ173,Inputs!$A$3:$A$101,1)), "")</f>
        <v>1E-3</v>
      </c>
      <c r="AT173" s="48">
        <f t="shared" ca="1" si="53"/>
        <v>1.5055139178082184</v>
      </c>
      <c r="AU173" s="3">
        <f t="shared" ca="1" si="45"/>
        <v>-1.5055139178082184</v>
      </c>
      <c r="AV173" s="3">
        <f t="shared" ca="1" si="46"/>
        <v>-1.5055139178082184</v>
      </c>
    </row>
    <row r="174" spans="1:48" x14ac:dyDescent="0.2">
      <c r="A174" s="4">
        <v>44890</v>
      </c>
      <c r="B174" s="1" t="s">
        <v>50</v>
      </c>
      <c r="H174" s="3">
        <v>3124.05</v>
      </c>
      <c r="M174" s="3" t="str">
        <f t="shared" si="38"/>
        <v/>
      </c>
      <c r="N174" s="3"/>
      <c r="AA174" s="3">
        <f t="shared" si="39"/>
        <v>3450000</v>
      </c>
      <c r="AB174" s="3">
        <f t="shared" si="47"/>
        <v>3450000.0000000037</v>
      </c>
      <c r="AC174" s="3">
        <f t="shared" si="48"/>
        <v>632325.67999999959</v>
      </c>
      <c r="AD174" s="3">
        <f t="shared" si="49"/>
        <v>2817674.320000004</v>
      </c>
      <c r="AE174" s="1">
        <f t="shared" ca="1" si="50"/>
        <v>0</v>
      </c>
      <c r="AG174" s="3">
        <f t="shared" si="51"/>
        <v>-3124.05</v>
      </c>
      <c r="AH174" s="1">
        <f t="shared" si="40"/>
        <v>539</v>
      </c>
      <c r="AI174" s="3">
        <f t="shared" si="41"/>
        <v>-3124.05</v>
      </c>
      <c r="AL174" s="3">
        <f t="shared" si="42"/>
        <v>-3124.05</v>
      </c>
      <c r="AM174" s="3">
        <f t="shared" si="43"/>
        <v>-3124.05</v>
      </c>
      <c r="AQ174" s="4">
        <f t="shared" ca="1" si="52"/>
        <v>44522</v>
      </c>
      <c r="AR174" s="3">
        <f t="shared" ca="1" si="44"/>
        <v>549512.57999999973</v>
      </c>
      <c r="AS174" s="63">
        <f ca="1">IF($AQ174&lt;&gt;"", INDEX(Inputs!$B$3:$B$101, MATCH($AQ174,Inputs!$A$3:$A$101,1)), "")</f>
        <v>1E-3</v>
      </c>
      <c r="AT174" s="48">
        <f t="shared" ca="1" si="53"/>
        <v>1.5055139178082184</v>
      </c>
      <c r="AU174" s="3">
        <f t="shared" ca="1" si="45"/>
        <v>-1.5055139178082184</v>
      </c>
      <c r="AV174" s="3">
        <f t="shared" ca="1" si="46"/>
        <v>-1.5055139178082184</v>
      </c>
    </row>
    <row r="175" spans="1:48" x14ac:dyDescent="0.2">
      <c r="A175" s="4">
        <v>44890</v>
      </c>
      <c r="B175" s="1" t="s">
        <v>57</v>
      </c>
      <c r="I175" s="3">
        <v>1900</v>
      </c>
      <c r="M175" s="3" t="str">
        <f t="shared" si="38"/>
        <v/>
      </c>
      <c r="N175" s="3"/>
      <c r="AA175" s="3">
        <f t="shared" si="39"/>
        <v>3450000</v>
      </c>
      <c r="AB175" s="3">
        <f t="shared" si="47"/>
        <v>3450000.0000000037</v>
      </c>
      <c r="AC175" s="3">
        <f t="shared" si="48"/>
        <v>632325.67999999959</v>
      </c>
      <c r="AD175" s="3">
        <f t="shared" si="49"/>
        <v>2817674.320000004</v>
      </c>
      <c r="AE175" s="1">
        <f t="shared" ca="1" si="50"/>
        <v>5</v>
      </c>
      <c r="AG175" s="3">
        <f t="shared" si="51"/>
        <v>1900</v>
      </c>
      <c r="AH175" s="1">
        <f t="shared" si="40"/>
        <v>539</v>
      </c>
      <c r="AI175" s="3">
        <f t="shared" si="41"/>
        <v>1900</v>
      </c>
      <c r="AL175" s="3">
        <f t="shared" si="42"/>
        <v>1900</v>
      </c>
      <c r="AM175" s="3">
        <f t="shared" si="43"/>
        <v>1900</v>
      </c>
      <c r="AQ175" s="4">
        <f t="shared" ca="1" si="52"/>
        <v>44523</v>
      </c>
      <c r="AR175" s="3">
        <f t="shared" ca="1" si="44"/>
        <v>549512.57999999973</v>
      </c>
      <c r="AS175" s="63">
        <f ca="1">IF($AQ175&lt;&gt;"", INDEX(Inputs!$B$3:$B$101, MATCH($AQ175,Inputs!$A$3:$A$101,1)), "")</f>
        <v>1E-3</v>
      </c>
      <c r="AT175" s="48">
        <f t="shared" ca="1" si="53"/>
        <v>1.5055139178082184</v>
      </c>
      <c r="AU175" s="3">
        <f t="shared" ca="1" si="45"/>
        <v>-1.5055139178082184</v>
      </c>
      <c r="AV175" s="3">
        <f t="shared" ca="1" si="46"/>
        <v>-1.5055139178082184</v>
      </c>
    </row>
    <row r="176" spans="1:48" x14ac:dyDescent="0.2">
      <c r="A176" s="4">
        <v>44895</v>
      </c>
      <c r="B176" s="1" t="s">
        <v>103</v>
      </c>
      <c r="G176" s="3">
        <v>4008.94</v>
      </c>
      <c r="M176" s="3" t="str">
        <f t="shared" si="38"/>
        <v/>
      </c>
      <c r="N176" s="3"/>
      <c r="AA176" s="3">
        <f t="shared" si="39"/>
        <v>3450000</v>
      </c>
      <c r="AB176" s="3">
        <f t="shared" si="47"/>
        <v>3450000.0000000037</v>
      </c>
      <c r="AC176" s="3">
        <f t="shared" si="48"/>
        <v>628316.73999999964</v>
      </c>
      <c r="AD176" s="3">
        <f t="shared" si="49"/>
        <v>2821683.260000004</v>
      </c>
      <c r="AE176" s="1">
        <f t="shared" ca="1" si="50"/>
        <v>0</v>
      </c>
      <c r="AG176" s="3">
        <f t="shared" si="51"/>
        <v>0</v>
      </c>
      <c r="AH176" s="1">
        <f t="shared" si="40"/>
        <v>544</v>
      </c>
      <c r="AI176" s="3">
        <f t="shared" si="41"/>
        <v>0</v>
      </c>
      <c r="AL176" s="3">
        <f t="shared" si="42"/>
        <v>0</v>
      </c>
      <c r="AM176" s="3">
        <f t="shared" si="43"/>
        <v>0</v>
      </c>
      <c r="AQ176" s="4">
        <f t="shared" ca="1" si="52"/>
        <v>44524</v>
      </c>
      <c r="AR176" s="3">
        <f t="shared" ca="1" si="44"/>
        <v>549512.57999999973</v>
      </c>
      <c r="AS176" s="63">
        <f ca="1">IF($AQ176&lt;&gt;"", INDEX(Inputs!$B$3:$B$101, MATCH($AQ176,Inputs!$A$3:$A$101,1)), "")</f>
        <v>1E-3</v>
      </c>
      <c r="AT176" s="48">
        <f t="shared" ca="1" si="53"/>
        <v>1.5055139178082184</v>
      </c>
      <c r="AU176" s="3">
        <f t="shared" ca="1" si="45"/>
        <v>-1.5055139178082184</v>
      </c>
      <c r="AV176" s="3">
        <f t="shared" ca="1" si="46"/>
        <v>-1.5055139178082184</v>
      </c>
    </row>
    <row r="177" spans="1:48" x14ac:dyDescent="0.2">
      <c r="A177" s="4">
        <v>44895</v>
      </c>
      <c r="B177" s="1" t="s">
        <v>106</v>
      </c>
      <c r="G177" s="3">
        <v>1995.91</v>
      </c>
      <c r="M177" s="3" t="str">
        <f t="shared" si="38"/>
        <v/>
      </c>
      <c r="N177" s="3"/>
      <c r="P177" s="3"/>
      <c r="AA177" s="3">
        <f t="shared" si="39"/>
        <v>3450000</v>
      </c>
      <c r="AB177" s="3">
        <f t="shared" si="47"/>
        <v>3450000.0000000037</v>
      </c>
      <c r="AC177" s="3">
        <f t="shared" si="48"/>
        <v>626320.82999999961</v>
      </c>
      <c r="AD177" s="3">
        <f t="shared" si="49"/>
        <v>2823679.1700000041</v>
      </c>
      <c r="AE177" s="1">
        <f t="shared" ca="1" si="50"/>
        <v>2</v>
      </c>
      <c r="AG177" s="3">
        <f t="shared" si="51"/>
        <v>0</v>
      </c>
      <c r="AH177" s="1">
        <f t="shared" si="40"/>
        <v>544</v>
      </c>
      <c r="AI177" s="3">
        <f t="shared" si="41"/>
        <v>0</v>
      </c>
      <c r="AL177" s="3">
        <f t="shared" si="42"/>
        <v>0</v>
      </c>
      <c r="AM177" s="3">
        <f t="shared" si="43"/>
        <v>0</v>
      </c>
      <c r="AQ177" s="4">
        <f t="shared" ca="1" si="52"/>
        <v>44525</v>
      </c>
      <c r="AR177" s="3">
        <f t="shared" ca="1" si="44"/>
        <v>549512.57999999973</v>
      </c>
      <c r="AS177" s="63">
        <f ca="1">IF($AQ177&lt;&gt;"", INDEX(Inputs!$B$3:$B$101, MATCH($AQ177,Inputs!$A$3:$A$101,1)), "")</f>
        <v>1E-3</v>
      </c>
      <c r="AT177" s="48">
        <f t="shared" ca="1" si="53"/>
        <v>1.5055139178082184</v>
      </c>
      <c r="AU177" s="3">
        <f t="shared" ca="1" si="45"/>
        <v>-1.5055139178082184</v>
      </c>
      <c r="AV177" s="3">
        <f t="shared" ca="1" si="46"/>
        <v>-1.5055139178082184</v>
      </c>
    </row>
    <row r="178" spans="1:48" x14ac:dyDescent="0.2">
      <c r="A178" s="4">
        <v>44897</v>
      </c>
      <c r="B178" s="1" t="s">
        <v>57</v>
      </c>
      <c r="I178" s="3">
        <v>1900</v>
      </c>
      <c r="M178" s="3" t="str">
        <f t="shared" si="38"/>
        <v/>
      </c>
      <c r="N178" s="3"/>
      <c r="AA178" s="3">
        <f t="shared" si="39"/>
        <v>3450000</v>
      </c>
      <c r="AB178" s="3">
        <f t="shared" si="47"/>
        <v>3450000.0000000037</v>
      </c>
      <c r="AC178" s="3">
        <f t="shared" si="48"/>
        <v>626320.82999999961</v>
      </c>
      <c r="AD178" s="3">
        <f t="shared" si="49"/>
        <v>2823679.1700000041</v>
      </c>
      <c r="AE178" s="1">
        <f t="shared" ca="1" si="50"/>
        <v>7</v>
      </c>
      <c r="AG178" s="3">
        <f t="shared" si="51"/>
        <v>1900</v>
      </c>
      <c r="AH178" s="1">
        <f t="shared" si="40"/>
        <v>546</v>
      </c>
      <c r="AI178" s="3">
        <f t="shared" si="41"/>
        <v>1900</v>
      </c>
      <c r="AL178" s="3">
        <f t="shared" si="42"/>
        <v>1900</v>
      </c>
      <c r="AM178" s="3">
        <f t="shared" si="43"/>
        <v>1900</v>
      </c>
      <c r="AQ178" s="4">
        <f t="shared" ca="1" si="52"/>
        <v>44526</v>
      </c>
      <c r="AR178" s="3">
        <f t="shared" ca="1" si="44"/>
        <v>549512.57999999973</v>
      </c>
      <c r="AS178" s="63">
        <f ca="1">IF($AQ178&lt;&gt;"", INDEX(Inputs!$B$3:$B$101, MATCH($AQ178,Inputs!$A$3:$A$101,1)), "")</f>
        <v>1E-3</v>
      </c>
      <c r="AT178" s="48">
        <f t="shared" ca="1" si="53"/>
        <v>1.5055139178082184</v>
      </c>
      <c r="AU178" s="3">
        <f t="shared" ca="1" si="45"/>
        <v>1898.4944860821918</v>
      </c>
      <c r="AV178" s="3">
        <f t="shared" ca="1" si="46"/>
        <v>1898.4944860821918</v>
      </c>
    </row>
    <row r="179" spans="1:48" x14ac:dyDescent="0.2">
      <c r="A179" s="4">
        <v>44904</v>
      </c>
      <c r="B179" s="1" t="s">
        <v>57</v>
      </c>
      <c r="I179" s="3">
        <v>1900</v>
      </c>
      <c r="M179" s="3" t="str">
        <f t="shared" si="38"/>
        <v/>
      </c>
      <c r="N179" s="3"/>
      <c r="AA179" s="3">
        <f t="shared" si="39"/>
        <v>3450000</v>
      </c>
      <c r="AB179" s="3">
        <f t="shared" si="47"/>
        <v>3450000.0000000037</v>
      </c>
      <c r="AC179" s="3">
        <f t="shared" si="48"/>
        <v>626320.82999999961</v>
      </c>
      <c r="AD179" s="3">
        <f t="shared" si="49"/>
        <v>2823679.1700000041</v>
      </c>
      <c r="AE179" s="1">
        <f t="shared" ca="1" si="50"/>
        <v>7</v>
      </c>
      <c r="AG179" s="3">
        <f t="shared" si="51"/>
        <v>1900</v>
      </c>
      <c r="AH179" s="1">
        <f t="shared" si="40"/>
        <v>553</v>
      </c>
      <c r="AI179" s="3">
        <f t="shared" si="41"/>
        <v>1900</v>
      </c>
      <c r="AL179" s="3">
        <f t="shared" si="42"/>
        <v>1900</v>
      </c>
      <c r="AM179" s="3">
        <f t="shared" si="43"/>
        <v>1900</v>
      </c>
      <c r="AQ179" s="4">
        <f t="shared" ca="1" si="52"/>
        <v>44527</v>
      </c>
      <c r="AR179" s="3">
        <f t="shared" ca="1" si="44"/>
        <v>549512.57999999973</v>
      </c>
      <c r="AS179" s="63">
        <f ca="1">IF($AQ179&lt;&gt;"", INDEX(Inputs!$B$3:$B$101, MATCH($AQ179,Inputs!$A$3:$A$101,1)), "")</f>
        <v>1E-3</v>
      </c>
      <c r="AT179" s="48">
        <f t="shared" ca="1" si="53"/>
        <v>1.5055139178082184</v>
      </c>
      <c r="AU179" s="3">
        <f t="shared" ca="1" si="45"/>
        <v>-1.5055139178082184</v>
      </c>
      <c r="AV179" s="3">
        <f t="shared" ca="1" si="46"/>
        <v>-1.5055139178082184</v>
      </c>
    </row>
    <row r="180" spans="1:48" x14ac:dyDescent="0.2">
      <c r="A180" s="4">
        <v>44911</v>
      </c>
      <c r="B180" s="1" t="s">
        <v>104</v>
      </c>
      <c r="F180" s="3">
        <v>9818.51</v>
      </c>
      <c r="M180" s="3" t="str">
        <f t="shared" si="38"/>
        <v/>
      </c>
      <c r="N180" s="3"/>
      <c r="AA180" s="3">
        <f t="shared" si="39"/>
        <v>3450000</v>
      </c>
      <c r="AB180" s="3">
        <f t="shared" si="47"/>
        <v>3450000.0000000037</v>
      </c>
      <c r="AC180" s="3">
        <f t="shared" si="48"/>
        <v>636139.33999999962</v>
      </c>
      <c r="AD180" s="3">
        <f t="shared" si="49"/>
        <v>2813860.6600000043</v>
      </c>
      <c r="AE180" s="1">
        <f t="shared" ca="1" si="50"/>
        <v>0</v>
      </c>
      <c r="AG180" s="3">
        <f t="shared" si="51"/>
        <v>-9818.51</v>
      </c>
      <c r="AH180" s="1">
        <f t="shared" si="40"/>
        <v>560</v>
      </c>
      <c r="AI180" s="3">
        <f t="shared" si="41"/>
        <v>-9818.51</v>
      </c>
      <c r="AL180" s="3">
        <f t="shared" si="42"/>
        <v>-9818.51</v>
      </c>
      <c r="AM180" s="3">
        <f t="shared" si="43"/>
        <v>-9818.51</v>
      </c>
      <c r="AQ180" s="4">
        <f t="shared" ca="1" si="52"/>
        <v>44528</v>
      </c>
      <c r="AR180" s="3">
        <f t="shared" ca="1" si="44"/>
        <v>549512.57999999973</v>
      </c>
      <c r="AS180" s="63">
        <f ca="1">IF($AQ180&lt;&gt;"", INDEX(Inputs!$B$3:$B$101, MATCH($AQ180,Inputs!$A$3:$A$101,1)), "")</f>
        <v>1E-3</v>
      </c>
      <c r="AT180" s="48">
        <f t="shared" ca="1" si="53"/>
        <v>1.5055139178082184</v>
      </c>
      <c r="AU180" s="3">
        <f t="shared" ca="1" si="45"/>
        <v>-1.5055139178082184</v>
      </c>
      <c r="AV180" s="3">
        <f t="shared" ca="1" si="46"/>
        <v>-1.5055139178082184</v>
      </c>
    </row>
    <row r="181" spans="1:48" x14ac:dyDescent="0.2">
      <c r="A181" s="4">
        <v>44911</v>
      </c>
      <c r="B181" s="1" t="s">
        <v>105</v>
      </c>
      <c r="F181" s="3">
        <v>2653.37</v>
      </c>
      <c r="M181" s="3" t="str">
        <f t="shared" si="38"/>
        <v/>
      </c>
      <c r="N181" s="3"/>
      <c r="P181" s="3"/>
      <c r="AA181" s="3">
        <f t="shared" si="39"/>
        <v>3450000</v>
      </c>
      <c r="AB181" s="3">
        <f t="shared" si="47"/>
        <v>3450000.0000000037</v>
      </c>
      <c r="AC181" s="3">
        <f t="shared" si="48"/>
        <v>638792.70999999961</v>
      </c>
      <c r="AD181" s="3">
        <f t="shared" si="49"/>
        <v>2811207.2900000042</v>
      </c>
      <c r="AE181" s="1">
        <f t="shared" ca="1" si="50"/>
        <v>0</v>
      </c>
      <c r="AG181" s="3">
        <f t="shared" si="51"/>
        <v>-2653.37</v>
      </c>
      <c r="AH181" s="1">
        <f t="shared" si="40"/>
        <v>560</v>
      </c>
      <c r="AI181" s="3">
        <f t="shared" si="41"/>
        <v>-2653.37</v>
      </c>
      <c r="AL181" s="3">
        <f t="shared" si="42"/>
        <v>-2653.37</v>
      </c>
      <c r="AM181" s="3">
        <f t="shared" si="43"/>
        <v>-2653.37</v>
      </c>
      <c r="AQ181" s="4">
        <f t="shared" ca="1" si="52"/>
        <v>44529</v>
      </c>
      <c r="AR181" s="3">
        <f t="shared" ca="1" si="44"/>
        <v>549512.57999999973</v>
      </c>
      <c r="AS181" s="63">
        <f ca="1">IF($AQ181&lt;&gt;"", INDEX(Inputs!$B$3:$B$101, MATCH($AQ181,Inputs!$A$3:$A$101,1)), "")</f>
        <v>1E-3</v>
      </c>
      <c r="AT181" s="48">
        <f t="shared" ca="1" si="53"/>
        <v>1.5055139178082184</v>
      </c>
      <c r="AU181" s="3">
        <f t="shared" ca="1" si="45"/>
        <v>-1.5055139178082184</v>
      </c>
      <c r="AV181" s="3">
        <f t="shared" ca="1" si="46"/>
        <v>-1.5055139178082184</v>
      </c>
    </row>
    <row r="182" spans="1:48" x14ac:dyDescent="0.2">
      <c r="A182" s="4">
        <v>44911</v>
      </c>
      <c r="B182" s="1" t="s">
        <v>57</v>
      </c>
      <c r="I182" s="3">
        <v>1900</v>
      </c>
      <c r="M182" s="3" t="str">
        <f t="shared" si="38"/>
        <v/>
      </c>
      <c r="N182" s="3"/>
      <c r="AA182" s="3">
        <f t="shared" si="39"/>
        <v>3450000</v>
      </c>
      <c r="AB182" s="3">
        <f t="shared" si="47"/>
        <v>3450000.0000000037</v>
      </c>
      <c r="AC182" s="3">
        <f t="shared" si="48"/>
        <v>638792.70999999961</v>
      </c>
      <c r="AD182" s="3">
        <f t="shared" si="49"/>
        <v>2811207.2900000042</v>
      </c>
      <c r="AE182" s="1">
        <f t="shared" ca="1" si="50"/>
        <v>7</v>
      </c>
      <c r="AG182" s="3">
        <f t="shared" si="51"/>
        <v>1900</v>
      </c>
      <c r="AH182" s="1">
        <f t="shared" si="40"/>
        <v>560</v>
      </c>
      <c r="AI182" s="3">
        <f t="shared" si="41"/>
        <v>1900</v>
      </c>
      <c r="AL182" s="3">
        <f t="shared" si="42"/>
        <v>1900</v>
      </c>
      <c r="AM182" s="3">
        <f t="shared" si="43"/>
        <v>1900</v>
      </c>
      <c r="AQ182" s="4">
        <f t="shared" ca="1" si="52"/>
        <v>44530</v>
      </c>
      <c r="AR182" s="3">
        <f t="shared" ca="1" si="44"/>
        <v>544529.22999999975</v>
      </c>
      <c r="AS182" s="63">
        <f ca="1">IF($AQ182&lt;&gt;"", INDEX(Inputs!$B$3:$B$101, MATCH($AQ182,Inputs!$A$3:$A$101,1)), "")</f>
        <v>1E-3</v>
      </c>
      <c r="AT182" s="48">
        <f t="shared" ca="1" si="53"/>
        <v>1.4918609041095883</v>
      </c>
      <c r="AU182" s="3">
        <f t="shared" ca="1" si="45"/>
        <v>-1.4918609041095883</v>
      </c>
      <c r="AV182" s="3">
        <f t="shared" ca="1" si="46"/>
        <v>-1.4918609041095883</v>
      </c>
    </row>
    <row r="183" spans="1:48" x14ac:dyDescent="0.2">
      <c r="A183" s="4">
        <v>44918</v>
      </c>
      <c r="B183" s="1" t="s">
        <v>57</v>
      </c>
      <c r="I183" s="3">
        <v>1900</v>
      </c>
      <c r="M183" s="3" t="str">
        <f t="shared" si="38"/>
        <v/>
      </c>
      <c r="N183" s="3"/>
      <c r="AA183" s="3">
        <f t="shared" si="39"/>
        <v>3450000</v>
      </c>
      <c r="AB183" s="3">
        <f t="shared" si="47"/>
        <v>3450000.0000000037</v>
      </c>
      <c r="AC183" s="3">
        <f t="shared" si="48"/>
        <v>638792.70999999961</v>
      </c>
      <c r="AD183" s="3">
        <f t="shared" si="49"/>
        <v>2811207.2900000042</v>
      </c>
      <c r="AE183" s="1">
        <f t="shared" ca="1" si="50"/>
        <v>5</v>
      </c>
      <c r="AG183" s="3">
        <f t="shared" si="51"/>
        <v>1900</v>
      </c>
      <c r="AH183" s="1">
        <f t="shared" si="40"/>
        <v>567</v>
      </c>
      <c r="AI183" s="3">
        <f t="shared" si="41"/>
        <v>1900</v>
      </c>
      <c r="AL183" s="3">
        <f t="shared" si="42"/>
        <v>1900</v>
      </c>
      <c r="AM183" s="3">
        <f t="shared" si="43"/>
        <v>1900</v>
      </c>
      <c r="AQ183" s="4">
        <f t="shared" ca="1" si="52"/>
        <v>44531</v>
      </c>
      <c r="AR183" s="3">
        <f t="shared" ca="1" si="44"/>
        <v>544529.22999999975</v>
      </c>
      <c r="AS183" s="63">
        <f ca="1">IF($AQ183&lt;&gt;"", INDEX(Inputs!$B$3:$B$101, MATCH($AQ183,Inputs!$A$3:$A$101,1)), "")</f>
        <v>1E-3</v>
      </c>
      <c r="AT183" s="48">
        <f t="shared" ca="1" si="53"/>
        <v>1.4918609041095883</v>
      </c>
      <c r="AU183" s="3">
        <f t="shared" ca="1" si="45"/>
        <v>-1.4918609041095883</v>
      </c>
      <c r="AV183" s="3">
        <f t="shared" ca="1" si="46"/>
        <v>-1.4918609041095883</v>
      </c>
    </row>
    <row r="184" spans="1:48" x14ac:dyDescent="0.2">
      <c r="A184" s="4">
        <v>44923</v>
      </c>
      <c r="B184" s="1" t="s">
        <v>80</v>
      </c>
      <c r="H184" s="3">
        <v>287.89</v>
      </c>
      <c r="M184" s="3" t="str">
        <f t="shared" si="38"/>
        <v/>
      </c>
      <c r="N184" s="3"/>
      <c r="AA184" s="3">
        <f t="shared" si="39"/>
        <v>3450000</v>
      </c>
      <c r="AB184" s="3">
        <f t="shared" si="47"/>
        <v>3450000.0000000037</v>
      </c>
      <c r="AC184" s="3">
        <f t="shared" si="48"/>
        <v>638792.70999999961</v>
      </c>
      <c r="AD184" s="3">
        <f t="shared" si="49"/>
        <v>2811207.2900000042</v>
      </c>
      <c r="AE184" s="1">
        <f t="shared" ca="1" si="50"/>
        <v>2</v>
      </c>
      <c r="AG184" s="3">
        <f t="shared" si="51"/>
        <v>-287.89</v>
      </c>
      <c r="AH184" s="1">
        <f t="shared" si="40"/>
        <v>572</v>
      </c>
      <c r="AI184" s="3">
        <f t="shared" si="41"/>
        <v>-287.89</v>
      </c>
      <c r="AL184" s="3">
        <f t="shared" si="42"/>
        <v>-287.89</v>
      </c>
      <c r="AM184" s="3">
        <f t="shared" si="43"/>
        <v>-287.89</v>
      </c>
      <c r="AQ184" s="4">
        <f t="shared" ca="1" si="52"/>
        <v>44532</v>
      </c>
      <c r="AR184" s="3">
        <f t="shared" ca="1" si="44"/>
        <v>544529.22999999975</v>
      </c>
      <c r="AS184" s="63">
        <f ca="1">IF($AQ184&lt;&gt;"", INDEX(Inputs!$B$3:$B$101, MATCH($AQ184,Inputs!$A$3:$A$101,1)), "")</f>
        <v>1E-3</v>
      </c>
      <c r="AT184" s="48">
        <f t="shared" ca="1" si="53"/>
        <v>1.4918609041095883</v>
      </c>
      <c r="AU184" s="3">
        <f t="shared" ca="1" si="45"/>
        <v>-1.4918609041095883</v>
      </c>
      <c r="AV184" s="3">
        <f t="shared" ca="1" si="46"/>
        <v>-1.4918609041095883</v>
      </c>
    </row>
    <row r="185" spans="1:48" x14ac:dyDescent="0.2">
      <c r="A185" s="4">
        <v>44925</v>
      </c>
      <c r="B185" s="1" t="s">
        <v>57</v>
      </c>
      <c r="I185" s="3">
        <v>1900</v>
      </c>
      <c r="M185" s="3" t="str">
        <f t="shared" si="38"/>
        <v/>
      </c>
      <c r="N185" s="3"/>
      <c r="AA185" s="3">
        <f t="shared" si="39"/>
        <v>3450000</v>
      </c>
      <c r="AB185" s="3">
        <f t="shared" si="47"/>
        <v>3450000.0000000037</v>
      </c>
      <c r="AC185" s="3">
        <f t="shared" si="48"/>
        <v>638792.70999999961</v>
      </c>
      <c r="AD185" s="3">
        <f t="shared" si="49"/>
        <v>2811207.2900000042</v>
      </c>
      <c r="AE185" s="1">
        <f t="shared" ca="1" si="50"/>
        <v>1</v>
      </c>
      <c r="AG185" s="3">
        <f t="shared" si="51"/>
        <v>1900</v>
      </c>
      <c r="AH185" s="1">
        <f t="shared" si="40"/>
        <v>574</v>
      </c>
      <c r="AI185" s="3">
        <f t="shared" si="41"/>
        <v>1900</v>
      </c>
      <c r="AL185" s="3">
        <f t="shared" si="42"/>
        <v>1900</v>
      </c>
      <c r="AM185" s="3">
        <f t="shared" si="43"/>
        <v>1900</v>
      </c>
      <c r="AQ185" s="4">
        <f t="shared" ca="1" si="52"/>
        <v>44533</v>
      </c>
      <c r="AR185" s="3">
        <f t="shared" ca="1" si="44"/>
        <v>544529.22999999975</v>
      </c>
      <c r="AS185" s="63">
        <f ca="1">IF($AQ185&lt;&gt;"", INDEX(Inputs!$B$3:$B$101, MATCH($AQ185,Inputs!$A$3:$A$101,1)), "")</f>
        <v>1E-3</v>
      </c>
      <c r="AT185" s="48">
        <f t="shared" ca="1" si="53"/>
        <v>1.4918609041095883</v>
      </c>
      <c r="AU185" s="3">
        <f t="shared" ca="1" si="45"/>
        <v>1898.5081390958903</v>
      </c>
      <c r="AV185" s="3">
        <f t="shared" ca="1" si="46"/>
        <v>1898.5081390958903</v>
      </c>
    </row>
    <row r="186" spans="1:48" x14ac:dyDescent="0.2">
      <c r="A186" s="4">
        <v>44926</v>
      </c>
      <c r="B186" s="1" t="s">
        <v>103</v>
      </c>
      <c r="G186" s="3">
        <v>3999.01</v>
      </c>
      <c r="M186" s="3" t="str">
        <f t="shared" si="38"/>
        <v/>
      </c>
      <c r="N186" s="3"/>
      <c r="AA186" s="3">
        <f t="shared" si="39"/>
        <v>3450000</v>
      </c>
      <c r="AB186" s="3">
        <f t="shared" si="47"/>
        <v>3450000.0000000037</v>
      </c>
      <c r="AC186" s="3">
        <f t="shared" si="48"/>
        <v>634793.6999999996</v>
      </c>
      <c r="AD186" s="3">
        <f t="shared" si="49"/>
        <v>2815206.300000004</v>
      </c>
      <c r="AE186" s="1">
        <f t="shared" ca="1" si="50"/>
        <v>0</v>
      </c>
      <c r="AG186" s="3">
        <f t="shared" si="51"/>
        <v>0</v>
      </c>
      <c r="AH186" s="1">
        <f t="shared" si="40"/>
        <v>575</v>
      </c>
      <c r="AI186" s="3">
        <f t="shared" si="41"/>
        <v>0</v>
      </c>
      <c r="AL186" s="3">
        <f t="shared" si="42"/>
        <v>0</v>
      </c>
      <c r="AM186" s="3">
        <f t="shared" si="43"/>
        <v>0</v>
      </c>
      <c r="AQ186" s="4">
        <f t="shared" ca="1" si="52"/>
        <v>44534</v>
      </c>
      <c r="AR186" s="3">
        <f t="shared" ca="1" si="44"/>
        <v>544529.22999999975</v>
      </c>
      <c r="AS186" s="63">
        <f ca="1">IF($AQ186&lt;&gt;"", INDEX(Inputs!$B$3:$B$101, MATCH($AQ186,Inputs!$A$3:$A$101,1)), "")</f>
        <v>1E-3</v>
      </c>
      <c r="AT186" s="48">
        <f t="shared" ca="1" si="53"/>
        <v>1.4918609041095883</v>
      </c>
      <c r="AU186" s="3">
        <f t="shared" ca="1" si="45"/>
        <v>-1.4918609041095883</v>
      </c>
      <c r="AV186" s="3">
        <f t="shared" ca="1" si="46"/>
        <v>-1.4918609041095883</v>
      </c>
    </row>
    <row r="187" spans="1:48" x14ac:dyDescent="0.2">
      <c r="A187" s="4">
        <v>44926</v>
      </c>
      <c r="B187" s="1" t="s">
        <v>106</v>
      </c>
      <c r="G187" s="3">
        <v>2043.46</v>
      </c>
      <c r="M187" s="3" t="str">
        <f t="shared" si="38"/>
        <v/>
      </c>
      <c r="N187" s="3"/>
      <c r="P187" s="3"/>
      <c r="AA187" s="3">
        <f t="shared" si="39"/>
        <v>3450000</v>
      </c>
      <c r="AB187" s="3">
        <f t="shared" si="47"/>
        <v>3450000.0000000037</v>
      </c>
      <c r="AC187" s="3">
        <f t="shared" si="48"/>
        <v>632750.23999999964</v>
      </c>
      <c r="AD187" s="3">
        <f t="shared" si="49"/>
        <v>2817249.760000004</v>
      </c>
      <c r="AE187" s="1">
        <f t="shared" ca="1" si="50"/>
        <v>6</v>
      </c>
      <c r="AG187" s="3">
        <f t="shared" si="51"/>
        <v>0</v>
      </c>
      <c r="AH187" s="1">
        <f t="shared" si="40"/>
        <v>575</v>
      </c>
      <c r="AI187" s="3">
        <f t="shared" si="41"/>
        <v>0</v>
      </c>
      <c r="AL187" s="3">
        <f t="shared" si="42"/>
        <v>0</v>
      </c>
      <c r="AM187" s="3">
        <f t="shared" si="43"/>
        <v>0</v>
      </c>
      <c r="AQ187" s="4">
        <f t="shared" ca="1" si="52"/>
        <v>44535</v>
      </c>
      <c r="AR187" s="3">
        <f t="shared" ca="1" si="44"/>
        <v>544529.22999999975</v>
      </c>
      <c r="AS187" s="63">
        <f ca="1">IF($AQ187&lt;&gt;"", INDEX(Inputs!$B$3:$B$101, MATCH($AQ187,Inputs!$A$3:$A$101,1)), "")</f>
        <v>1E-3</v>
      </c>
      <c r="AT187" s="48">
        <f t="shared" ca="1" si="53"/>
        <v>1.4918609041095883</v>
      </c>
      <c r="AU187" s="3">
        <f t="shared" ca="1" si="45"/>
        <v>-1.4918609041095883</v>
      </c>
      <c r="AV187" s="3">
        <f t="shared" ca="1" si="46"/>
        <v>-1.4918609041095883</v>
      </c>
    </row>
    <row r="188" spans="1:48" x14ac:dyDescent="0.2">
      <c r="A188" s="4">
        <v>44932</v>
      </c>
      <c r="B188" s="1" t="s">
        <v>57</v>
      </c>
      <c r="I188" s="3">
        <v>1900</v>
      </c>
      <c r="M188" s="3" t="str">
        <f t="shared" si="38"/>
        <v/>
      </c>
      <c r="N188" s="3"/>
      <c r="AA188" s="3">
        <f t="shared" si="39"/>
        <v>3450000</v>
      </c>
      <c r="AB188" s="3">
        <f t="shared" si="47"/>
        <v>3450000.0000000037</v>
      </c>
      <c r="AC188" s="3">
        <f t="shared" si="48"/>
        <v>632750.23999999964</v>
      </c>
      <c r="AD188" s="3">
        <f t="shared" si="49"/>
        <v>2817249.760000004</v>
      </c>
      <c r="AE188" s="1">
        <f t="shared" ca="1" si="50"/>
        <v>7</v>
      </c>
      <c r="AG188" s="3">
        <f t="shared" si="51"/>
        <v>1900</v>
      </c>
      <c r="AH188" s="1">
        <f t="shared" si="40"/>
        <v>581</v>
      </c>
      <c r="AI188" s="3">
        <f t="shared" si="41"/>
        <v>1900</v>
      </c>
      <c r="AL188" s="3">
        <f t="shared" si="42"/>
        <v>1900</v>
      </c>
      <c r="AM188" s="3">
        <f t="shared" si="43"/>
        <v>1900</v>
      </c>
      <c r="AQ188" s="4">
        <f t="shared" ca="1" si="52"/>
        <v>44536</v>
      </c>
      <c r="AR188" s="3">
        <f t="shared" ca="1" si="44"/>
        <v>544529.22999999975</v>
      </c>
      <c r="AS188" s="63">
        <f ca="1">IF($AQ188&lt;&gt;"", INDEX(Inputs!$B$3:$B$101, MATCH($AQ188,Inputs!$A$3:$A$101,1)), "")</f>
        <v>1E-3</v>
      </c>
      <c r="AT188" s="48">
        <f t="shared" ca="1" si="53"/>
        <v>1.4918609041095883</v>
      </c>
      <c r="AU188" s="3">
        <f t="shared" ca="1" si="45"/>
        <v>-1.4918609041095883</v>
      </c>
      <c r="AV188" s="3">
        <f t="shared" ca="1" si="46"/>
        <v>-1.4918609041095883</v>
      </c>
    </row>
    <row r="189" spans="1:48" x14ac:dyDescent="0.2">
      <c r="A189" s="4">
        <v>44939</v>
      </c>
      <c r="B189" s="1" t="s">
        <v>57</v>
      </c>
      <c r="I189" s="3">
        <v>1900</v>
      </c>
      <c r="M189" s="3" t="str">
        <f t="shared" si="38"/>
        <v/>
      </c>
      <c r="N189" s="3"/>
      <c r="AA189" s="3">
        <f t="shared" si="39"/>
        <v>3450000</v>
      </c>
      <c r="AB189" s="3">
        <f t="shared" si="47"/>
        <v>3450000.0000000037</v>
      </c>
      <c r="AC189" s="3">
        <f t="shared" si="48"/>
        <v>632750.23999999964</v>
      </c>
      <c r="AD189" s="3">
        <f t="shared" si="49"/>
        <v>2817249.760000004</v>
      </c>
      <c r="AE189" s="1">
        <f t="shared" ca="1" si="50"/>
        <v>3</v>
      </c>
      <c r="AG189" s="3">
        <f t="shared" si="51"/>
        <v>1900</v>
      </c>
      <c r="AH189" s="1">
        <f t="shared" si="40"/>
        <v>588</v>
      </c>
      <c r="AI189" s="3">
        <f t="shared" si="41"/>
        <v>1900</v>
      </c>
      <c r="AL189" s="3">
        <f t="shared" si="42"/>
        <v>1900</v>
      </c>
      <c r="AM189" s="3">
        <f t="shared" si="43"/>
        <v>1900</v>
      </c>
      <c r="AQ189" s="4">
        <f t="shared" ca="1" si="52"/>
        <v>44537</v>
      </c>
      <c r="AR189" s="3">
        <f t="shared" ca="1" si="44"/>
        <v>544529.22999999975</v>
      </c>
      <c r="AS189" s="63">
        <f ca="1">IF($AQ189&lt;&gt;"", INDEX(Inputs!$B$3:$B$101, MATCH($AQ189,Inputs!$A$3:$A$101,1)), "")</f>
        <v>1E-3</v>
      </c>
      <c r="AT189" s="48">
        <f t="shared" ca="1" si="53"/>
        <v>1.4918609041095883</v>
      </c>
      <c r="AU189" s="3">
        <f t="shared" ca="1" si="45"/>
        <v>-1.4918609041095883</v>
      </c>
      <c r="AV189" s="3">
        <f t="shared" ca="1" si="46"/>
        <v>-1.4918609041095883</v>
      </c>
    </row>
    <row r="190" spans="1:48" x14ac:dyDescent="0.2">
      <c r="A190" s="4">
        <v>44942</v>
      </c>
      <c r="B190" s="1" t="s">
        <v>104</v>
      </c>
      <c r="F190" s="3">
        <v>9818.51</v>
      </c>
      <c r="M190" s="3" t="str">
        <f t="shared" si="38"/>
        <v/>
      </c>
      <c r="N190" s="3"/>
      <c r="AA190" s="3">
        <f t="shared" si="39"/>
        <v>3450000</v>
      </c>
      <c r="AB190" s="3">
        <f t="shared" si="47"/>
        <v>3450000.0000000037</v>
      </c>
      <c r="AC190" s="3">
        <f t="shared" si="48"/>
        <v>642568.74999999965</v>
      </c>
      <c r="AD190" s="3">
        <f t="shared" si="49"/>
        <v>2807431.2500000042</v>
      </c>
      <c r="AE190" s="1">
        <f t="shared" ca="1" si="50"/>
        <v>0</v>
      </c>
      <c r="AG190" s="3">
        <f t="shared" si="51"/>
        <v>-9818.51</v>
      </c>
      <c r="AH190" s="1">
        <f t="shared" si="40"/>
        <v>591</v>
      </c>
      <c r="AI190" s="3">
        <f t="shared" si="41"/>
        <v>-9818.51</v>
      </c>
      <c r="AL190" s="3">
        <f t="shared" si="42"/>
        <v>-9818.51</v>
      </c>
      <c r="AM190" s="3">
        <f t="shared" si="43"/>
        <v>-9818.51</v>
      </c>
      <c r="AQ190" s="4">
        <f t="shared" ca="1" si="52"/>
        <v>44538</v>
      </c>
      <c r="AR190" s="3">
        <f t="shared" ca="1" si="44"/>
        <v>544529.22999999975</v>
      </c>
      <c r="AS190" s="63">
        <f ca="1">IF($AQ190&lt;&gt;"", INDEX(Inputs!$B$3:$B$101, MATCH($AQ190,Inputs!$A$3:$A$101,1)), "")</f>
        <v>1E-3</v>
      </c>
      <c r="AT190" s="48">
        <f t="shared" ca="1" si="53"/>
        <v>1.4918609041095883</v>
      </c>
      <c r="AU190" s="3">
        <f t="shared" ca="1" si="45"/>
        <v>-1.4918609041095883</v>
      </c>
      <c r="AV190" s="3">
        <f t="shared" ca="1" si="46"/>
        <v>-1.4918609041095883</v>
      </c>
    </row>
    <row r="191" spans="1:48" x14ac:dyDescent="0.2">
      <c r="A191" s="4">
        <v>44942</v>
      </c>
      <c r="B191" s="1" t="s">
        <v>105</v>
      </c>
      <c r="F191" s="3">
        <v>2653.37</v>
      </c>
      <c r="M191" s="3" t="str">
        <f t="shared" si="38"/>
        <v/>
      </c>
      <c r="N191" s="3"/>
      <c r="P191" s="3"/>
      <c r="AA191" s="3">
        <f t="shared" si="39"/>
        <v>3450000</v>
      </c>
      <c r="AB191" s="3">
        <f t="shared" si="47"/>
        <v>3450000.0000000037</v>
      </c>
      <c r="AC191" s="3">
        <f t="shared" si="48"/>
        <v>645222.11999999965</v>
      </c>
      <c r="AD191" s="3">
        <f t="shared" si="49"/>
        <v>2804777.8800000041</v>
      </c>
      <c r="AE191" s="1">
        <f t="shared" ca="1" si="50"/>
        <v>4</v>
      </c>
      <c r="AG191" s="3">
        <f t="shared" si="51"/>
        <v>-2653.37</v>
      </c>
      <c r="AH191" s="1">
        <f t="shared" si="40"/>
        <v>591</v>
      </c>
      <c r="AI191" s="3">
        <f t="shared" si="41"/>
        <v>-2653.37</v>
      </c>
      <c r="AL191" s="3">
        <f t="shared" si="42"/>
        <v>-2653.37</v>
      </c>
      <c r="AM191" s="3">
        <f t="shared" si="43"/>
        <v>-2653.37</v>
      </c>
      <c r="AQ191" s="4">
        <f t="shared" ca="1" si="52"/>
        <v>44539</v>
      </c>
      <c r="AR191" s="3">
        <f t="shared" ca="1" si="44"/>
        <v>544529.22999999975</v>
      </c>
      <c r="AS191" s="63">
        <f ca="1">IF($AQ191&lt;&gt;"", INDEX(Inputs!$B$3:$B$101, MATCH($AQ191,Inputs!$A$3:$A$101,1)), "")</f>
        <v>1E-3</v>
      </c>
      <c r="AT191" s="48">
        <f t="shared" ca="1" si="53"/>
        <v>1.4918609041095883</v>
      </c>
      <c r="AU191" s="3">
        <f t="shared" ca="1" si="45"/>
        <v>-1.4918609041095883</v>
      </c>
      <c r="AV191" s="3">
        <f t="shared" ca="1" si="46"/>
        <v>-1.4918609041095883</v>
      </c>
    </row>
    <row r="192" spans="1:48" x14ac:dyDescent="0.2">
      <c r="A192" s="4">
        <v>44946</v>
      </c>
      <c r="B192" s="1" t="s">
        <v>57</v>
      </c>
      <c r="I192" s="3">
        <v>1900</v>
      </c>
      <c r="M192" s="3" t="str">
        <f t="shared" si="38"/>
        <v/>
      </c>
      <c r="N192" s="3"/>
      <c r="AA192" s="3">
        <f t="shared" si="39"/>
        <v>3450000</v>
      </c>
      <c r="AB192" s="3">
        <f t="shared" si="47"/>
        <v>3450000.0000000037</v>
      </c>
      <c r="AC192" s="3">
        <f t="shared" si="48"/>
        <v>645222.11999999965</v>
      </c>
      <c r="AD192" s="3">
        <f t="shared" si="49"/>
        <v>2804777.8800000041</v>
      </c>
      <c r="AE192" s="1">
        <f t="shared" ca="1" si="50"/>
        <v>7</v>
      </c>
      <c r="AG192" s="3">
        <f t="shared" si="51"/>
        <v>1900</v>
      </c>
      <c r="AH192" s="1">
        <f t="shared" si="40"/>
        <v>595</v>
      </c>
      <c r="AI192" s="3">
        <f t="shared" si="41"/>
        <v>1900</v>
      </c>
      <c r="AL192" s="3">
        <f t="shared" si="42"/>
        <v>1900</v>
      </c>
      <c r="AM192" s="3">
        <f t="shared" si="43"/>
        <v>1900</v>
      </c>
      <c r="AQ192" s="4">
        <f t="shared" ca="1" si="52"/>
        <v>44540</v>
      </c>
      <c r="AR192" s="3">
        <f t="shared" ca="1" si="44"/>
        <v>544529.22999999975</v>
      </c>
      <c r="AS192" s="63">
        <f ca="1">IF($AQ192&lt;&gt;"", INDEX(Inputs!$B$3:$B$101, MATCH($AQ192,Inputs!$A$3:$A$101,1)), "")</f>
        <v>1E-3</v>
      </c>
      <c r="AT192" s="48">
        <f t="shared" ca="1" si="53"/>
        <v>1.4918609041095883</v>
      </c>
      <c r="AU192" s="3">
        <f t="shared" ca="1" si="45"/>
        <v>1898.5081390958903</v>
      </c>
      <c r="AV192" s="3">
        <f t="shared" ca="1" si="46"/>
        <v>1898.5081390958903</v>
      </c>
    </row>
    <row r="193" spans="1:48" x14ac:dyDescent="0.2">
      <c r="A193" s="4">
        <v>44953</v>
      </c>
      <c r="B193" s="1" t="s">
        <v>57</v>
      </c>
      <c r="I193" s="3">
        <v>1900</v>
      </c>
      <c r="M193" s="3" t="str">
        <f t="shared" si="38"/>
        <v/>
      </c>
      <c r="N193" s="3"/>
      <c r="AA193" s="3">
        <f t="shared" si="39"/>
        <v>3450000</v>
      </c>
      <c r="AB193" s="3">
        <f t="shared" si="47"/>
        <v>3450000.0000000037</v>
      </c>
      <c r="AC193" s="3">
        <f t="shared" si="48"/>
        <v>645222.11999999965</v>
      </c>
      <c r="AD193" s="3">
        <f t="shared" si="49"/>
        <v>2804777.8800000041</v>
      </c>
      <c r="AE193" s="1">
        <f t="shared" ca="1" si="50"/>
        <v>4</v>
      </c>
      <c r="AG193" s="3">
        <f t="shared" si="51"/>
        <v>1900</v>
      </c>
      <c r="AH193" s="1">
        <f t="shared" si="40"/>
        <v>602</v>
      </c>
      <c r="AI193" s="3">
        <f t="shared" si="41"/>
        <v>1900</v>
      </c>
      <c r="AL193" s="3">
        <f t="shared" si="42"/>
        <v>1900</v>
      </c>
      <c r="AM193" s="3">
        <f t="shared" si="43"/>
        <v>1900</v>
      </c>
      <c r="AQ193" s="4">
        <f t="shared" ca="1" si="52"/>
        <v>44541</v>
      </c>
      <c r="AR193" s="3">
        <f t="shared" ca="1" si="44"/>
        <v>544529.22999999975</v>
      </c>
      <c r="AS193" s="63">
        <f ca="1">IF($AQ193&lt;&gt;"", INDEX(Inputs!$B$3:$B$101, MATCH($AQ193,Inputs!$A$3:$A$101,1)), "")</f>
        <v>1E-3</v>
      </c>
      <c r="AT193" s="48">
        <f t="shared" ca="1" si="53"/>
        <v>1.4918609041095883</v>
      </c>
      <c r="AU193" s="3">
        <f t="shared" ca="1" si="45"/>
        <v>-1.4918609041095883</v>
      </c>
      <c r="AV193" s="3">
        <f t="shared" ca="1" si="46"/>
        <v>-1.4918609041095883</v>
      </c>
    </row>
    <row r="194" spans="1:48" x14ac:dyDescent="0.2">
      <c r="A194" s="4">
        <v>44957</v>
      </c>
      <c r="B194" s="1" t="s">
        <v>103</v>
      </c>
      <c r="G194" s="3">
        <v>4254.96</v>
      </c>
      <c r="M194" s="3" t="str">
        <f t="shared" si="38"/>
        <v/>
      </c>
      <c r="N194" s="3"/>
      <c r="AA194" s="3">
        <f t="shared" si="39"/>
        <v>3450000</v>
      </c>
      <c r="AB194" s="3">
        <f t="shared" si="47"/>
        <v>3450000.0000000037</v>
      </c>
      <c r="AC194" s="3">
        <f t="shared" si="48"/>
        <v>640967.15999999968</v>
      </c>
      <c r="AD194" s="3">
        <f t="shared" si="49"/>
        <v>2809032.840000004</v>
      </c>
      <c r="AE194" s="1">
        <f t="shared" ca="1" si="50"/>
        <v>0</v>
      </c>
      <c r="AG194" s="3">
        <f t="shared" si="51"/>
        <v>0</v>
      </c>
      <c r="AH194" s="1">
        <f t="shared" si="40"/>
        <v>606</v>
      </c>
      <c r="AI194" s="3">
        <f t="shared" si="41"/>
        <v>0</v>
      </c>
      <c r="AL194" s="3">
        <f t="shared" si="42"/>
        <v>0</v>
      </c>
      <c r="AM194" s="3">
        <f t="shared" si="43"/>
        <v>0</v>
      </c>
      <c r="AQ194" s="4">
        <f t="shared" ca="1" si="52"/>
        <v>44542</v>
      </c>
      <c r="AR194" s="3">
        <f t="shared" ca="1" si="44"/>
        <v>544529.22999999975</v>
      </c>
      <c r="AS194" s="63">
        <f ca="1">IF($AQ194&lt;&gt;"", INDEX(Inputs!$B$3:$B$101, MATCH($AQ194,Inputs!$A$3:$A$101,1)), "")</f>
        <v>1E-3</v>
      </c>
      <c r="AT194" s="48">
        <f t="shared" ca="1" si="53"/>
        <v>1.4918609041095883</v>
      </c>
      <c r="AU194" s="3">
        <f t="shared" ca="1" si="45"/>
        <v>-1.4918609041095883</v>
      </c>
      <c r="AV194" s="3">
        <f t="shared" ca="1" si="46"/>
        <v>-1.4918609041095883</v>
      </c>
    </row>
    <row r="195" spans="1:48" x14ac:dyDescent="0.2">
      <c r="A195" s="4">
        <v>44957</v>
      </c>
      <c r="B195" s="1" t="s">
        <v>106</v>
      </c>
      <c r="G195" s="3">
        <v>1975.29</v>
      </c>
      <c r="M195" s="3" t="str">
        <f t="shared" ref="M195:M258" si="54">IF($A195&lt;&gt;"", IF(ISNUMBER(SEARCH("Debt Cost (est.)",B195)), SUMIFS(AT:AT, AQ:AQ, "&gt;="&amp;DATE("20"&amp;RIGHT(LEFT(B195,4),2)-1,7,1), AQ:AQ, "&lt;="&amp;DATE("20"&amp;RIGHT(LEFT(B195,4),2),6,30)), ""), "")</f>
        <v/>
      </c>
      <c r="N195" s="3"/>
      <c r="P195" s="3"/>
      <c r="AA195" s="3">
        <f t="shared" ref="AA195:AA258" si="55">IF($A195&lt;&gt;"", MIN(AB195,$P$3), "")</f>
        <v>3450000</v>
      </c>
      <c r="AB195" s="3">
        <f t="shared" si="47"/>
        <v>3450000.0000000037</v>
      </c>
      <c r="AC195" s="3">
        <f t="shared" si="48"/>
        <v>638991.86999999965</v>
      </c>
      <c r="AD195" s="3">
        <f t="shared" si="49"/>
        <v>2811008.1300000041</v>
      </c>
      <c r="AE195" s="1">
        <f t="shared" ca="1" si="50"/>
        <v>1</v>
      </c>
      <c r="AG195" s="3">
        <f t="shared" si="51"/>
        <v>0</v>
      </c>
      <c r="AH195" s="1">
        <f t="shared" ref="AH195:AH258" si="56">IF(A195&lt;&gt;"", A195-A$3, "")</f>
        <v>606</v>
      </c>
      <c r="AI195" s="3">
        <f t="shared" ref="AI195:AI258" si="57">IF(A195&lt;&gt;"", AG195*(1+$X$3)^-(AH195/365), "")</f>
        <v>0</v>
      </c>
      <c r="AL195" s="3">
        <f t="shared" ref="AL195:AL259" si="58">IF($A195&lt;&gt;"", AG195-IF(ISNUMBER(K195),K195*L195,0), "")</f>
        <v>0</v>
      </c>
      <c r="AM195" s="3">
        <f t="shared" ref="AM195:AM258" si="59">IF(A195&lt;&gt;"", AL195*(1+$X$6/CompoundingRate)^-(AH195/(365/CompoundingRate)), "")</f>
        <v>0</v>
      </c>
      <c r="AQ195" s="4">
        <f t="shared" ca="1" si="52"/>
        <v>44543</v>
      </c>
      <c r="AR195" s="3">
        <f t="shared" ref="AR195:AR244" ca="1" si="60">IF($AQ195&lt;&gt;"", INDEX($AC$3:$AC$1055, MATCH($AQ195,$A$3:$A$1055,1)), "")</f>
        <v>544529.22999999975</v>
      </c>
      <c r="AS195" s="63">
        <f ca="1">IF($AQ195&lt;&gt;"", INDEX(Inputs!$B$3:$B$101, MATCH($AQ195,Inputs!$A$3:$A$101,1)), "")</f>
        <v>1E-3</v>
      </c>
      <c r="AT195" s="48">
        <f t="shared" ca="1" si="53"/>
        <v>1.4918609041095883</v>
      </c>
      <c r="AU195" s="3">
        <f t="shared" ref="AU195:AU258" ca="1" si="61">IF($AQ195&lt;&gt;"", SUMIFS($AL$3:$AL$1054, $A$3:$A$1054,$AQ195) + SUMIFS($M$3:$M$1054, $A$3:$A$1054,$AQ195)*IFERROR(AVERAGEIFS($L$3:$L$1054, $A$3:$A$1054,$AQ195, $M$3:$M$1054,"&gt;0"),0) - AT195, "")</f>
        <v>-1.4918609041095883</v>
      </c>
      <c r="AV195" s="3">
        <f t="shared" ref="AV195:AV259" ca="1" si="62">IF(AQ195&lt;&gt;"", AU195*(1+$X$9/CompoundingRate)^-((AQ195-AQ$3)/(365/CompoundingRate)), "")</f>
        <v>-1.4918609041095883</v>
      </c>
    </row>
    <row r="196" spans="1:48" x14ac:dyDescent="0.2">
      <c r="A196" s="4">
        <v>44958</v>
      </c>
      <c r="B196" s="1" t="s">
        <v>50</v>
      </c>
      <c r="H196" s="3">
        <v>3124.05</v>
      </c>
      <c r="M196" s="3" t="str">
        <f t="shared" si="54"/>
        <v/>
      </c>
      <c r="N196" s="3"/>
      <c r="AA196" s="3">
        <f t="shared" si="55"/>
        <v>3450000</v>
      </c>
      <c r="AB196" s="3">
        <f t="shared" ref="AB196:AB259" si="63">IF($A196&lt;&gt;"", AC196+AD196, "")</f>
        <v>3450000.0000000037</v>
      </c>
      <c r="AC196" s="3">
        <f t="shared" ref="AC196:AC259" si="64">IF(A196&lt;&gt;"", AC195+D196+F196-G196, "")</f>
        <v>638991.86999999965</v>
      </c>
      <c r="AD196" s="3">
        <f t="shared" ref="AD196:AD259" si="65">IF(A196&lt;&gt;"", AD195+C196-F196+G196, "")</f>
        <v>2811008.1300000041</v>
      </c>
      <c r="AE196" s="1">
        <f t="shared" ref="AE196:AE259" ca="1" si="66">IF(A197&lt;&gt;"", A197-A196, IF(A196&lt;&gt;"",IF(AC196&lt;&gt;0,TODAY()-A196,0), ""))</f>
        <v>2</v>
      </c>
      <c r="AG196" s="3">
        <f t="shared" ref="AG196:AG259" si="67">IF($A196&lt;&gt;"", I196+J196+E196-F196-H196, "")</f>
        <v>-3124.05</v>
      </c>
      <c r="AH196" s="1">
        <f t="shared" si="56"/>
        <v>607</v>
      </c>
      <c r="AI196" s="3">
        <f t="shared" si="57"/>
        <v>-3124.05</v>
      </c>
      <c r="AL196" s="3">
        <f t="shared" si="58"/>
        <v>-3124.05</v>
      </c>
      <c r="AM196" s="3">
        <f t="shared" si="59"/>
        <v>-3124.05</v>
      </c>
      <c r="AQ196" s="4">
        <f t="shared" ca="1" si="52"/>
        <v>44544</v>
      </c>
      <c r="AR196" s="3">
        <f t="shared" ca="1" si="60"/>
        <v>544529.22999999975</v>
      </c>
      <c r="AS196" s="63">
        <f ca="1">IF($AQ196&lt;&gt;"", INDEX(Inputs!$B$3:$B$101, MATCH($AQ196,Inputs!$A$3:$A$101,1)), "")</f>
        <v>1E-3</v>
      </c>
      <c r="AT196" s="48">
        <f t="shared" ca="1" si="53"/>
        <v>1.4918609041095883</v>
      </c>
      <c r="AU196" s="3">
        <f t="shared" ca="1" si="61"/>
        <v>-1.4918609041095883</v>
      </c>
      <c r="AV196" s="3">
        <f t="shared" ca="1" si="62"/>
        <v>-1.4918609041095883</v>
      </c>
    </row>
    <row r="197" spans="1:48" x14ac:dyDescent="0.2">
      <c r="A197" s="4">
        <v>44960</v>
      </c>
      <c r="B197" s="1" t="s">
        <v>57</v>
      </c>
      <c r="I197" s="3">
        <v>1900</v>
      </c>
      <c r="M197" s="3" t="str">
        <f t="shared" si="54"/>
        <v/>
      </c>
      <c r="N197" s="3"/>
      <c r="AA197" s="3">
        <f t="shared" si="55"/>
        <v>3450000</v>
      </c>
      <c r="AB197" s="3">
        <f t="shared" si="63"/>
        <v>3450000.0000000037</v>
      </c>
      <c r="AC197" s="3">
        <f t="shared" si="64"/>
        <v>638991.86999999965</v>
      </c>
      <c r="AD197" s="3">
        <f t="shared" si="65"/>
        <v>2811008.1300000041</v>
      </c>
      <c r="AE197" s="1">
        <f t="shared" ca="1" si="66"/>
        <v>7</v>
      </c>
      <c r="AG197" s="3">
        <f t="shared" si="67"/>
        <v>1900</v>
      </c>
      <c r="AH197" s="1">
        <f t="shared" si="56"/>
        <v>609</v>
      </c>
      <c r="AI197" s="3">
        <f t="shared" si="57"/>
        <v>1900</v>
      </c>
      <c r="AL197" s="3">
        <f t="shared" si="58"/>
        <v>1900</v>
      </c>
      <c r="AM197" s="3">
        <f t="shared" si="59"/>
        <v>1900</v>
      </c>
      <c r="AQ197" s="4">
        <f t="shared" ca="1" si="52"/>
        <v>44545</v>
      </c>
      <c r="AR197" s="3">
        <f t="shared" ca="1" si="60"/>
        <v>544529.22999999975</v>
      </c>
      <c r="AS197" s="63">
        <f ca="1">IF($AQ197&lt;&gt;"", INDEX(Inputs!$B$3:$B$101, MATCH($AQ197,Inputs!$A$3:$A$101,1)), "")</f>
        <v>1E-3</v>
      </c>
      <c r="AT197" s="48">
        <f t="shared" ca="1" si="53"/>
        <v>1.4918609041095883</v>
      </c>
      <c r="AU197" s="3">
        <f t="shared" ca="1" si="61"/>
        <v>-1.4918609041095883</v>
      </c>
      <c r="AV197" s="3">
        <f t="shared" ca="1" si="62"/>
        <v>-1.4918609041095883</v>
      </c>
    </row>
    <row r="198" spans="1:48" x14ac:dyDescent="0.2">
      <c r="A198" s="4">
        <v>44967</v>
      </c>
      <c r="B198" s="1" t="s">
        <v>57</v>
      </c>
      <c r="I198" s="3">
        <v>1900</v>
      </c>
      <c r="M198" s="3" t="str">
        <f t="shared" si="54"/>
        <v/>
      </c>
      <c r="N198" s="3"/>
      <c r="AA198" s="3">
        <f t="shared" si="55"/>
        <v>3450000</v>
      </c>
      <c r="AB198" s="3">
        <f t="shared" si="63"/>
        <v>3450000.0000000037</v>
      </c>
      <c r="AC198" s="3">
        <f t="shared" si="64"/>
        <v>638991.86999999965</v>
      </c>
      <c r="AD198" s="3">
        <f t="shared" si="65"/>
        <v>2811008.1300000041</v>
      </c>
      <c r="AE198" s="1">
        <f t="shared" ca="1" si="66"/>
        <v>6</v>
      </c>
      <c r="AG198" s="3">
        <f t="shared" si="67"/>
        <v>1900</v>
      </c>
      <c r="AH198" s="1">
        <f t="shared" si="56"/>
        <v>616</v>
      </c>
      <c r="AI198" s="3">
        <f t="shared" si="57"/>
        <v>1900</v>
      </c>
      <c r="AL198" s="3">
        <f t="shared" si="58"/>
        <v>1900</v>
      </c>
      <c r="AM198" s="3">
        <f t="shared" si="59"/>
        <v>1900</v>
      </c>
      <c r="AQ198" s="4">
        <f t="shared" ca="1" si="52"/>
        <v>44546</v>
      </c>
      <c r="AR198" s="3">
        <f t="shared" ca="1" si="60"/>
        <v>556580.1799999997</v>
      </c>
      <c r="AS198" s="63">
        <f ca="1">IF($AQ198&lt;&gt;"", INDEX(Inputs!$B$3:$B$101, MATCH($AQ198,Inputs!$A$3:$A$101,1)), "")</f>
        <v>1E-3</v>
      </c>
      <c r="AT198" s="48">
        <f t="shared" ca="1" si="53"/>
        <v>1.5248772054794513</v>
      </c>
      <c r="AU198" s="3">
        <f t="shared" ca="1" si="61"/>
        <v>-15179.11487720548</v>
      </c>
      <c r="AV198" s="3">
        <f t="shared" ca="1" si="62"/>
        <v>-15179.11487720548</v>
      </c>
    </row>
    <row r="199" spans="1:48" x14ac:dyDescent="0.2">
      <c r="A199" s="4">
        <v>44973</v>
      </c>
      <c r="B199" s="1" t="s">
        <v>104</v>
      </c>
      <c r="F199" s="3">
        <v>9818.51</v>
      </c>
      <c r="M199" s="3" t="str">
        <f t="shared" si="54"/>
        <v/>
      </c>
      <c r="N199" s="3"/>
      <c r="AA199" s="3">
        <f t="shared" si="55"/>
        <v>3450000</v>
      </c>
      <c r="AB199" s="3">
        <f t="shared" si="63"/>
        <v>3450000.0000000037</v>
      </c>
      <c r="AC199" s="3">
        <f t="shared" si="64"/>
        <v>648810.37999999966</v>
      </c>
      <c r="AD199" s="3">
        <f t="shared" si="65"/>
        <v>2801189.6200000043</v>
      </c>
      <c r="AE199" s="1">
        <f t="shared" ca="1" si="66"/>
        <v>0</v>
      </c>
      <c r="AG199" s="3">
        <f t="shared" si="67"/>
        <v>-9818.51</v>
      </c>
      <c r="AH199" s="1">
        <f t="shared" si="56"/>
        <v>622</v>
      </c>
      <c r="AI199" s="3">
        <f t="shared" si="57"/>
        <v>-9818.51</v>
      </c>
      <c r="AL199" s="3">
        <f t="shared" si="58"/>
        <v>-9818.51</v>
      </c>
      <c r="AM199" s="3">
        <f t="shared" si="59"/>
        <v>-9818.51</v>
      </c>
      <c r="AQ199" s="4">
        <f t="shared" ca="1" si="52"/>
        <v>44547</v>
      </c>
      <c r="AR199" s="3">
        <f t="shared" ca="1" si="60"/>
        <v>556580.1799999997</v>
      </c>
      <c r="AS199" s="63">
        <f ca="1">IF($AQ199&lt;&gt;"", INDEX(Inputs!$B$3:$B$101, MATCH($AQ199,Inputs!$A$3:$A$101,1)), "")</f>
        <v>1E-3</v>
      </c>
      <c r="AT199" s="48">
        <f t="shared" ca="1" si="53"/>
        <v>1.5248772054794513</v>
      </c>
      <c r="AU199" s="3">
        <f t="shared" ca="1" si="61"/>
        <v>1898.4751227945205</v>
      </c>
      <c r="AV199" s="3">
        <f t="shared" ca="1" si="62"/>
        <v>1898.4751227945205</v>
      </c>
    </row>
    <row r="200" spans="1:48" x14ac:dyDescent="0.2">
      <c r="A200" s="4">
        <v>44973</v>
      </c>
      <c r="B200" s="1" t="s">
        <v>105</v>
      </c>
      <c r="F200" s="3">
        <v>2653.37</v>
      </c>
      <c r="M200" s="3" t="str">
        <f t="shared" si="54"/>
        <v/>
      </c>
      <c r="N200" s="3"/>
      <c r="P200" s="3"/>
      <c r="AA200" s="3">
        <f t="shared" si="55"/>
        <v>3450000</v>
      </c>
      <c r="AB200" s="3">
        <f t="shared" si="63"/>
        <v>3450000.0000000037</v>
      </c>
      <c r="AC200" s="3">
        <f t="shared" si="64"/>
        <v>651463.74999999965</v>
      </c>
      <c r="AD200" s="3">
        <f t="shared" si="65"/>
        <v>2798536.2500000042</v>
      </c>
      <c r="AE200" s="1">
        <f t="shared" ca="1" si="66"/>
        <v>1</v>
      </c>
      <c r="AG200" s="3">
        <f t="shared" si="67"/>
        <v>-2653.37</v>
      </c>
      <c r="AH200" s="1">
        <f t="shared" si="56"/>
        <v>622</v>
      </c>
      <c r="AI200" s="3">
        <f t="shared" si="57"/>
        <v>-2653.37</v>
      </c>
      <c r="AL200" s="3">
        <f t="shared" si="58"/>
        <v>-2653.37</v>
      </c>
      <c r="AM200" s="3">
        <f t="shared" si="59"/>
        <v>-2653.37</v>
      </c>
      <c r="AQ200" s="4">
        <f t="shared" ca="1" si="52"/>
        <v>44548</v>
      </c>
      <c r="AR200" s="3">
        <f t="shared" ca="1" si="60"/>
        <v>556580.1799999997</v>
      </c>
      <c r="AS200" s="63">
        <f ca="1">IF($AQ200&lt;&gt;"", INDEX(Inputs!$B$3:$B$101, MATCH($AQ200,Inputs!$A$3:$A$101,1)), "")</f>
        <v>1E-3</v>
      </c>
      <c r="AT200" s="48">
        <f t="shared" ca="1" si="53"/>
        <v>1.5248772054794513</v>
      </c>
      <c r="AU200" s="3">
        <f t="shared" ca="1" si="61"/>
        <v>-1.5248772054794513</v>
      </c>
      <c r="AV200" s="3">
        <f t="shared" ca="1" si="62"/>
        <v>-1.5248772054794513</v>
      </c>
    </row>
    <row r="201" spans="1:48" x14ac:dyDescent="0.2">
      <c r="A201" s="4">
        <v>44974</v>
      </c>
      <c r="B201" s="1" t="s">
        <v>57</v>
      </c>
      <c r="I201" s="3">
        <v>1900</v>
      </c>
      <c r="M201" s="3" t="str">
        <f t="shared" si="54"/>
        <v/>
      </c>
      <c r="N201" s="3"/>
      <c r="AA201" s="3">
        <f t="shared" si="55"/>
        <v>3450000</v>
      </c>
      <c r="AB201" s="3">
        <f t="shared" si="63"/>
        <v>3450000.0000000037</v>
      </c>
      <c r="AC201" s="3">
        <f t="shared" si="64"/>
        <v>651463.74999999965</v>
      </c>
      <c r="AD201" s="3">
        <f t="shared" si="65"/>
        <v>2798536.2500000042</v>
      </c>
      <c r="AE201" s="1">
        <f t="shared" ca="1" si="66"/>
        <v>7</v>
      </c>
      <c r="AG201" s="3">
        <f t="shared" si="67"/>
        <v>1900</v>
      </c>
      <c r="AH201" s="1">
        <f t="shared" si="56"/>
        <v>623</v>
      </c>
      <c r="AI201" s="3">
        <f t="shared" si="57"/>
        <v>1900</v>
      </c>
      <c r="AL201" s="3">
        <f t="shared" si="58"/>
        <v>1900</v>
      </c>
      <c r="AM201" s="3">
        <f t="shared" si="59"/>
        <v>1900</v>
      </c>
      <c r="AQ201" s="4">
        <f t="shared" ca="1" si="52"/>
        <v>44549</v>
      </c>
      <c r="AR201" s="3">
        <f t="shared" ca="1" si="60"/>
        <v>556580.1799999997</v>
      </c>
      <c r="AS201" s="63">
        <f ca="1">IF($AQ201&lt;&gt;"", INDEX(Inputs!$B$3:$B$101, MATCH($AQ201,Inputs!$A$3:$A$101,1)), "")</f>
        <v>1E-3</v>
      </c>
      <c r="AT201" s="48">
        <f t="shared" ca="1" si="53"/>
        <v>1.5248772054794513</v>
      </c>
      <c r="AU201" s="3">
        <f t="shared" ca="1" si="61"/>
        <v>-1.5248772054794513</v>
      </c>
      <c r="AV201" s="3">
        <f t="shared" ca="1" si="62"/>
        <v>-1.5248772054794513</v>
      </c>
    </row>
    <row r="202" spans="1:48" x14ac:dyDescent="0.2">
      <c r="A202" s="4">
        <v>44981</v>
      </c>
      <c r="B202" s="1" t="s">
        <v>57</v>
      </c>
      <c r="I202" s="3">
        <v>1900</v>
      </c>
      <c r="M202" s="3" t="str">
        <f t="shared" si="54"/>
        <v/>
      </c>
      <c r="N202" s="3"/>
      <c r="AA202" s="3">
        <f t="shared" si="55"/>
        <v>3450000</v>
      </c>
      <c r="AB202" s="3">
        <f t="shared" si="63"/>
        <v>3450000.0000000037</v>
      </c>
      <c r="AC202" s="3">
        <f t="shared" si="64"/>
        <v>651463.74999999965</v>
      </c>
      <c r="AD202" s="3">
        <f t="shared" si="65"/>
        <v>2798536.2500000042</v>
      </c>
      <c r="AE202" s="1">
        <f t="shared" ca="1" si="66"/>
        <v>4</v>
      </c>
      <c r="AG202" s="3">
        <f t="shared" si="67"/>
        <v>1900</v>
      </c>
      <c r="AH202" s="1">
        <f t="shared" si="56"/>
        <v>630</v>
      </c>
      <c r="AI202" s="3">
        <f t="shared" si="57"/>
        <v>1900</v>
      </c>
      <c r="AL202" s="3">
        <f t="shared" si="58"/>
        <v>1900</v>
      </c>
      <c r="AM202" s="3">
        <f t="shared" si="59"/>
        <v>1900</v>
      </c>
      <c r="AQ202" s="4">
        <f t="shared" ca="1" si="52"/>
        <v>44550</v>
      </c>
      <c r="AR202" s="3">
        <f t="shared" ca="1" si="60"/>
        <v>556580.1799999997</v>
      </c>
      <c r="AS202" s="63">
        <f ca="1">IF($AQ202&lt;&gt;"", INDEX(Inputs!$B$3:$B$101, MATCH($AQ202,Inputs!$A$3:$A$101,1)), "")</f>
        <v>1E-3</v>
      </c>
      <c r="AT202" s="48">
        <f t="shared" ca="1" si="53"/>
        <v>1.5248772054794513</v>
      </c>
      <c r="AU202" s="3">
        <f t="shared" ca="1" si="61"/>
        <v>-1.5248772054794513</v>
      </c>
      <c r="AV202" s="3">
        <f t="shared" ca="1" si="62"/>
        <v>-1.5248772054794513</v>
      </c>
    </row>
    <row r="203" spans="1:48" x14ac:dyDescent="0.2">
      <c r="A203" s="4">
        <v>44985</v>
      </c>
      <c r="B203" s="1" t="s">
        <v>103</v>
      </c>
      <c r="G203" s="3">
        <v>3714.84</v>
      </c>
      <c r="M203" s="3" t="str">
        <f t="shared" si="54"/>
        <v/>
      </c>
      <c r="N203" s="3"/>
      <c r="AA203" s="3">
        <f t="shared" si="55"/>
        <v>3450000</v>
      </c>
      <c r="AB203" s="3">
        <f t="shared" si="63"/>
        <v>3450000.0000000037</v>
      </c>
      <c r="AC203" s="3">
        <f t="shared" si="64"/>
        <v>647748.90999999968</v>
      </c>
      <c r="AD203" s="3">
        <f t="shared" si="65"/>
        <v>2802251.090000004</v>
      </c>
      <c r="AE203" s="1">
        <f t="shared" ca="1" si="66"/>
        <v>0</v>
      </c>
      <c r="AG203" s="3">
        <f t="shared" si="67"/>
        <v>0</v>
      </c>
      <c r="AH203" s="1">
        <f t="shared" si="56"/>
        <v>634</v>
      </c>
      <c r="AI203" s="3">
        <f t="shared" si="57"/>
        <v>0</v>
      </c>
      <c r="AL203" s="3">
        <f t="shared" si="58"/>
        <v>0</v>
      </c>
      <c r="AM203" s="3">
        <f t="shared" si="59"/>
        <v>0</v>
      </c>
      <c r="AQ203" s="4">
        <f t="shared" ca="1" si="52"/>
        <v>44551</v>
      </c>
      <c r="AR203" s="3">
        <f t="shared" ca="1" si="60"/>
        <v>556580.1799999997</v>
      </c>
      <c r="AS203" s="63">
        <f ca="1">IF($AQ203&lt;&gt;"", INDEX(Inputs!$B$3:$B$101, MATCH($AQ203,Inputs!$A$3:$A$101,1)), "")</f>
        <v>1E-3</v>
      </c>
      <c r="AT203" s="48">
        <f t="shared" ca="1" si="53"/>
        <v>1.5248772054794513</v>
      </c>
      <c r="AU203" s="3">
        <f t="shared" ca="1" si="61"/>
        <v>-1.5248772054794513</v>
      </c>
      <c r="AV203" s="3">
        <f t="shared" ca="1" si="62"/>
        <v>-1.5248772054794513</v>
      </c>
    </row>
    <row r="204" spans="1:48" x14ac:dyDescent="0.2">
      <c r="A204" s="4">
        <v>44985</v>
      </c>
      <c r="B204" s="1" t="s">
        <v>106</v>
      </c>
      <c r="G204" s="3">
        <v>1250.3499999999999</v>
      </c>
      <c r="M204" s="3" t="str">
        <f t="shared" si="54"/>
        <v/>
      </c>
      <c r="N204" s="3"/>
      <c r="P204" s="3"/>
      <c r="V204" s="3"/>
      <c r="AA204" s="3">
        <f t="shared" si="55"/>
        <v>3450000</v>
      </c>
      <c r="AB204" s="3">
        <f t="shared" si="63"/>
        <v>3450000.0000000037</v>
      </c>
      <c r="AC204" s="3">
        <f t="shared" si="64"/>
        <v>646498.55999999971</v>
      </c>
      <c r="AD204" s="3">
        <f t="shared" si="65"/>
        <v>2803501.4400000041</v>
      </c>
      <c r="AE204" s="1">
        <f t="shared" ca="1" si="66"/>
        <v>3</v>
      </c>
      <c r="AG204" s="3">
        <f t="shared" si="67"/>
        <v>0</v>
      </c>
      <c r="AH204" s="1">
        <f t="shared" si="56"/>
        <v>634</v>
      </c>
      <c r="AI204" s="3">
        <f t="shared" si="57"/>
        <v>0</v>
      </c>
      <c r="AL204" s="3">
        <f t="shared" si="58"/>
        <v>0</v>
      </c>
      <c r="AM204" s="3">
        <f t="shared" si="59"/>
        <v>0</v>
      </c>
      <c r="AQ204" s="4">
        <f t="shared" ca="1" si="52"/>
        <v>44552</v>
      </c>
      <c r="AR204" s="3">
        <f t="shared" ca="1" si="60"/>
        <v>556580.1799999997</v>
      </c>
      <c r="AS204" s="63">
        <f ca="1">IF($AQ204&lt;&gt;"", INDEX(Inputs!$B$3:$B$101, MATCH($AQ204,Inputs!$A$3:$A$101,1)), "")</f>
        <v>1E-3</v>
      </c>
      <c r="AT204" s="48">
        <f t="shared" ca="1" si="53"/>
        <v>1.5248772054794513</v>
      </c>
      <c r="AU204" s="3">
        <f t="shared" ca="1" si="61"/>
        <v>-1.5248772054794513</v>
      </c>
      <c r="AV204" s="3">
        <f t="shared" ca="1" si="62"/>
        <v>-1.5248772054794513</v>
      </c>
    </row>
    <row r="205" spans="1:48" x14ac:dyDescent="0.2">
      <c r="A205" s="4">
        <v>44988</v>
      </c>
      <c r="B205" s="1" t="s">
        <v>57</v>
      </c>
      <c r="I205" s="3">
        <v>1900</v>
      </c>
      <c r="M205" s="3" t="str">
        <f t="shared" si="54"/>
        <v/>
      </c>
      <c r="N205" s="3"/>
      <c r="V205" s="3"/>
      <c r="AA205" s="3">
        <f t="shared" si="55"/>
        <v>3450000</v>
      </c>
      <c r="AB205" s="3">
        <f t="shared" si="63"/>
        <v>3450000.0000000037</v>
      </c>
      <c r="AC205" s="3">
        <f t="shared" si="64"/>
        <v>646498.55999999971</v>
      </c>
      <c r="AD205" s="3">
        <f t="shared" si="65"/>
        <v>2803501.4400000041</v>
      </c>
      <c r="AE205" s="1">
        <f t="shared" ca="1" si="66"/>
        <v>7</v>
      </c>
      <c r="AG205" s="3">
        <f t="shared" si="67"/>
        <v>1900</v>
      </c>
      <c r="AH205" s="1">
        <f t="shared" si="56"/>
        <v>637</v>
      </c>
      <c r="AI205" s="3">
        <f t="shared" si="57"/>
        <v>1900</v>
      </c>
      <c r="AL205" s="3">
        <f t="shared" si="58"/>
        <v>1900</v>
      </c>
      <c r="AM205" s="3">
        <f t="shared" si="59"/>
        <v>1900</v>
      </c>
      <c r="AQ205" s="4">
        <f t="shared" ca="1" si="52"/>
        <v>44553</v>
      </c>
      <c r="AR205" s="3">
        <f t="shared" ca="1" si="60"/>
        <v>556580.1799999997</v>
      </c>
      <c r="AS205" s="63">
        <f ca="1">IF($AQ205&lt;&gt;"", INDEX(Inputs!$B$3:$B$101, MATCH($AQ205,Inputs!$A$3:$A$101,1)), "")</f>
        <v>1E-3</v>
      </c>
      <c r="AT205" s="48">
        <f t="shared" ca="1" si="53"/>
        <v>1.5248772054794513</v>
      </c>
      <c r="AU205" s="3">
        <f t="shared" ca="1" si="61"/>
        <v>-1.5248772054794513</v>
      </c>
      <c r="AV205" s="3">
        <f t="shared" ca="1" si="62"/>
        <v>-1.5248772054794513</v>
      </c>
    </row>
    <row r="206" spans="1:48" x14ac:dyDescent="0.2">
      <c r="A206" s="4">
        <v>44995</v>
      </c>
      <c r="B206" s="1" t="s">
        <v>57</v>
      </c>
      <c r="I206" s="3">
        <v>1900</v>
      </c>
      <c r="M206" s="3" t="str">
        <f t="shared" si="54"/>
        <v/>
      </c>
      <c r="N206" s="3"/>
      <c r="AA206" s="3">
        <f t="shared" si="55"/>
        <v>3450000</v>
      </c>
      <c r="AB206" s="3">
        <f t="shared" si="63"/>
        <v>3450000.0000000037</v>
      </c>
      <c r="AC206" s="3">
        <f t="shared" si="64"/>
        <v>646498.55999999971</v>
      </c>
      <c r="AD206" s="3">
        <f t="shared" si="65"/>
        <v>2803501.4400000041</v>
      </c>
      <c r="AE206" s="1">
        <f t="shared" ca="1" si="66"/>
        <v>6</v>
      </c>
      <c r="AG206" s="3">
        <f t="shared" si="67"/>
        <v>1900</v>
      </c>
      <c r="AH206" s="1">
        <f t="shared" si="56"/>
        <v>644</v>
      </c>
      <c r="AI206" s="3">
        <f t="shared" si="57"/>
        <v>1900</v>
      </c>
      <c r="AL206" s="3">
        <f t="shared" si="58"/>
        <v>1900</v>
      </c>
      <c r="AM206" s="3">
        <f t="shared" si="59"/>
        <v>1900</v>
      </c>
      <c r="AQ206" s="4">
        <f t="shared" ref="AQ206:AQ270" ca="1" si="68">IF(AQ205&lt;$AP$3,AQ205+1,"")</f>
        <v>44554</v>
      </c>
      <c r="AR206" s="3">
        <f t="shared" ca="1" si="60"/>
        <v>556580.1799999997</v>
      </c>
      <c r="AS206" s="63">
        <f ca="1">IF($AQ206&lt;&gt;"", INDEX(Inputs!$B$3:$B$101, MATCH($AQ206,Inputs!$A$3:$A$101,1)), "")</f>
        <v>1E-3</v>
      </c>
      <c r="AT206" s="48">
        <f t="shared" ref="AT206:AT270" ca="1" si="69">IF($AQ206&lt;&gt;"", AR206*AS206/365, "")</f>
        <v>1.5248772054794513</v>
      </c>
      <c r="AU206" s="3">
        <f t="shared" ca="1" si="61"/>
        <v>1898.4751227945205</v>
      </c>
      <c r="AV206" s="3">
        <f t="shared" ca="1" si="62"/>
        <v>1898.4751227945205</v>
      </c>
    </row>
    <row r="207" spans="1:48" x14ac:dyDescent="0.2">
      <c r="A207" s="4">
        <v>45001</v>
      </c>
      <c r="B207" s="1" t="s">
        <v>104</v>
      </c>
      <c r="F207" s="3">
        <v>9818.51</v>
      </c>
      <c r="M207" s="3" t="str">
        <f t="shared" si="54"/>
        <v/>
      </c>
      <c r="N207" s="3"/>
      <c r="AA207" s="3">
        <f t="shared" si="55"/>
        <v>3450000</v>
      </c>
      <c r="AB207" s="3">
        <f t="shared" si="63"/>
        <v>3450000.0000000042</v>
      </c>
      <c r="AC207" s="3">
        <f t="shared" si="64"/>
        <v>656317.06999999972</v>
      </c>
      <c r="AD207" s="3">
        <f t="shared" si="65"/>
        <v>2793682.9300000044</v>
      </c>
      <c r="AE207" s="1">
        <f t="shared" ca="1" si="66"/>
        <v>0</v>
      </c>
      <c r="AG207" s="3">
        <f t="shared" si="67"/>
        <v>-9818.51</v>
      </c>
      <c r="AH207" s="1">
        <f t="shared" si="56"/>
        <v>650</v>
      </c>
      <c r="AI207" s="3">
        <f t="shared" si="57"/>
        <v>-9818.51</v>
      </c>
      <c r="AL207" s="3">
        <f t="shared" si="58"/>
        <v>-9818.51</v>
      </c>
      <c r="AM207" s="3">
        <f t="shared" si="59"/>
        <v>-9818.51</v>
      </c>
      <c r="AQ207" s="4">
        <f t="shared" ca="1" si="68"/>
        <v>44555</v>
      </c>
      <c r="AR207" s="3">
        <f t="shared" ca="1" si="60"/>
        <v>556580.1799999997</v>
      </c>
      <c r="AS207" s="63">
        <f ca="1">IF($AQ207&lt;&gt;"", INDEX(Inputs!$B$3:$B$101, MATCH($AQ207,Inputs!$A$3:$A$101,1)), "")</f>
        <v>1E-3</v>
      </c>
      <c r="AT207" s="48">
        <f t="shared" ca="1" si="69"/>
        <v>1.5248772054794513</v>
      </c>
      <c r="AU207" s="3">
        <f t="shared" ca="1" si="61"/>
        <v>-1.5248772054794513</v>
      </c>
      <c r="AV207" s="3">
        <f t="shared" ca="1" si="62"/>
        <v>-1.5248772054794513</v>
      </c>
    </row>
    <row r="208" spans="1:48" x14ac:dyDescent="0.2">
      <c r="A208" s="4">
        <v>45001</v>
      </c>
      <c r="B208" s="1" t="s">
        <v>105</v>
      </c>
      <c r="F208" s="3">
        <v>2653.37</v>
      </c>
      <c r="M208" s="3" t="str">
        <f t="shared" si="54"/>
        <v/>
      </c>
      <c r="N208" s="3"/>
      <c r="P208" s="3"/>
      <c r="AA208" s="3">
        <f t="shared" si="55"/>
        <v>3450000</v>
      </c>
      <c r="AB208" s="3">
        <f t="shared" si="63"/>
        <v>3450000.0000000037</v>
      </c>
      <c r="AC208" s="3">
        <f t="shared" si="64"/>
        <v>658970.43999999971</v>
      </c>
      <c r="AD208" s="3">
        <f t="shared" si="65"/>
        <v>2791029.5600000042</v>
      </c>
      <c r="AE208" s="1">
        <f t="shared" ca="1" si="66"/>
        <v>1</v>
      </c>
      <c r="AG208" s="3">
        <f t="shared" si="67"/>
        <v>-2653.37</v>
      </c>
      <c r="AH208" s="1">
        <f t="shared" si="56"/>
        <v>650</v>
      </c>
      <c r="AI208" s="3">
        <f t="shared" si="57"/>
        <v>-2653.37</v>
      </c>
      <c r="AL208" s="3">
        <f t="shared" si="58"/>
        <v>-2653.37</v>
      </c>
      <c r="AM208" s="3">
        <f t="shared" si="59"/>
        <v>-2653.37</v>
      </c>
      <c r="AQ208" s="4">
        <f t="shared" ca="1" si="68"/>
        <v>44556</v>
      </c>
      <c r="AR208" s="3">
        <f t="shared" ca="1" si="60"/>
        <v>556580.1799999997</v>
      </c>
      <c r="AS208" s="63">
        <f ca="1">IF($AQ208&lt;&gt;"", INDEX(Inputs!$B$3:$B$101, MATCH($AQ208,Inputs!$A$3:$A$101,1)), "")</f>
        <v>1E-3</v>
      </c>
      <c r="AT208" s="48">
        <f t="shared" ca="1" si="69"/>
        <v>1.5248772054794513</v>
      </c>
      <c r="AU208" s="3">
        <f t="shared" ca="1" si="61"/>
        <v>-1.5248772054794513</v>
      </c>
      <c r="AV208" s="3">
        <f t="shared" ca="1" si="62"/>
        <v>-1.5248772054794513</v>
      </c>
    </row>
    <row r="209" spans="1:48" x14ac:dyDescent="0.2">
      <c r="A209" s="4">
        <v>45002</v>
      </c>
      <c r="B209" s="1" t="s">
        <v>57</v>
      </c>
      <c r="I209" s="3">
        <v>1900</v>
      </c>
      <c r="M209" s="3" t="str">
        <f t="shared" si="54"/>
        <v/>
      </c>
      <c r="N209" s="3"/>
      <c r="AA209" s="3">
        <f t="shared" si="55"/>
        <v>3450000</v>
      </c>
      <c r="AB209" s="3">
        <f t="shared" si="63"/>
        <v>3450000.0000000037</v>
      </c>
      <c r="AC209" s="3">
        <f t="shared" si="64"/>
        <v>658970.43999999971</v>
      </c>
      <c r="AD209" s="3">
        <f t="shared" si="65"/>
        <v>2791029.5600000042</v>
      </c>
      <c r="AE209" s="1">
        <f t="shared" ca="1" si="66"/>
        <v>7</v>
      </c>
      <c r="AG209" s="3">
        <f t="shared" si="67"/>
        <v>1900</v>
      </c>
      <c r="AH209" s="1">
        <f t="shared" si="56"/>
        <v>651</v>
      </c>
      <c r="AI209" s="3">
        <f t="shared" si="57"/>
        <v>1900</v>
      </c>
      <c r="AL209" s="3">
        <f t="shared" si="58"/>
        <v>1900</v>
      </c>
      <c r="AM209" s="3">
        <f t="shared" si="59"/>
        <v>1900</v>
      </c>
      <c r="AQ209" s="4">
        <f t="shared" ca="1" si="68"/>
        <v>44557</v>
      </c>
      <c r="AR209" s="3">
        <f t="shared" ca="1" si="60"/>
        <v>556580.1799999997</v>
      </c>
      <c r="AS209" s="63">
        <f ca="1">IF($AQ209&lt;&gt;"", INDEX(Inputs!$B$3:$B$101, MATCH($AQ209,Inputs!$A$3:$A$101,1)), "")</f>
        <v>1E-3</v>
      </c>
      <c r="AT209" s="48">
        <f t="shared" ca="1" si="69"/>
        <v>1.5248772054794513</v>
      </c>
      <c r="AU209" s="3">
        <f t="shared" ca="1" si="61"/>
        <v>-1.5248772054794513</v>
      </c>
      <c r="AV209" s="3">
        <f t="shared" ca="1" si="62"/>
        <v>-1.5248772054794513</v>
      </c>
    </row>
    <row r="210" spans="1:48" x14ac:dyDescent="0.2">
      <c r="A210" s="4">
        <v>45009</v>
      </c>
      <c r="B210" s="1" t="s">
        <v>57</v>
      </c>
      <c r="I210" s="3">
        <v>1900</v>
      </c>
      <c r="M210" s="3" t="str">
        <f t="shared" si="54"/>
        <v/>
      </c>
      <c r="N210" s="3"/>
      <c r="AA210" s="3">
        <f t="shared" si="55"/>
        <v>3450000</v>
      </c>
      <c r="AB210" s="3">
        <f t="shared" si="63"/>
        <v>3450000.0000000037</v>
      </c>
      <c r="AC210" s="3">
        <f t="shared" si="64"/>
        <v>658970.43999999971</v>
      </c>
      <c r="AD210" s="3">
        <f t="shared" si="65"/>
        <v>2791029.5600000042</v>
      </c>
      <c r="AE210" s="1">
        <f t="shared" ca="1" si="66"/>
        <v>6</v>
      </c>
      <c r="AG210" s="3">
        <f t="shared" si="67"/>
        <v>1900</v>
      </c>
      <c r="AH210" s="1">
        <f t="shared" si="56"/>
        <v>658</v>
      </c>
      <c r="AI210" s="3">
        <f t="shared" si="57"/>
        <v>1900</v>
      </c>
      <c r="AL210" s="3">
        <f t="shared" si="58"/>
        <v>1900</v>
      </c>
      <c r="AM210" s="3">
        <f t="shared" si="59"/>
        <v>1900</v>
      </c>
      <c r="AQ210" s="4">
        <f t="shared" ca="1" si="68"/>
        <v>44558</v>
      </c>
      <c r="AR210" s="3">
        <f t="shared" ca="1" si="60"/>
        <v>556580.1799999997</v>
      </c>
      <c r="AS210" s="63">
        <f ca="1">IF($AQ210&lt;&gt;"", INDEX(Inputs!$B$3:$B$101, MATCH($AQ210,Inputs!$A$3:$A$101,1)), "")</f>
        <v>1E-3</v>
      </c>
      <c r="AT210" s="48">
        <f t="shared" ca="1" si="69"/>
        <v>1.5248772054794513</v>
      </c>
      <c r="AU210" s="3">
        <f t="shared" ca="1" si="61"/>
        <v>-1.5248772054794513</v>
      </c>
      <c r="AV210" s="3">
        <f t="shared" ca="1" si="62"/>
        <v>-1.5248772054794513</v>
      </c>
    </row>
    <row r="211" spans="1:48" x14ac:dyDescent="0.2">
      <c r="A211" s="4">
        <v>45015</v>
      </c>
      <c r="B211" s="1" t="s">
        <v>80</v>
      </c>
      <c r="H211" s="3">
        <v>286.85000000000002</v>
      </c>
      <c r="M211" s="3" t="str">
        <f t="shared" si="54"/>
        <v/>
      </c>
      <c r="N211" s="3"/>
      <c r="AA211" s="3">
        <f t="shared" si="55"/>
        <v>3450000</v>
      </c>
      <c r="AB211" s="3">
        <f t="shared" si="63"/>
        <v>3450000.0000000037</v>
      </c>
      <c r="AC211" s="3">
        <f t="shared" si="64"/>
        <v>658970.43999999971</v>
      </c>
      <c r="AD211" s="3">
        <f t="shared" si="65"/>
        <v>2791029.5600000042</v>
      </c>
      <c r="AE211" s="1">
        <f t="shared" ca="1" si="66"/>
        <v>1</v>
      </c>
      <c r="AG211" s="3">
        <f t="shared" si="67"/>
        <v>-286.85000000000002</v>
      </c>
      <c r="AH211" s="1">
        <f t="shared" si="56"/>
        <v>664</v>
      </c>
      <c r="AI211" s="3">
        <f t="shared" si="57"/>
        <v>-286.85000000000002</v>
      </c>
      <c r="AL211" s="3">
        <f t="shared" si="58"/>
        <v>-286.85000000000002</v>
      </c>
      <c r="AM211" s="3">
        <f t="shared" si="59"/>
        <v>-286.85000000000002</v>
      </c>
      <c r="AQ211" s="4">
        <f t="shared" ca="1" si="68"/>
        <v>44559</v>
      </c>
      <c r="AR211" s="3">
        <f t="shared" ca="1" si="60"/>
        <v>556580.1799999997</v>
      </c>
      <c r="AS211" s="63">
        <f ca="1">IF($AQ211&lt;&gt;"", INDEX(Inputs!$B$3:$B$101, MATCH($AQ211,Inputs!$A$3:$A$101,1)), "")</f>
        <v>1E-3</v>
      </c>
      <c r="AT211" s="48">
        <f t="shared" ca="1" si="69"/>
        <v>1.5248772054794513</v>
      </c>
      <c r="AU211" s="3">
        <f t="shared" ca="1" si="61"/>
        <v>-280.46487720547947</v>
      </c>
      <c r="AV211" s="3">
        <f t="shared" ca="1" si="62"/>
        <v>-280.46487720547947</v>
      </c>
    </row>
    <row r="212" spans="1:48" x14ac:dyDescent="0.2">
      <c r="A212" s="4">
        <v>45016</v>
      </c>
      <c r="B212" s="1" t="s">
        <v>57</v>
      </c>
      <c r="I212" s="3">
        <v>1900</v>
      </c>
      <c r="M212" s="3" t="str">
        <f t="shared" si="54"/>
        <v/>
      </c>
      <c r="N212" s="3"/>
      <c r="AA212" s="3">
        <f t="shared" si="55"/>
        <v>3450000</v>
      </c>
      <c r="AB212" s="3">
        <f t="shared" si="63"/>
        <v>3450000.0000000037</v>
      </c>
      <c r="AC212" s="3">
        <f t="shared" si="64"/>
        <v>658970.43999999971</v>
      </c>
      <c r="AD212" s="3">
        <f t="shared" si="65"/>
        <v>2791029.5600000042</v>
      </c>
      <c r="AE212" s="1">
        <f t="shared" ca="1" si="66"/>
        <v>0</v>
      </c>
      <c r="AG212" s="3">
        <f t="shared" si="67"/>
        <v>1900</v>
      </c>
      <c r="AH212" s="1">
        <f t="shared" si="56"/>
        <v>665</v>
      </c>
      <c r="AI212" s="3">
        <f t="shared" si="57"/>
        <v>1900</v>
      </c>
      <c r="AL212" s="3">
        <f t="shared" si="58"/>
        <v>1900</v>
      </c>
      <c r="AM212" s="3">
        <f t="shared" si="59"/>
        <v>1900</v>
      </c>
      <c r="AQ212" s="4">
        <f t="shared" ca="1" si="68"/>
        <v>44560</v>
      </c>
      <c r="AR212" s="3">
        <f t="shared" ca="1" si="60"/>
        <v>556580.1799999997</v>
      </c>
      <c r="AS212" s="63">
        <f ca="1">IF($AQ212&lt;&gt;"", INDEX(Inputs!$B$3:$B$101, MATCH($AQ212,Inputs!$A$3:$A$101,1)), "")</f>
        <v>1E-3</v>
      </c>
      <c r="AT212" s="48">
        <f t="shared" ca="1" si="69"/>
        <v>1.5248772054794513</v>
      </c>
      <c r="AU212" s="3">
        <f t="shared" ca="1" si="61"/>
        <v>-1.5248772054794513</v>
      </c>
      <c r="AV212" s="3">
        <f t="shared" ca="1" si="62"/>
        <v>-1.5248772054794513</v>
      </c>
    </row>
    <row r="213" spans="1:48" x14ac:dyDescent="0.2">
      <c r="A213" s="4">
        <v>45016</v>
      </c>
      <c r="B213" s="1" t="s">
        <v>103</v>
      </c>
      <c r="G213" s="3">
        <v>4101.12</v>
      </c>
      <c r="M213" s="3" t="str">
        <f t="shared" si="54"/>
        <v/>
      </c>
      <c r="N213" s="3"/>
      <c r="AA213" s="3">
        <f t="shared" si="55"/>
        <v>3450000</v>
      </c>
      <c r="AB213" s="3">
        <f t="shared" si="63"/>
        <v>3450000.0000000042</v>
      </c>
      <c r="AC213" s="3">
        <f t="shared" si="64"/>
        <v>654869.31999999972</v>
      </c>
      <c r="AD213" s="3">
        <f t="shared" si="65"/>
        <v>2795130.6800000044</v>
      </c>
      <c r="AE213" s="1">
        <f t="shared" ca="1" si="66"/>
        <v>0</v>
      </c>
      <c r="AG213" s="3">
        <f t="shared" si="67"/>
        <v>0</v>
      </c>
      <c r="AH213" s="1">
        <f t="shared" si="56"/>
        <v>665</v>
      </c>
      <c r="AI213" s="3">
        <f t="shared" si="57"/>
        <v>0</v>
      </c>
      <c r="AL213" s="3">
        <f t="shared" si="58"/>
        <v>0</v>
      </c>
      <c r="AM213" s="3">
        <f t="shared" si="59"/>
        <v>0</v>
      </c>
      <c r="AQ213" s="4">
        <f t="shared" ca="1" si="68"/>
        <v>44561</v>
      </c>
      <c r="AR213" s="3">
        <f t="shared" ca="1" si="60"/>
        <v>551660.96999999974</v>
      </c>
      <c r="AS213" s="63">
        <f ca="1">IF($AQ213&lt;&gt;"", INDEX(Inputs!$B$3:$B$101, MATCH($AQ213,Inputs!$A$3:$A$101,1)), "")</f>
        <v>1E-3</v>
      </c>
      <c r="AT213" s="48">
        <f t="shared" ca="1" si="69"/>
        <v>1.5113999178082187</v>
      </c>
      <c r="AU213" s="3">
        <f t="shared" ca="1" si="61"/>
        <v>1898.4886000821919</v>
      </c>
      <c r="AV213" s="3">
        <f t="shared" ca="1" si="62"/>
        <v>1898.4886000821919</v>
      </c>
    </row>
    <row r="214" spans="1:48" x14ac:dyDescent="0.2">
      <c r="A214" s="4">
        <v>45016</v>
      </c>
      <c r="B214" s="1" t="s">
        <v>106</v>
      </c>
      <c r="G214" s="3">
        <v>1145.92</v>
      </c>
      <c r="M214" s="3" t="str">
        <f t="shared" si="54"/>
        <v/>
      </c>
      <c r="N214" s="3"/>
      <c r="P214" s="3"/>
      <c r="AA214" s="3">
        <f t="shared" si="55"/>
        <v>3450000</v>
      </c>
      <c r="AB214" s="3">
        <f t="shared" si="63"/>
        <v>3450000.0000000037</v>
      </c>
      <c r="AC214" s="3">
        <f t="shared" si="64"/>
        <v>653723.39999999967</v>
      </c>
      <c r="AD214" s="3">
        <f t="shared" si="65"/>
        <v>2796276.6000000043</v>
      </c>
      <c r="AE214" s="1">
        <f t="shared" ca="1" si="66"/>
        <v>17</v>
      </c>
      <c r="AG214" s="3">
        <f t="shared" si="67"/>
        <v>0</v>
      </c>
      <c r="AH214" s="1">
        <f t="shared" si="56"/>
        <v>665</v>
      </c>
      <c r="AI214" s="3">
        <f t="shared" si="57"/>
        <v>0</v>
      </c>
      <c r="AL214" s="3">
        <f t="shared" si="58"/>
        <v>0</v>
      </c>
      <c r="AM214" s="3">
        <f t="shared" si="59"/>
        <v>0</v>
      </c>
      <c r="AQ214" s="4">
        <f t="shared" ca="1" si="68"/>
        <v>44562</v>
      </c>
      <c r="AR214" s="3">
        <f t="shared" ca="1" si="60"/>
        <v>551660.96999999974</v>
      </c>
      <c r="AS214" s="63">
        <f ca="1">IF($AQ214&lt;&gt;"", INDEX(Inputs!$B$3:$B$101, MATCH($AQ214,Inputs!$A$3:$A$101,1)), "")</f>
        <v>1E-3</v>
      </c>
      <c r="AT214" s="48">
        <f t="shared" ca="1" si="69"/>
        <v>1.5113999178082187</v>
      </c>
      <c r="AU214" s="3">
        <f t="shared" ca="1" si="61"/>
        <v>-1.5113999178082187</v>
      </c>
      <c r="AV214" s="3">
        <f t="shared" ca="1" si="62"/>
        <v>-1.5113999178082187</v>
      </c>
    </row>
    <row r="215" spans="1:48" x14ac:dyDescent="0.2">
      <c r="A215" s="4">
        <v>45033</v>
      </c>
      <c r="B215" s="1" t="s">
        <v>104</v>
      </c>
      <c r="F215" s="3">
        <v>9818.51</v>
      </c>
      <c r="M215" s="3" t="str">
        <f t="shared" si="54"/>
        <v/>
      </c>
      <c r="N215" s="3"/>
      <c r="AA215" s="3">
        <f t="shared" si="55"/>
        <v>3450000</v>
      </c>
      <c r="AB215" s="3">
        <f t="shared" si="63"/>
        <v>3450000.0000000042</v>
      </c>
      <c r="AC215" s="3">
        <f t="shared" si="64"/>
        <v>663541.90999999968</v>
      </c>
      <c r="AD215" s="3">
        <f t="shared" si="65"/>
        <v>2786458.0900000045</v>
      </c>
      <c r="AE215" s="1">
        <f t="shared" ca="1" si="66"/>
        <v>0</v>
      </c>
      <c r="AG215" s="3">
        <f t="shared" si="67"/>
        <v>-9818.51</v>
      </c>
      <c r="AH215" s="1">
        <f t="shared" si="56"/>
        <v>682</v>
      </c>
      <c r="AI215" s="3">
        <f t="shared" si="57"/>
        <v>-9818.51</v>
      </c>
      <c r="AL215" s="3">
        <f t="shared" si="58"/>
        <v>-9818.51</v>
      </c>
      <c r="AM215" s="3">
        <f t="shared" si="59"/>
        <v>-9818.51</v>
      </c>
      <c r="AQ215" s="4">
        <f t="shared" ca="1" si="68"/>
        <v>44563</v>
      </c>
      <c r="AR215" s="3">
        <f t="shared" ca="1" si="60"/>
        <v>551660.96999999974</v>
      </c>
      <c r="AS215" s="63">
        <f ca="1">IF($AQ215&lt;&gt;"", INDEX(Inputs!$B$3:$B$101, MATCH($AQ215,Inputs!$A$3:$A$101,1)), "")</f>
        <v>1E-3</v>
      </c>
      <c r="AT215" s="48">
        <f t="shared" ca="1" si="69"/>
        <v>1.5113999178082187</v>
      </c>
      <c r="AU215" s="3">
        <f t="shared" ca="1" si="61"/>
        <v>-1.5113999178082187</v>
      </c>
      <c r="AV215" s="3">
        <f t="shared" ca="1" si="62"/>
        <v>-1.5113999178082187</v>
      </c>
    </row>
    <row r="216" spans="1:48" x14ac:dyDescent="0.2">
      <c r="A216" s="4">
        <v>45033</v>
      </c>
      <c r="B216" s="1" t="s">
        <v>105</v>
      </c>
      <c r="F216" s="3">
        <v>2782.29</v>
      </c>
      <c r="M216" s="3" t="str">
        <f t="shared" si="54"/>
        <v/>
      </c>
      <c r="N216" s="3"/>
      <c r="P216" s="3"/>
      <c r="AA216" s="3">
        <f t="shared" si="55"/>
        <v>3450000</v>
      </c>
      <c r="AB216" s="3">
        <f t="shared" si="63"/>
        <v>3450000.0000000042</v>
      </c>
      <c r="AC216" s="3">
        <f t="shared" si="64"/>
        <v>666324.19999999972</v>
      </c>
      <c r="AD216" s="3">
        <f t="shared" si="65"/>
        <v>2783675.8000000045</v>
      </c>
      <c r="AE216" s="1">
        <f t="shared" ca="1" si="66"/>
        <v>7</v>
      </c>
      <c r="AG216" s="3">
        <f t="shared" si="67"/>
        <v>-2782.29</v>
      </c>
      <c r="AH216" s="1">
        <f t="shared" si="56"/>
        <v>682</v>
      </c>
      <c r="AI216" s="3">
        <f t="shared" si="57"/>
        <v>-2782.29</v>
      </c>
      <c r="AL216" s="3">
        <f t="shared" si="58"/>
        <v>-2782.29</v>
      </c>
      <c r="AM216" s="3">
        <f t="shared" si="59"/>
        <v>-2782.29</v>
      </c>
      <c r="AQ216" s="4">
        <f t="shared" ca="1" si="68"/>
        <v>44564</v>
      </c>
      <c r="AR216" s="3">
        <f t="shared" ca="1" si="60"/>
        <v>551660.96999999974</v>
      </c>
      <c r="AS216" s="63">
        <f ca="1">IF($AQ216&lt;&gt;"", INDEX(Inputs!$B$3:$B$101, MATCH($AQ216,Inputs!$A$3:$A$101,1)), "")</f>
        <v>1E-3</v>
      </c>
      <c r="AT216" s="48">
        <f t="shared" ca="1" si="69"/>
        <v>1.5113999178082187</v>
      </c>
      <c r="AU216" s="3">
        <f t="shared" ca="1" si="61"/>
        <v>-1.5113999178082187</v>
      </c>
      <c r="AV216" s="3">
        <f t="shared" ca="1" si="62"/>
        <v>-1.5113999178082187</v>
      </c>
    </row>
    <row r="217" spans="1:48" x14ac:dyDescent="0.2">
      <c r="A217" s="4">
        <v>45040</v>
      </c>
      <c r="B217" s="1" t="s">
        <v>57</v>
      </c>
      <c r="I217" s="3">
        <f>1900*3</f>
        <v>5700</v>
      </c>
      <c r="M217" s="3" t="str">
        <f t="shared" si="54"/>
        <v/>
      </c>
      <c r="N217" s="3"/>
      <c r="P217" s="50"/>
      <c r="AA217" s="3">
        <f t="shared" si="55"/>
        <v>3450000</v>
      </c>
      <c r="AB217" s="3">
        <f t="shared" si="63"/>
        <v>3450000.0000000042</v>
      </c>
      <c r="AC217" s="3">
        <f t="shared" si="64"/>
        <v>666324.19999999972</v>
      </c>
      <c r="AD217" s="3">
        <f t="shared" si="65"/>
        <v>2783675.8000000045</v>
      </c>
      <c r="AE217" s="1">
        <f t="shared" ca="1" si="66"/>
        <v>4</v>
      </c>
      <c r="AG217" s="3">
        <f t="shared" si="67"/>
        <v>5700</v>
      </c>
      <c r="AH217" s="1">
        <f t="shared" si="56"/>
        <v>689</v>
      </c>
      <c r="AI217" s="3">
        <f t="shared" si="57"/>
        <v>5700</v>
      </c>
      <c r="AL217" s="3">
        <f t="shared" si="58"/>
        <v>5700</v>
      </c>
      <c r="AM217" s="3">
        <f t="shared" si="59"/>
        <v>5700</v>
      </c>
      <c r="AQ217" s="4">
        <f t="shared" ca="1" si="68"/>
        <v>44565</v>
      </c>
      <c r="AR217" s="3">
        <f t="shared" ca="1" si="60"/>
        <v>551660.96999999974</v>
      </c>
      <c r="AS217" s="63">
        <f ca="1">IF($AQ217&lt;&gt;"", INDEX(Inputs!$B$3:$B$101, MATCH($AQ217,Inputs!$A$3:$A$101,1)), "")</f>
        <v>1E-3</v>
      </c>
      <c r="AT217" s="48">
        <f t="shared" ca="1" si="69"/>
        <v>1.5113999178082187</v>
      </c>
      <c r="AU217" s="3">
        <f t="shared" ca="1" si="61"/>
        <v>-1.5113999178082187</v>
      </c>
      <c r="AV217" s="3">
        <f t="shared" ca="1" si="62"/>
        <v>-1.5113999178082187</v>
      </c>
    </row>
    <row r="218" spans="1:48" x14ac:dyDescent="0.2">
      <c r="A218" s="4">
        <v>45044</v>
      </c>
      <c r="B218" s="1" t="s">
        <v>57</v>
      </c>
      <c r="I218" s="3">
        <v>1900</v>
      </c>
      <c r="M218" s="3" t="str">
        <f t="shared" si="54"/>
        <v/>
      </c>
      <c r="N218" s="3"/>
      <c r="P218" s="50"/>
      <c r="AA218" s="3">
        <f t="shared" si="55"/>
        <v>3450000</v>
      </c>
      <c r="AB218" s="3">
        <f t="shared" si="63"/>
        <v>3450000.0000000042</v>
      </c>
      <c r="AC218" s="3">
        <f t="shared" si="64"/>
        <v>666324.19999999972</v>
      </c>
      <c r="AD218" s="3">
        <f t="shared" si="65"/>
        <v>2783675.8000000045</v>
      </c>
      <c r="AE218" s="1">
        <f t="shared" ca="1" si="66"/>
        <v>0</v>
      </c>
      <c r="AG218" s="3">
        <f t="shared" si="67"/>
        <v>1900</v>
      </c>
      <c r="AH218" s="1">
        <f t="shared" si="56"/>
        <v>693</v>
      </c>
      <c r="AI218" s="3">
        <f t="shared" si="57"/>
        <v>1900</v>
      </c>
      <c r="AL218" s="3">
        <f t="shared" si="58"/>
        <v>1900</v>
      </c>
      <c r="AM218" s="3">
        <f t="shared" si="59"/>
        <v>1900</v>
      </c>
      <c r="AQ218" s="4">
        <f t="shared" ca="1" si="68"/>
        <v>44566</v>
      </c>
      <c r="AR218" s="3">
        <f t="shared" ca="1" si="60"/>
        <v>551660.96999999974</v>
      </c>
      <c r="AS218" s="63">
        <f ca="1">IF($AQ218&lt;&gt;"", INDEX(Inputs!$B$3:$B$101, MATCH($AQ218,Inputs!$A$3:$A$101,1)), "")</f>
        <v>1E-3</v>
      </c>
      <c r="AT218" s="48">
        <f t="shared" ca="1" si="69"/>
        <v>1.5113999178082187</v>
      </c>
      <c r="AU218" s="3">
        <f t="shared" ca="1" si="61"/>
        <v>-1.5113999178082187</v>
      </c>
      <c r="AV218" s="3">
        <f t="shared" ca="1" si="62"/>
        <v>-1.5113999178082187</v>
      </c>
    </row>
    <row r="219" spans="1:48" x14ac:dyDescent="0.2">
      <c r="A219" s="4">
        <v>45044</v>
      </c>
      <c r="B219" s="1" t="s">
        <v>103</v>
      </c>
      <c r="G219" s="3">
        <v>3696.54</v>
      </c>
      <c r="M219" s="3" t="str">
        <f t="shared" si="54"/>
        <v/>
      </c>
      <c r="N219" s="3"/>
      <c r="AA219" s="3">
        <f t="shared" si="55"/>
        <v>3450000</v>
      </c>
      <c r="AB219" s="3">
        <f t="shared" si="63"/>
        <v>3450000.0000000042</v>
      </c>
      <c r="AC219" s="3">
        <f t="shared" si="64"/>
        <v>662627.65999999968</v>
      </c>
      <c r="AD219" s="3">
        <f t="shared" si="65"/>
        <v>2787372.3400000045</v>
      </c>
      <c r="AE219" s="1">
        <f t="shared" ca="1" si="66"/>
        <v>0</v>
      </c>
      <c r="AG219" s="3">
        <f t="shared" si="67"/>
        <v>0</v>
      </c>
      <c r="AH219" s="1">
        <f t="shared" si="56"/>
        <v>693</v>
      </c>
      <c r="AI219" s="3">
        <f t="shared" si="57"/>
        <v>0</v>
      </c>
      <c r="AL219" s="3">
        <f t="shared" si="58"/>
        <v>0</v>
      </c>
      <c r="AM219" s="3">
        <f t="shared" si="59"/>
        <v>0</v>
      </c>
      <c r="AQ219" s="4">
        <f t="shared" ca="1" si="68"/>
        <v>44567</v>
      </c>
      <c r="AR219" s="3">
        <f t="shared" ca="1" si="60"/>
        <v>551660.96999999974</v>
      </c>
      <c r="AS219" s="63">
        <f ca="1">IF($AQ219&lt;&gt;"", INDEX(Inputs!$B$3:$B$101, MATCH($AQ219,Inputs!$A$3:$A$101,1)), "")</f>
        <v>1E-3</v>
      </c>
      <c r="AT219" s="48">
        <f t="shared" ca="1" si="69"/>
        <v>1.5113999178082187</v>
      </c>
      <c r="AU219" s="3">
        <f t="shared" ca="1" si="61"/>
        <v>-1.5113999178082187</v>
      </c>
      <c r="AV219" s="3">
        <f t="shared" ca="1" si="62"/>
        <v>-1.5113999178082187</v>
      </c>
    </row>
    <row r="220" spans="1:48" x14ac:dyDescent="0.2">
      <c r="A220" s="4">
        <v>45044</v>
      </c>
      <c r="B220" s="1" t="s">
        <v>106</v>
      </c>
      <c r="G220" s="3">
        <v>291.88</v>
      </c>
      <c r="M220" s="3" t="str">
        <f t="shared" si="54"/>
        <v/>
      </c>
      <c r="N220" s="3"/>
      <c r="P220" s="3"/>
      <c r="R220" s="51"/>
      <c r="AA220" s="3">
        <f t="shared" si="55"/>
        <v>3450000</v>
      </c>
      <c r="AB220" s="3">
        <f t="shared" si="63"/>
        <v>3450000.0000000042</v>
      </c>
      <c r="AC220" s="3">
        <f t="shared" si="64"/>
        <v>662335.77999999968</v>
      </c>
      <c r="AD220" s="3">
        <f t="shared" si="65"/>
        <v>2787664.2200000044</v>
      </c>
      <c r="AE220" s="1">
        <f t="shared" ca="1" si="66"/>
        <v>3</v>
      </c>
      <c r="AG220" s="3">
        <f t="shared" si="67"/>
        <v>0</v>
      </c>
      <c r="AH220" s="1">
        <f t="shared" si="56"/>
        <v>693</v>
      </c>
      <c r="AI220" s="3">
        <f t="shared" si="57"/>
        <v>0</v>
      </c>
      <c r="AL220" s="3">
        <f t="shared" si="58"/>
        <v>0</v>
      </c>
      <c r="AM220" s="3">
        <f t="shared" si="59"/>
        <v>0</v>
      </c>
      <c r="AQ220" s="4">
        <f t="shared" ca="1" si="68"/>
        <v>44568</v>
      </c>
      <c r="AR220" s="3">
        <f t="shared" ca="1" si="60"/>
        <v>551660.96999999974</v>
      </c>
      <c r="AS220" s="63">
        <f ca="1">IF($AQ220&lt;&gt;"", INDEX(Inputs!$B$3:$B$101, MATCH($AQ220,Inputs!$A$3:$A$101,1)), "")</f>
        <v>1E-3</v>
      </c>
      <c r="AT220" s="48">
        <f t="shared" ca="1" si="69"/>
        <v>1.5113999178082187</v>
      </c>
      <c r="AU220" s="3">
        <f t="shared" ca="1" si="61"/>
        <v>1898.4886000821919</v>
      </c>
      <c r="AV220" s="3">
        <f t="shared" ca="1" si="62"/>
        <v>1898.4886000821919</v>
      </c>
    </row>
    <row r="221" spans="1:48" x14ac:dyDescent="0.2">
      <c r="A221" s="4">
        <v>45047</v>
      </c>
      <c r="B221" s="1" t="s">
        <v>50</v>
      </c>
      <c r="H221" s="3">
        <v>3124</v>
      </c>
      <c r="M221" s="3" t="str">
        <f t="shared" si="54"/>
        <v/>
      </c>
      <c r="N221" s="3"/>
      <c r="R221" s="51"/>
      <c r="AA221" s="3">
        <f t="shared" si="55"/>
        <v>3450000</v>
      </c>
      <c r="AB221" s="3">
        <f t="shared" si="63"/>
        <v>3450000.0000000042</v>
      </c>
      <c r="AC221" s="3">
        <f t="shared" si="64"/>
        <v>662335.77999999968</v>
      </c>
      <c r="AD221" s="3">
        <f t="shared" si="65"/>
        <v>2787664.2200000044</v>
      </c>
      <c r="AE221" s="1">
        <f t="shared" ca="1" si="66"/>
        <v>4</v>
      </c>
      <c r="AG221" s="3">
        <f t="shared" si="67"/>
        <v>-3124</v>
      </c>
      <c r="AH221" s="1">
        <f t="shared" si="56"/>
        <v>696</v>
      </c>
      <c r="AI221" s="3">
        <f t="shared" si="57"/>
        <v>-3124</v>
      </c>
      <c r="AL221" s="3">
        <f t="shared" si="58"/>
        <v>-3124</v>
      </c>
      <c r="AM221" s="3">
        <f t="shared" si="59"/>
        <v>-3124</v>
      </c>
      <c r="AQ221" s="4">
        <f t="shared" ca="1" si="68"/>
        <v>44569</v>
      </c>
      <c r="AR221" s="3">
        <f t="shared" ca="1" si="60"/>
        <v>551660.96999999974</v>
      </c>
      <c r="AS221" s="63">
        <f ca="1">IF($AQ221&lt;&gt;"", INDEX(Inputs!$B$3:$B$101, MATCH($AQ221,Inputs!$A$3:$A$101,1)), "")</f>
        <v>1E-3</v>
      </c>
      <c r="AT221" s="48">
        <f t="shared" ca="1" si="69"/>
        <v>1.5113999178082187</v>
      </c>
      <c r="AU221" s="3">
        <f t="shared" ca="1" si="61"/>
        <v>-1.5113999178082187</v>
      </c>
      <c r="AV221" s="3">
        <f t="shared" ca="1" si="62"/>
        <v>-1.5113999178082187</v>
      </c>
    </row>
    <row r="222" spans="1:48" x14ac:dyDescent="0.2">
      <c r="A222" s="4">
        <v>45051</v>
      </c>
      <c r="B222" s="1" t="s">
        <v>57</v>
      </c>
      <c r="I222" s="3">
        <v>1900</v>
      </c>
      <c r="M222" s="3" t="str">
        <f t="shared" si="54"/>
        <v/>
      </c>
      <c r="N222" s="3"/>
      <c r="R222" s="51"/>
      <c r="AA222" s="3">
        <f t="shared" si="55"/>
        <v>3450000</v>
      </c>
      <c r="AB222" s="3">
        <f t="shared" si="63"/>
        <v>3450000.0000000042</v>
      </c>
      <c r="AC222" s="3">
        <f t="shared" si="64"/>
        <v>662335.77999999968</v>
      </c>
      <c r="AD222" s="3">
        <f t="shared" si="65"/>
        <v>2787664.2200000044</v>
      </c>
      <c r="AE222" s="1">
        <f t="shared" ca="1" si="66"/>
        <v>7</v>
      </c>
      <c r="AG222" s="3">
        <f t="shared" si="67"/>
        <v>1900</v>
      </c>
      <c r="AH222" s="1">
        <f t="shared" si="56"/>
        <v>700</v>
      </c>
      <c r="AI222" s="3">
        <f t="shared" si="57"/>
        <v>1900</v>
      </c>
      <c r="AL222" s="3">
        <f t="shared" si="58"/>
        <v>1900</v>
      </c>
      <c r="AM222" s="3">
        <f t="shared" si="59"/>
        <v>1900</v>
      </c>
      <c r="AQ222" s="4">
        <f t="shared" ca="1" si="68"/>
        <v>44570</v>
      </c>
      <c r="AR222" s="3">
        <f t="shared" ca="1" si="60"/>
        <v>551660.96999999974</v>
      </c>
      <c r="AS222" s="63">
        <f ca="1">IF($AQ222&lt;&gt;"", INDEX(Inputs!$B$3:$B$101, MATCH($AQ222,Inputs!$A$3:$A$101,1)), "")</f>
        <v>1E-3</v>
      </c>
      <c r="AT222" s="48">
        <f t="shared" ca="1" si="69"/>
        <v>1.5113999178082187</v>
      </c>
      <c r="AU222" s="3">
        <f t="shared" ca="1" si="61"/>
        <v>-1.5113999178082187</v>
      </c>
      <c r="AV222" s="3">
        <f t="shared" ca="1" si="62"/>
        <v>-1.5113999178082187</v>
      </c>
    </row>
    <row r="223" spans="1:48" x14ac:dyDescent="0.2">
      <c r="A223" s="4">
        <v>45058</v>
      </c>
      <c r="B223" s="1" t="s">
        <v>57</v>
      </c>
      <c r="I223" s="3">
        <v>1900</v>
      </c>
      <c r="M223" s="3" t="str">
        <f t="shared" si="54"/>
        <v/>
      </c>
      <c r="N223" s="3"/>
      <c r="AA223" s="3">
        <f t="shared" si="55"/>
        <v>3450000</v>
      </c>
      <c r="AB223" s="3">
        <f t="shared" si="63"/>
        <v>3450000.0000000042</v>
      </c>
      <c r="AC223" s="3">
        <f t="shared" si="64"/>
        <v>662335.77999999968</v>
      </c>
      <c r="AD223" s="3">
        <f t="shared" si="65"/>
        <v>2787664.2200000044</v>
      </c>
      <c r="AE223" s="1">
        <f t="shared" ca="1" si="66"/>
        <v>4</v>
      </c>
      <c r="AG223" s="3">
        <f t="shared" si="67"/>
        <v>1900</v>
      </c>
      <c r="AH223" s="1">
        <f t="shared" si="56"/>
        <v>707</v>
      </c>
      <c r="AI223" s="3">
        <f t="shared" si="57"/>
        <v>1900</v>
      </c>
      <c r="AL223" s="3">
        <f t="shared" si="58"/>
        <v>1900</v>
      </c>
      <c r="AM223" s="3">
        <f t="shared" si="59"/>
        <v>1900</v>
      </c>
      <c r="AQ223" s="4">
        <f t="shared" ca="1" si="68"/>
        <v>44571</v>
      </c>
      <c r="AR223" s="3">
        <f t="shared" ca="1" si="60"/>
        <v>551660.96999999974</v>
      </c>
      <c r="AS223" s="63">
        <f ca="1">IF($AQ223&lt;&gt;"", INDEX(Inputs!$B$3:$B$101, MATCH($AQ223,Inputs!$A$3:$A$101,1)), "")</f>
        <v>1E-3</v>
      </c>
      <c r="AT223" s="48">
        <f t="shared" ca="1" si="69"/>
        <v>1.5113999178082187</v>
      </c>
      <c r="AU223" s="3">
        <f t="shared" ca="1" si="61"/>
        <v>-1.5113999178082187</v>
      </c>
      <c r="AV223" s="3">
        <f t="shared" ca="1" si="62"/>
        <v>-1.5113999178082187</v>
      </c>
    </row>
    <row r="224" spans="1:48" x14ac:dyDescent="0.2">
      <c r="A224" s="4">
        <v>45062</v>
      </c>
      <c r="B224" s="1" t="s">
        <v>104</v>
      </c>
      <c r="F224" s="3">
        <v>9818.51</v>
      </c>
      <c r="M224" s="3" t="str">
        <f t="shared" si="54"/>
        <v/>
      </c>
      <c r="N224" s="3"/>
      <c r="AA224" s="3">
        <f t="shared" si="55"/>
        <v>3450000</v>
      </c>
      <c r="AB224" s="3">
        <f t="shared" si="63"/>
        <v>3450000.0000000042</v>
      </c>
      <c r="AC224" s="3">
        <f t="shared" si="64"/>
        <v>672154.28999999969</v>
      </c>
      <c r="AD224" s="3">
        <f t="shared" si="65"/>
        <v>2777845.7100000046</v>
      </c>
      <c r="AE224" s="1">
        <f t="shared" ca="1" si="66"/>
        <v>0</v>
      </c>
      <c r="AG224" s="3">
        <f t="shared" si="67"/>
        <v>-9818.51</v>
      </c>
      <c r="AH224" s="1">
        <f t="shared" si="56"/>
        <v>711</v>
      </c>
      <c r="AI224" s="3">
        <f t="shared" si="57"/>
        <v>-9818.51</v>
      </c>
      <c r="AL224" s="3">
        <f t="shared" si="58"/>
        <v>-9818.51</v>
      </c>
      <c r="AM224" s="3">
        <f t="shared" si="59"/>
        <v>-9818.51</v>
      </c>
      <c r="AQ224" s="4">
        <f t="shared" ca="1" si="68"/>
        <v>44572</v>
      </c>
      <c r="AR224" s="3">
        <f t="shared" ca="1" si="60"/>
        <v>551660.96999999974</v>
      </c>
      <c r="AS224" s="63">
        <f ca="1">IF($AQ224&lt;&gt;"", INDEX(Inputs!$B$3:$B$101, MATCH($AQ224,Inputs!$A$3:$A$101,1)), "")</f>
        <v>1E-3</v>
      </c>
      <c r="AT224" s="48">
        <f t="shared" ca="1" si="69"/>
        <v>1.5113999178082187</v>
      </c>
      <c r="AU224" s="3">
        <f t="shared" ca="1" si="61"/>
        <v>-1.5113999178082187</v>
      </c>
      <c r="AV224" s="3">
        <f t="shared" ca="1" si="62"/>
        <v>-1.5113999178082187</v>
      </c>
    </row>
    <row r="225" spans="1:48" x14ac:dyDescent="0.2">
      <c r="A225" s="4">
        <v>45062</v>
      </c>
      <c r="B225" s="1" t="s">
        <v>105</v>
      </c>
      <c r="F225" s="3">
        <v>2782.29</v>
      </c>
      <c r="M225" s="3" t="str">
        <f t="shared" si="54"/>
        <v/>
      </c>
      <c r="N225" s="3"/>
      <c r="P225" s="3"/>
      <c r="AA225" s="3">
        <f t="shared" si="55"/>
        <v>3450000</v>
      </c>
      <c r="AB225" s="3">
        <f t="shared" si="63"/>
        <v>3450000.0000000042</v>
      </c>
      <c r="AC225" s="3">
        <f t="shared" si="64"/>
        <v>674936.57999999973</v>
      </c>
      <c r="AD225" s="3">
        <f t="shared" si="65"/>
        <v>2775063.4200000046</v>
      </c>
      <c r="AE225" s="1">
        <f t="shared" ca="1" si="66"/>
        <v>3</v>
      </c>
      <c r="AG225" s="3">
        <f t="shared" si="67"/>
        <v>-2782.29</v>
      </c>
      <c r="AH225" s="1">
        <f t="shared" si="56"/>
        <v>711</v>
      </c>
      <c r="AI225" s="3">
        <f t="shared" si="57"/>
        <v>-2782.29</v>
      </c>
      <c r="AL225" s="3">
        <f t="shared" si="58"/>
        <v>-2782.29</v>
      </c>
      <c r="AM225" s="3">
        <f t="shared" si="59"/>
        <v>-2782.29</v>
      </c>
      <c r="AQ225" s="4">
        <f t="shared" ca="1" si="68"/>
        <v>44573</v>
      </c>
      <c r="AR225" s="3">
        <f t="shared" ca="1" si="60"/>
        <v>551660.96999999974</v>
      </c>
      <c r="AS225" s="63">
        <f ca="1">IF($AQ225&lt;&gt;"", INDEX(Inputs!$B$3:$B$101, MATCH($AQ225,Inputs!$A$3:$A$101,1)), "")</f>
        <v>1E-3</v>
      </c>
      <c r="AT225" s="48">
        <f t="shared" ca="1" si="69"/>
        <v>1.5113999178082187</v>
      </c>
      <c r="AU225" s="3">
        <f t="shared" ca="1" si="61"/>
        <v>-1.5113999178082187</v>
      </c>
      <c r="AV225" s="3">
        <f t="shared" ca="1" si="62"/>
        <v>-1.5113999178082187</v>
      </c>
    </row>
    <row r="226" spans="1:48" x14ac:dyDescent="0.2">
      <c r="A226" s="4">
        <v>45065</v>
      </c>
      <c r="B226" s="1" t="s">
        <v>57</v>
      </c>
      <c r="I226" s="3">
        <v>1900</v>
      </c>
      <c r="M226" s="3" t="str">
        <f t="shared" si="54"/>
        <v/>
      </c>
      <c r="N226" s="3"/>
      <c r="AA226" s="3">
        <f t="shared" si="55"/>
        <v>3450000</v>
      </c>
      <c r="AB226" s="3">
        <f t="shared" si="63"/>
        <v>3450000.0000000042</v>
      </c>
      <c r="AC226" s="3">
        <f t="shared" si="64"/>
        <v>674936.57999999973</v>
      </c>
      <c r="AD226" s="3">
        <f t="shared" si="65"/>
        <v>2775063.4200000046</v>
      </c>
      <c r="AE226" s="1">
        <f t="shared" ca="1" si="66"/>
        <v>7</v>
      </c>
      <c r="AG226" s="3">
        <f t="shared" si="67"/>
        <v>1900</v>
      </c>
      <c r="AH226" s="1">
        <f t="shared" si="56"/>
        <v>714</v>
      </c>
      <c r="AI226" s="3">
        <f t="shared" si="57"/>
        <v>1900</v>
      </c>
      <c r="AL226" s="3">
        <f t="shared" si="58"/>
        <v>1900</v>
      </c>
      <c r="AM226" s="3">
        <f t="shared" si="59"/>
        <v>1900</v>
      </c>
      <c r="AQ226" s="4">
        <f t="shared" ca="1" si="68"/>
        <v>44574</v>
      </c>
      <c r="AR226" s="3">
        <f t="shared" ca="1" si="60"/>
        <v>551660.96999999974</v>
      </c>
      <c r="AS226" s="63">
        <f ca="1">IF($AQ226&lt;&gt;"", INDEX(Inputs!$B$3:$B$101, MATCH($AQ226,Inputs!$A$3:$A$101,1)), "")</f>
        <v>1E-3</v>
      </c>
      <c r="AT226" s="48">
        <f t="shared" ca="1" si="69"/>
        <v>1.5113999178082187</v>
      </c>
      <c r="AU226" s="3">
        <f t="shared" ca="1" si="61"/>
        <v>-1.5113999178082187</v>
      </c>
      <c r="AV226" s="3">
        <f t="shared" ca="1" si="62"/>
        <v>-1.5113999178082187</v>
      </c>
    </row>
    <row r="227" spans="1:48" x14ac:dyDescent="0.2">
      <c r="A227" s="4">
        <v>45072</v>
      </c>
      <c r="B227" s="1" t="s">
        <v>57</v>
      </c>
      <c r="I227" s="3">
        <v>1900</v>
      </c>
      <c r="M227" s="3" t="str">
        <f t="shared" si="54"/>
        <v/>
      </c>
      <c r="N227" s="3"/>
      <c r="AA227" s="3">
        <f t="shared" si="55"/>
        <v>3450000</v>
      </c>
      <c r="AB227" s="3">
        <f t="shared" si="63"/>
        <v>3450000.0000000042</v>
      </c>
      <c r="AC227" s="3">
        <f t="shared" si="64"/>
        <v>674936.57999999973</v>
      </c>
      <c r="AD227" s="3">
        <f t="shared" si="65"/>
        <v>2775063.4200000046</v>
      </c>
      <c r="AE227" s="1">
        <f t="shared" ca="1" si="66"/>
        <v>5</v>
      </c>
      <c r="AG227" s="3">
        <f t="shared" si="67"/>
        <v>1900</v>
      </c>
      <c r="AH227" s="1">
        <f t="shared" si="56"/>
        <v>721</v>
      </c>
      <c r="AI227" s="3">
        <f t="shared" si="57"/>
        <v>1900</v>
      </c>
      <c r="AL227" s="3">
        <f t="shared" si="58"/>
        <v>1900</v>
      </c>
      <c r="AM227" s="3">
        <f t="shared" si="59"/>
        <v>1900</v>
      </c>
      <c r="AQ227" s="4">
        <f t="shared" ca="1" si="68"/>
        <v>44575</v>
      </c>
      <c r="AR227" s="3">
        <f t="shared" ca="1" si="60"/>
        <v>551660.96999999974</v>
      </c>
      <c r="AS227" s="63">
        <f ca="1">IF($AQ227&lt;&gt;"", INDEX(Inputs!$B$3:$B$101, MATCH($AQ227,Inputs!$A$3:$A$101,1)), "")</f>
        <v>1E-3</v>
      </c>
      <c r="AT227" s="48">
        <f t="shared" ca="1" si="69"/>
        <v>1.5113999178082187</v>
      </c>
      <c r="AU227" s="3">
        <f t="shared" ca="1" si="61"/>
        <v>1898.4886000821919</v>
      </c>
      <c r="AV227" s="3">
        <f t="shared" ca="1" si="62"/>
        <v>1898.4886000821919</v>
      </c>
    </row>
    <row r="228" spans="1:48" x14ac:dyDescent="0.2">
      <c r="A228" s="4">
        <v>45077</v>
      </c>
      <c r="B228" s="1" t="s">
        <v>103</v>
      </c>
      <c r="G228" s="3">
        <v>4343.99</v>
      </c>
      <c r="M228" s="3" t="str">
        <f t="shared" si="54"/>
        <v/>
      </c>
      <c r="N228" s="3"/>
      <c r="AA228" s="3">
        <f t="shared" si="55"/>
        <v>3450000</v>
      </c>
      <c r="AB228" s="3">
        <f t="shared" si="63"/>
        <v>3450000.0000000047</v>
      </c>
      <c r="AC228" s="3">
        <f t="shared" si="64"/>
        <v>670592.58999999973</v>
      </c>
      <c r="AD228" s="3">
        <f t="shared" si="65"/>
        <v>2779407.4100000048</v>
      </c>
      <c r="AE228" s="1">
        <f t="shared" ca="1" si="66"/>
        <v>0</v>
      </c>
      <c r="AG228" s="3">
        <f t="shared" si="67"/>
        <v>0</v>
      </c>
      <c r="AH228" s="1">
        <f t="shared" si="56"/>
        <v>726</v>
      </c>
      <c r="AI228" s="3">
        <f t="shared" si="57"/>
        <v>0</v>
      </c>
      <c r="AL228" s="3">
        <f t="shared" si="58"/>
        <v>0</v>
      </c>
      <c r="AM228" s="3">
        <f t="shared" si="59"/>
        <v>0</v>
      </c>
      <c r="AQ228" s="4">
        <f t="shared" ca="1" si="68"/>
        <v>44576</v>
      </c>
      <c r="AR228" s="3">
        <f t="shared" ca="1" si="60"/>
        <v>551660.96999999974</v>
      </c>
      <c r="AS228" s="63">
        <f ca="1">IF($AQ228&lt;&gt;"", INDEX(Inputs!$B$3:$B$101, MATCH($AQ228,Inputs!$A$3:$A$101,1)), "")</f>
        <v>1E-3</v>
      </c>
      <c r="AT228" s="48">
        <f t="shared" ca="1" si="69"/>
        <v>1.5113999178082187</v>
      </c>
      <c r="AU228" s="3">
        <f t="shared" ca="1" si="61"/>
        <v>-1.5113999178082187</v>
      </c>
      <c r="AV228" s="3">
        <f t="shared" ca="1" si="62"/>
        <v>-1.5113999178082187</v>
      </c>
    </row>
    <row r="229" spans="1:48" x14ac:dyDescent="0.2">
      <c r="A229" s="4">
        <v>45077</v>
      </c>
      <c r="B229" s="1" t="s">
        <v>106</v>
      </c>
      <c r="G229" s="3">
        <v>762.4</v>
      </c>
      <c r="M229" s="3" t="str">
        <f t="shared" si="54"/>
        <v/>
      </c>
      <c r="N229" s="3"/>
      <c r="P229" s="3"/>
      <c r="AA229" s="3">
        <f t="shared" si="55"/>
        <v>3450000</v>
      </c>
      <c r="AB229" s="3">
        <f t="shared" si="63"/>
        <v>3450000.0000000047</v>
      </c>
      <c r="AC229" s="3">
        <f t="shared" si="64"/>
        <v>669830.18999999971</v>
      </c>
      <c r="AD229" s="3">
        <f t="shared" si="65"/>
        <v>2780169.8100000047</v>
      </c>
      <c r="AE229" s="1">
        <f t="shared" ca="1" si="66"/>
        <v>2</v>
      </c>
      <c r="AG229" s="3">
        <f t="shared" si="67"/>
        <v>0</v>
      </c>
      <c r="AH229" s="1">
        <f t="shared" si="56"/>
        <v>726</v>
      </c>
      <c r="AI229" s="3">
        <f t="shared" si="57"/>
        <v>0</v>
      </c>
      <c r="AL229" s="3">
        <f t="shared" si="58"/>
        <v>0</v>
      </c>
      <c r="AM229" s="3">
        <f t="shared" si="59"/>
        <v>0</v>
      </c>
      <c r="AQ229" s="4">
        <f t="shared" ca="1" si="68"/>
        <v>44577</v>
      </c>
      <c r="AR229" s="3">
        <f t="shared" ca="1" si="60"/>
        <v>551660.96999999974</v>
      </c>
      <c r="AS229" s="63">
        <f ca="1">IF($AQ229&lt;&gt;"", INDEX(Inputs!$B$3:$B$101, MATCH($AQ229,Inputs!$A$3:$A$101,1)), "")</f>
        <v>1E-3</v>
      </c>
      <c r="AT229" s="48">
        <f t="shared" ca="1" si="69"/>
        <v>1.5113999178082187</v>
      </c>
      <c r="AU229" s="3">
        <f t="shared" ca="1" si="61"/>
        <v>-1.5113999178082187</v>
      </c>
      <c r="AV229" s="3">
        <f t="shared" ca="1" si="62"/>
        <v>-1.5113999178082187</v>
      </c>
    </row>
    <row r="230" spans="1:48" x14ac:dyDescent="0.2">
      <c r="A230" s="4">
        <v>45079</v>
      </c>
      <c r="B230" s="1" t="s">
        <v>57</v>
      </c>
      <c r="I230" s="3">
        <v>1900</v>
      </c>
      <c r="M230" s="3" t="str">
        <f t="shared" si="54"/>
        <v/>
      </c>
      <c r="N230" s="3"/>
      <c r="AA230" s="3">
        <f t="shared" si="55"/>
        <v>3450000</v>
      </c>
      <c r="AB230" s="3">
        <f t="shared" si="63"/>
        <v>3450000.0000000047</v>
      </c>
      <c r="AC230" s="3">
        <f t="shared" si="64"/>
        <v>669830.18999999971</v>
      </c>
      <c r="AD230" s="3">
        <f t="shared" si="65"/>
        <v>2780169.8100000047</v>
      </c>
      <c r="AE230" s="1">
        <f t="shared" ca="1" si="66"/>
        <v>7</v>
      </c>
      <c r="AG230" s="3">
        <f t="shared" si="67"/>
        <v>1900</v>
      </c>
      <c r="AH230" s="1">
        <f t="shared" si="56"/>
        <v>728</v>
      </c>
      <c r="AI230" s="3">
        <f t="shared" si="57"/>
        <v>1900</v>
      </c>
      <c r="AL230" s="3">
        <f t="shared" si="58"/>
        <v>1900</v>
      </c>
      <c r="AM230" s="3">
        <f t="shared" si="59"/>
        <v>1900</v>
      </c>
      <c r="AQ230" s="4">
        <f t="shared" ca="1" si="68"/>
        <v>44578</v>
      </c>
      <c r="AR230" s="3">
        <f t="shared" ca="1" si="60"/>
        <v>563711.91999999969</v>
      </c>
      <c r="AS230" s="63">
        <f ca="1">IF($AQ230&lt;&gt;"", INDEX(Inputs!$B$3:$B$101, MATCH($AQ230,Inputs!$A$3:$A$101,1)), "")</f>
        <v>1E-3</v>
      </c>
      <c r="AT230" s="48">
        <f t="shared" ca="1" si="69"/>
        <v>1.5444162191780815</v>
      </c>
      <c r="AU230" s="3">
        <f t="shared" ca="1" si="61"/>
        <v>-12052.494416219179</v>
      </c>
      <c r="AV230" s="3">
        <f t="shared" ca="1" si="62"/>
        <v>-12052.494416219179</v>
      </c>
    </row>
    <row r="231" spans="1:48" x14ac:dyDescent="0.2">
      <c r="A231" s="4">
        <v>45086</v>
      </c>
      <c r="B231" s="1" t="s">
        <v>57</v>
      </c>
      <c r="I231" s="3">
        <v>1900</v>
      </c>
      <c r="M231" s="3" t="str">
        <f t="shared" si="54"/>
        <v/>
      </c>
      <c r="N231" s="3"/>
      <c r="AA231" s="3">
        <f t="shared" si="55"/>
        <v>3450000</v>
      </c>
      <c r="AB231" s="3">
        <f t="shared" si="63"/>
        <v>3450000.0000000047</v>
      </c>
      <c r="AC231" s="3">
        <f t="shared" si="64"/>
        <v>669830.18999999971</v>
      </c>
      <c r="AD231" s="3">
        <f t="shared" si="65"/>
        <v>2780169.8100000047</v>
      </c>
      <c r="AE231" s="1">
        <f t="shared" ca="1" si="66"/>
        <v>7</v>
      </c>
      <c r="AG231" s="3">
        <f t="shared" si="67"/>
        <v>1900</v>
      </c>
      <c r="AH231" s="1">
        <f t="shared" si="56"/>
        <v>735</v>
      </c>
      <c r="AI231" s="3">
        <f t="shared" si="57"/>
        <v>1900</v>
      </c>
      <c r="AL231" s="3">
        <f t="shared" si="58"/>
        <v>1900</v>
      </c>
      <c r="AM231" s="3">
        <f t="shared" si="59"/>
        <v>1900</v>
      </c>
      <c r="AQ231" s="4">
        <f t="shared" ca="1" si="68"/>
        <v>44579</v>
      </c>
      <c r="AR231" s="3">
        <f t="shared" ca="1" si="60"/>
        <v>563711.91999999969</v>
      </c>
      <c r="AS231" s="63">
        <f ca="1">IF($AQ231&lt;&gt;"", INDEX(Inputs!$B$3:$B$101, MATCH($AQ231,Inputs!$A$3:$A$101,1)), "")</f>
        <v>1E-3</v>
      </c>
      <c r="AT231" s="48">
        <f t="shared" ca="1" si="69"/>
        <v>1.5444162191780815</v>
      </c>
      <c r="AU231" s="3">
        <f t="shared" ca="1" si="61"/>
        <v>-1.5444162191780815</v>
      </c>
      <c r="AV231" s="3">
        <f t="shared" ca="1" si="62"/>
        <v>-1.5444162191780815</v>
      </c>
    </row>
    <row r="232" spans="1:48" x14ac:dyDescent="0.2">
      <c r="A232" s="4">
        <v>45093</v>
      </c>
      <c r="B232" s="1" t="s">
        <v>57</v>
      </c>
      <c r="I232" s="3">
        <v>1900</v>
      </c>
      <c r="M232" s="3" t="str">
        <f t="shared" si="54"/>
        <v/>
      </c>
      <c r="N232" s="3"/>
      <c r="AA232" s="3">
        <f t="shared" si="55"/>
        <v>3450000</v>
      </c>
      <c r="AB232" s="3">
        <f t="shared" si="63"/>
        <v>3450000.0000000047</v>
      </c>
      <c r="AC232" s="3">
        <f t="shared" si="64"/>
        <v>669830.18999999971</v>
      </c>
      <c r="AD232" s="3">
        <f t="shared" si="65"/>
        <v>2780169.8100000047</v>
      </c>
      <c r="AE232" s="1">
        <f t="shared" ca="1" si="66"/>
        <v>0</v>
      </c>
      <c r="AG232" s="3">
        <f t="shared" si="67"/>
        <v>1900</v>
      </c>
      <c r="AH232" s="1">
        <f t="shared" si="56"/>
        <v>742</v>
      </c>
      <c r="AI232" s="3">
        <f t="shared" si="57"/>
        <v>1900</v>
      </c>
      <c r="AL232" s="3">
        <f t="shared" si="58"/>
        <v>1900</v>
      </c>
      <c r="AM232" s="3">
        <f t="shared" si="59"/>
        <v>1900</v>
      </c>
      <c r="AQ232" s="4">
        <f t="shared" ca="1" si="68"/>
        <v>44580</v>
      </c>
      <c r="AR232" s="3">
        <f t="shared" ca="1" si="60"/>
        <v>563711.91999999969</v>
      </c>
      <c r="AS232" s="63">
        <f ca="1">IF($AQ232&lt;&gt;"", INDEX(Inputs!$B$3:$B$101, MATCH($AQ232,Inputs!$A$3:$A$101,1)), "")</f>
        <v>1E-3</v>
      </c>
      <c r="AT232" s="48">
        <f t="shared" ca="1" si="69"/>
        <v>1.5444162191780815</v>
      </c>
      <c r="AU232" s="3">
        <f t="shared" ca="1" si="61"/>
        <v>-1.5444162191780815</v>
      </c>
      <c r="AV232" s="3">
        <f t="shared" ca="1" si="62"/>
        <v>-1.5444162191780815</v>
      </c>
    </row>
    <row r="233" spans="1:48" x14ac:dyDescent="0.2">
      <c r="A233" s="4">
        <v>45093</v>
      </c>
      <c r="B233" s="1" t="s">
        <v>104</v>
      </c>
      <c r="F233" s="3">
        <v>9818.51</v>
      </c>
      <c r="M233" s="3" t="str">
        <f t="shared" si="54"/>
        <v/>
      </c>
      <c r="N233" s="3"/>
      <c r="AA233" s="3">
        <f t="shared" si="55"/>
        <v>3450000</v>
      </c>
      <c r="AB233" s="3">
        <f t="shared" si="63"/>
        <v>3450000.0000000047</v>
      </c>
      <c r="AC233" s="3">
        <f t="shared" si="64"/>
        <v>679648.69999999972</v>
      </c>
      <c r="AD233" s="3">
        <f t="shared" si="65"/>
        <v>2770351.3000000049</v>
      </c>
      <c r="AE233" s="1">
        <f t="shared" ca="1" si="66"/>
        <v>0</v>
      </c>
      <c r="AG233" s="3">
        <f t="shared" si="67"/>
        <v>-9818.51</v>
      </c>
      <c r="AH233" s="1">
        <f t="shared" si="56"/>
        <v>742</v>
      </c>
      <c r="AI233" s="3">
        <f t="shared" si="57"/>
        <v>-9818.51</v>
      </c>
      <c r="AL233" s="3">
        <f t="shared" si="58"/>
        <v>-9818.51</v>
      </c>
      <c r="AM233" s="3">
        <f t="shared" si="59"/>
        <v>-9818.51</v>
      </c>
      <c r="AQ233" s="4">
        <f t="shared" ca="1" si="68"/>
        <v>44581</v>
      </c>
      <c r="AR233" s="3">
        <f t="shared" ca="1" si="60"/>
        <v>563711.91999999969</v>
      </c>
      <c r="AS233" s="63">
        <f ca="1">IF($AQ233&lt;&gt;"", INDEX(Inputs!$B$3:$B$101, MATCH($AQ233,Inputs!$A$3:$A$101,1)), "")</f>
        <v>1E-3</v>
      </c>
      <c r="AT233" s="48">
        <f t="shared" ca="1" si="69"/>
        <v>1.5444162191780815</v>
      </c>
      <c r="AU233" s="3">
        <f t="shared" ca="1" si="61"/>
        <v>-1.5444162191780815</v>
      </c>
      <c r="AV233" s="3">
        <f t="shared" ca="1" si="62"/>
        <v>-1.5444162191780815</v>
      </c>
    </row>
    <row r="234" spans="1:48" x14ac:dyDescent="0.2">
      <c r="A234" s="4">
        <v>45093</v>
      </c>
      <c r="B234" s="1" t="s">
        <v>105</v>
      </c>
      <c r="F234" s="3">
        <v>2782.29</v>
      </c>
      <c r="M234" s="3" t="str">
        <f t="shared" si="54"/>
        <v/>
      </c>
      <c r="N234" s="3"/>
      <c r="P234" s="3"/>
      <c r="AA234" s="3">
        <f t="shared" si="55"/>
        <v>3450000</v>
      </c>
      <c r="AB234" s="3">
        <f t="shared" si="63"/>
        <v>3450000.0000000047</v>
      </c>
      <c r="AC234" s="3">
        <f t="shared" si="64"/>
        <v>682430.98999999976</v>
      </c>
      <c r="AD234" s="3">
        <f t="shared" si="65"/>
        <v>2767569.0100000049</v>
      </c>
      <c r="AE234" s="1">
        <f t="shared" ca="1" si="66"/>
        <v>7</v>
      </c>
      <c r="AG234" s="3">
        <f t="shared" si="67"/>
        <v>-2782.29</v>
      </c>
      <c r="AH234" s="1">
        <f t="shared" si="56"/>
        <v>742</v>
      </c>
      <c r="AI234" s="3">
        <f t="shared" si="57"/>
        <v>-2782.29</v>
      </c>
      <c r="AL234" s="3">
        <f t="shared" si="58"/>
        <v>-2782.29</v>
      </c>
      <c r="AM234" s="3">
        <f t="shared" si="59"/>
        <v>-2782.29</v>
      </c>
      <c r="AQ234" s="4">
        <f t="shared" ca="1" si="68"/>
        <v>44582</v>
      </c>
      <c r="AR234" s="3">
        <f t="shared" ca="1" si="60"/>
        <v>563711.91999999969</v>
      </c>
      <c r="AS234" s="63">
        <f ca="1">IF($AQ234&lt;&gt;"", INDEX(Inputs!$B$3:$B$101, MATCH($AQ234,Inputs!$A$3:$A$101,1)), "")</f>
        <v>1E-3</v>
      </c>
      <c r="AT234" s="48">
        <f t="shared" ca="1" si="69"/>
        <v>1.5444162191780815</v>
      </c>
      <c r="AU234" s="3">
        <f t="shared" ca="1" si="61"/>
        <v>1898.4555837808218</v>
      </c>
      <c r="AV234" s="3">
        <f t="shared" ca="1" si="62"/>
        <v>1898.4555837808218</v>
      </c>
    </row>
    <row r="235" spans="1:48" x14ac:dyDescent="0.2">
      <c r="A235" s="4">
        <v>45100</v>
      </c>
      <c r="B235" s="1" t="s">
        <v>57</v>
      </c>
      <c r="I235" s="3">
        <v>1900</v>
      </c>
      <c r="M235" s="3" t="str">
        <f t="shared" si="54"/>
        <v/>
      </c>
      <c r="N235" s="3"/>
      <c r="AA235" s="3">
        <f t="shared" si="55"/>
        <v>3450000</v>
      </c>
      <c r="AB235" s="3">
        <f t="shared" si="63"/>
        <v>3450000.0000000047</v>
      </c>
      <c r="AC235" s="3">
        <f t="shared" si="64"/>
        <v>682430.98999999976</v>
      </c>
      <c r="AD235" s="3">
        <f t="shared" si="65"/>
        <v>2767569.0100000049</v>
      </c>
      <c r="AE235" s="1">
        <f t="shared" ca="1" si="66"/>
        <v>7</v>
      </c>
      <c r="AG235" s="3">
        <f t="shared" si="67"/>
        <v>1900</v>
      </c>
      <c r="AH235" s="1">
        <f t="shared" si="56"/>
        <v>749</v>
      </c>
      <c r="AI235" s="3">
        <f t="shared" si="57"/>
        <v>1900</v>
      </c>
      <c r="AL235" s="3">
        <f t="shared" si="58"/>
        <v>1900</v>
      </c>
      <c r="AM235" s="3">
        <f t="shared" si="59"/>
        <v>1900</v>
      </c>
      <c r="AQ235" s="4">
        <f t="shared" ca="1" si="68"/>
        <v>44583</v>
      </c>
      <c r="AR235" s="3">
        <f t="shared" ca="1" si="60"/>
        <v>563711.91999999969</v>
      </c>
      <c r="AS235" s="63">
        <f ca="1">IF($AQ235&lt;&gt;"", INDEX(Inputs!$B$3:$B$101, MATCH($AQ235,Inputs!$A$3:$A$101,1)), "")</f>
        <v>1E-3</v>
      </c>
      <c r="AT235" s="48">
        <f t="shared" ca="1" si="69"/>
        <v>1.5444162191780815</v>
      </c>
      <c r="AU235" s="3">
        <f t="shared" ca="1" si="61"/>
        <v>-1.5444162191780815</v>
      </c>
      <c r="AV235" s="3">
        <f t="shared" ca="1" si="62"/>
        <v>-1.5444162191780815</v>
      </c>
    </row>
    <row r="236" spans="1:48" x14ac:dyDescent="0.2">
      <c r="A236" s="4">
        <v>45107</v>
      </c>
      <c r="B236" s="1" t="s">
        <v>57</v>
      </c>
      <c r="I236" s="3">
        <v>1900</v>
      </c>
      <c r="M236" s="3" t="str">
        <f t="shared" si="54"/>
        <v/>
      </c>
      <c r="N236" s="3"/>
      <c r="AA236" s="3">
        <f t="shared" si="55"/>
        <v>3450000</v>
      </c>
      <c r="AB236" s="3">
        <f t="shared" si="63"/>
        <v>3450000.0000000047</v>
      </c>
      <c r="AC236" s="3">
        <f t="shared" si="64"/>
        <v>682430.98999999976</v>
      </c>
      <c r="AD236" s="3">
        <f t="shared" si="65"/>
        <v>2767569.0100000049</v>
      </c>
      <c r="AE236" s="1">
        <f t="shared" ca="1" si="66"/>
        <v>0</v>
      </c>
      <c r="AG236" s="3">
        <f t="shared" si="67"/>
        <v>1900</v>
      </c>
      <c r="AH236" s="1">
        <f t="shared" si="56"/>
        <v>756</v>
      </c>
      <c r="AI236" s="3">
        <f t="shared" si="57"/>
        <v>1900</v>
      </c>
      <c r="AL236" s="3">
        <f t="shared" si="58"/>
        <v>1900</v>
      </c>
      <c r="AM236" s="3">
        <f t="shared" si="59"/>
        <v>1900</v>
      </c>
      <c r="AQ236" s="4">
        <f t="shared" ca="1" si="68"/>
        <v>44584</v>
      </c>
      <c r="AR236" s="3">
        <f t="shared" ca="1" si="60"/>
        <v>563711.91999999969</v>
      </c>
      <c r="AS236" s="63">
        <f ca="1">IF($AQ236&lt;&gt;"", INDEX(Inputs!$B$3:$B$101, MATCH($AQ236,Inputs!$A$3:$A$101,1)), "")</f>
        <v>1E-3</v>
      </c>
      <c r="AT236" s="48">
        <f t="shared" ca="1" si="69"/>
        <v>1.5444162191780815</v>
      </c>
      <c r="AU236" s="3">
        <f t="shared" ca="1" si="61"/>
        <v>-1.5444162191780815</v>
      </c>
      <c r="AV236" s="3">
        <f t="shared" ca="1" si="62"/>
        <v>-1.5444162191780815</v>
      </c>
    </row>
    <row r="237" spans="1:48" x14ac:dyDescent="0.2">
      <c r="A237" s="4">
        <v>45107</v>
      </c>
      <c r="B237" s="1" t="s">
        <v>103</v>
      </c>
      <c r="G237" s="3">
        <v>3939.52</v>
      </c>
      <c r="M237" s="3" t="str">
        <f t="shared" si="54"/>
        <v/>
      </c>
      <c r="N237" s="3"/>
      <c r="AA237" s="3">
        <f t="shared" si="55"/>
        <v>3450000</v>
      </c>
      <c r="AB237" s="3">
        <f t="shared" si="63"/>
        <v>3450000.0000000047</v>
      </c>
      <c r="AC237" s="3">
        <f t="shared" si="64"/>
        <v>678491.46999999974</v>
      </c>
      <c r="AD237" s="3">
        <f t="shared" si="65"/>
        <v>2771508.5300000049</v>
      </c>
      <c r="AE237" s="1">
        <f t="shared" ca="1" si="66"/>
        <v>0</v>
      </c>
      <c r="AG237" s="3">
        <f t="shared" si="67"/>
        <v>0</v>
      </c>
      <c r="AH237" s="1">
        <f t="shared" si="56"/>
        <v>756</v>
      </c>
      <c r="AI237" s="3">
        <f t="shared" si="57"/>
        <v>0</v>
      </c>
      <c r="AL237" s="3">
        <f t="shared" si="58"/>
        <v>0</v>
      </c>
      <c r="AM237" s="3">
        <f t="shared" si="59"/>
        <v>0</v>
      </c>
      <c r="AQ237" s="4">
        <f t="shared" ca="1" si="68"/>
        <v>44585</v>
      </c>
      <c r="AR237" s="3">
        <f t="shared" ca="1" si="60"/>
        <v>563711.91999999969</v>
      </c>
      <c r="AS237" s="63">
        <f ca="1">IF($AQ237&lt;&gt;"", INDEX(Inputs!$B$3:$B$101, MATCH($AQ237,Inputs!$A$3:$A$101,1)), "")</f>
        <v>1E-3</v>
      </c>
      <c r="AT237" s="48">
        <f t="shared" ca="1" si="69"/>
        <v>1.5444162191780815</v>
      </c>
      <c r="AU237" s="3">
        <f t="shared" ca="1" si="61"/>
        <v>-1.5444162191780815</v>
      </c>
      <c r="AV237" s="3">
        <f t="shared" ca="1" si="62"/>
        <v>-1.5444162191780815</v>
      </c>
    </row>
    <row r="238" spans="1:48" x14ac:dyDescent="0.2">
      <c r="A238" s="4">
        <v>45107</v>
      </c>
      <c r="B238" s="1" t="s">
        <v>106</v>
      </c>
      <c r="G238" s="3">
        <v>1013.13</v>
      </c>
      <c r="M238" s="3" t="str">
        <f t="shared" si="54"/>
        <v/>
      </c>
      <c r="N238" s="3"/>
      <c r="P238" s="3"/>
      <c r="AA238" s="3">
        <f t="shared" si="55"/>
        <v>3450000</v>
      </c>
      <c r="AB238" s="3">
        <f t="shared" si="63"/>
        <v>3450000.0000000047</v>
      </c>
      <c r="AC238" s="3">
        <f t="shared" si="64"/>
        <v>677478.33999999973</v>
      </c>
      <c r="AD238" s="3">
        <f t="shared" si="65"/>
        <v>2772521.6600000048</v>
      </c>
      <c r="AE238" s="1">
        <f t="shared" ca="1" si="66"/>
        <v>0</v>
      </c>
      <c r="AG238" s="3">
        <f t="shared" si="67"/>
        <v>0</v>
      </c>
      <c r="AH238" s="1">
        <f t="shared" si="56"/>
        <v>756</v>
      </c>
      <c r="AI238" s="3">
        <f t="shared" si="57"/>
        <v>0</v>
      </c>
      <c r="AL238" s="3">
        <f t="shared" si="58"/>
        <v>0</v>
      </c>
      <c r="AM238" s="3">
        <f t="shared" si="59"/>
        <v>0</v>
      </c>
      <c r="AQ238" s="4">
        <f t="shared" ca="1" si="68"/>
        <v>44586</v>
      </c>
      <c r="AR238" s="3">
        <f t="shared" ca="1" si="60"/>
        <v>563711.91999999969</v>
      </c>
      <c r="AS238" s="63">
        <f ca="1">IF($AQ238&lt;&gt;"", INDEX(Inputs!$B$3:$B$101, MATCH($AQ238,Inputs!$A$3:$A$101,1)), "")</f>
        <v>1E-3</v>
      </c>
      <c r="AT238" s="48">
        <f t="shared" ca="1" si="69"/>
        <v>1.5444162191780815</v>
      </c>
      <c r="AU238" s="3">
        <f t="shared" ca="1" si="61"/>
        <v>-1.5444162191780815</v>
      </c>
      <c r="AV238" s="3">
        <f t="shared" ca="1" si="62"/>
        <v>-1.5444162191780815</v>
      </c>
    </row>
    <row r="239" spans="1:48" x14ac:dyDescent="0.2">
      <c r="A239" s="4">
        <v>45107</v>
      </c>
      <c r="B239" s="1" t="s">
        <v>80</v>
      </c>
      <c r="H239" s="3">
        <v>285.02</v>
      </c>
      <c r="M239" s="3" t="str">
        <f t="shared" si="54"/>
        <v/>
      </c>
      <c r="N239" s="3"/>
      <c r="P239" s="3"/>
      <c r="AA239" s="3">
        <f t="shared" si="55"/>
        <v>3450000</v>
      </c>
      <c r="AB239" s="3">
        <f t="shared" si="63"/>
        <v>3450000.0000000047</v>
      </c>
      <c r="AC239" s="3">
        <f t="shared" si="64"/>
        <v>677478.33999999973</v>
      </c>
      <c r="AD239" s="3">
        <f t="shared" si="65"/>
        <v>2772521.6600000048</v>
      </c>
      <c r="AE239" s="1">
        <f t="shared" ca="1" si="66"/>
        <v>0</v>
      </c>
      <c r="AG239" s="3">
        <f t="shared" si="67"/>
        <v>-285.02</v>
      </c>
      <c r="AH239" s="1">
        <f t="shared" si="56"/>
        <v>756</v>
      </c>
      <c r="AI239" s="3">
        <f t="shared" si="57"/>
        <v>-285.02</v>
      </c>
      <c r="AL239" s="3">
        <f t="shared" si="58"/>
        <v>-285.02</v>
      </c>
      <c r="AM239" s="3">
        <f t="shared" si="59"/>
        <v>-285.02</v>
      </c>
      <c r="AQ239" s="4">
        <f t="shared" ca="1" si="68"/>
        <v>44587</v>
      </c>
      <c r="AR239" s="3">
        <f t="shared" ca="1" si="60"/>
        <v>563711.91999999969</v>
      </c>
      <c r="AS239" s="63">
        <f ca="1">IF($AQ239&lt;&gt;"", INDEX(Inputs!$B$3:$B$101, MATCH($AQ239,Inputs!$A$3:$A$101,1)), "")</f>
        <v>1E-3</v>
      </c>
      <c r="AT239" s="48">
        <f t="shared" ca="1" si="69"/>
        <v>1.5444162191780815</v>
      </c>
      <c r="AU239" s="3">
        <f t="shared" ca="1" si="61"/>
        <v>-1.5444162191780815</v>
      </c>
      <c r="AV239" s="3">
        <f t="shared" ca="1" si="62"/>
        <v>-1.5444162191780815</v>
      </c>
    </row>
    <row r="240" spans="1:48" x14ac:dyDescent="0.2">
      <c r="A240" s="4">
        <v>45107</v>
      </c>
      <c r="B240" s="1" t="s">
        <v>42</v>
      </c>
      <c r="H240" s="3">
        <v>1609.07</v>
      </c>
      <c r="M240" s="3" t="str">
        <f t="shared" si="54"/>
        <v/>
      </c>
      <c r="N240" s="3"/>
      <c r="P240" s="3"/>
      <c r="AA240" s="3">
        <f t="shared" si="55"/>
        <v>3450000</v>
      </c>
      <c r="AB240" s="3">
        <f t="shared" si="63"/>
        <v>3450000.0000000047</v>
      </c>
      <c r="AC240" s="3">
        <f t="shared" si="64"/>
        <v>677478.33999999973</v>
      </c>
      <c r="AD240" s="3">
        <f t="shared" si="65"/>
        <v>2772521.6600000048</v>
      </c>
      <c r="AE240" s="1">
        <f t="shared" ca="1" si="66"/>
        <v>0</v>
      </c>
      <c r="AG240" s="3">
        <f t="shared" si="67"/>
        <v>-1609.07</v>
      </c>
      <c r="AH240" s="1">
        <f t="shared" si="56"/>
        <v>756</v>
      </c>
      <c r="AI240" s="3">
        <f t="shared" si="57"/>
        <v>-1609.07</v>
      </c>
      <c r="AL240" s="3">
        <f t="shared" si="58"/>
        <v>-1609.07</v>
      </c>
      <c r="AM240" s="3">
        <f t="shared" si="59"/>
        <v>-1609.07</v>
      </c>
      <c r="AQ240" s="4">
        <f t="shared" ca="1" si="68"/>
        <v>44588</v>
      </c>
      <c r="AR240" s="3">
        <f t="shared" ca="1" si="60"/>
        <v>563711.91999999969</v>
      </c>
      <c r="AS240" s="63">
        <f ca="1">IF($AQ240&lt;&gt;"", INDEX(Inputs!$B$3:$B$101, MATCH($AQ240,Inputs!$A$3:$A$101,1)), "")</f>
        <v>1E-3</v>
      </c>
      <c r="AT240" s="48">
        <f t="shared" ca="1" si="69"/>
        <v>1.5444162191780815</v>
      </c>
      <c r="AU240" s="3">
        <f t="shared" ca="1" si="61"/>
        <v>-1.5444162191780815</v>
      </c>
      <c r="AV240" s="3">
        <f t="shared" ca="1" si="62"/>
        <v>-1.5444162191780815</v>
      </c>
    </row>
    <row r="241" spans="1:48" x14ac:dyDescent="0.2">
      <c r="A241" s="4">
        <v>45107</v>
      </c>
      <c r="B241" s="1" t="s">
        <v>88</v>
      </c>
      <c r="K241" s="3">
        <f>SUM(I138:I236)</f>
        <v>98860</v>
      </c>
      <c r="L241" s="65">
        <v>0.32500000000000001</v>
      </c>
      <c r="M241" s="3" t="str">
        <f t="shared" si="54"/>
        <v/>
      </c>
      <c r="N241" s="3"/>
      <c r="P241" s="3"/>
      <c r="AA241" s="3">
        <f t="shared" si="55"/>
        <v>3450000</v>
      </c>
      <c r="AB241" s="3">
        <f t="shared" si="63"/>
        <v>3450000.0000000047</v>
      </c>
      <c r="AC241" s="3">
        <f t="shared" si="64"/>
        <v>677478.33999999973</v>
      </c>
      <c r="AD241" s="3">
        <f t="shared" si="65"/>
        <v>2772521.6600000048</v>
      </c>
      <c r="AE241" s="1">
        <f t="shared" ca="1" si="66"/>
        <v>0</v>
      </c>
      <c r="AG241" s="3">
        <f t="shared" si="67"/>
        <v>0</v>
      </c>
      <c r="AH241" s="1">
        <f t="shared" si="56"/>
        <v>756</v>
      </c>
      <c r="AI241" s="3">
        <f t="shared" si="57"/>
        <v>0</v>
      </c>
      <c r="AL241" s="3">
        <f t="shared" si="58"/>
        <v>-32129.5</v>
      </c>
      <c r="AM241" s="3">
        <f t="shared" si="59"/>
        <v>-32129.5</v>
      </c>
      <c r="AQ241" s="4">
        <f t="shared" ca="1" si="68"/>
        <v>44589</v>
      </c>
      <c r="AR241" s="3">
        <f t="shared" ca="1" si="60"/>
        <v>563711.91999999969</v>
      </c>
      <c r="AS241" s="63">
        <f ca="1">IF($AQ241&lt;&gt;"", INDEX(Inputs!$B$3:$B$101, MATCH($AQ241,Inputs!$A$3:$A$101,1)), "")</f>
        <v>1E-3</v>
      </c>
      <c r="AT241" s="48">
        <f t="shared" ca="1" si="69"/>
        <v>1.5444162191780815</v>
      </c>
      <c r="AU241" s="3">
        <f t="shared" ca="1" si="61"/>
        <v>1898.4555837808218</v>
      </c>
      <c r="AV241" s="3">
        <f t="shared" ca="1" si="62"/>
        <v>1898.4555837808218</v>
      </c>
    </row>
    <row r="242" spans="1:48" x14ac:dyDescent="0.2">
      <c r="A242" s="4">
        <v>45107</v>
      </c>
      <c r="B242" s="1" t="s">
        <v>89</v>
      </c>
      <c r="K242" s="3">
        <f>-SUM(G144:G238)</f>
        <v>-65140.109999999986</v>
      </c>
      <c r="L242" s="65">
        <v>0.32500000000000001</v>
      </c>
      <c r="M242" s="3" t="str">
        <f t="shared" si="54"/>
        <v/>
      </c>
      <c r="N242" s="3"/>
      <c r="P242" s="3"/>
      <c r="AA242" s="3">
        <f t="shared" si="55"/>
        <v>3450000</v>
      </c>
      <c r="AB242" s="3">
        <f t="shared" si="63"/>
        <v>3450000.0000000047</v>
      </c>
      <c r="AC242" s="3">
        <f t="shared" si="64"/>
        <v>677478.33999999973</v>
      </c>
      <c r="AD242" s="3">
        <f t="shared" si="65"/>
        <v>2772521.6600000048</v>
      </c>
      <c r="AE242" s="1">
        <f t="shared" ca="1" si="66"/>
        <v>0</v>
      </c>
      <c r="AG242" s="3">
        <f t="shared" si="67"/>
        <v>0</v>
      </c>
      <c r="AH242" s="1">
        <f t="shared" si="56"/>
        <v>756</v>
      </c>
      <c r="AI242" s="3">
        <f t="shared" si="57"/>
        <v>0</v>
      </c>
      <c r="AL242" s="3">
        <f t="shared" si="58"/>
        <v>21170.535749999995</v>
      </c>
      <c r="AM242" s="3">
        <f t="shared" si="59"/>
        <v>21170.535749999995</v>
      </c>
      <c r="AQ242" s="4">
        <f t="shared" ca="1" si="68"/>
        <v>44590</v>
      </c>
      <c r="AR242" s="3">
        <f t="shared" ca="1" si="60"/>
        <v>563711.91999999969</v>
      </c>
      <c r="AS242" s="63">
        <f ca="1">IF($AQ242&lt;&gt;"", INDEX(Inputs!$B$3:$B$101, MATCH($AQ242,Inputs!$A$3:$A$101,1)), "")</f>
        <v>1E-3</v>
      </c>
      <c r="AT242" s="48">
        <f t="shared" ca="1" si="69"/>
        <v>1.5444162191780815</v>
      </c>
      <c r="AU242" s="3">
        <f t="shared" ca="1" si="61"/>
        <v>-1.5444162191780815</v>
      </c>
      <c r="AV242" s="3">
        <f t="shared" ca="1" si="62"/>
        <v>-1.5444162191780815</v>
      </c>
    </row>
    <row r="243" spans="1:48" x14ac:dyDescent="0.2">
      <c r="A243" s="4">
        <v>45107</v>
      </c>
      <c r="B243" s="1" t="s">
        <v>90</v>
      </c>
      <c r="K243" s="3">
        <f>-1*((H146+H174+H196+H221)+(H240)+(H24*(1-20%)*20%+H21*(1-13.33%)*13.33%+H25*(1-28.57%)*28.57%+H23*(1-20%)*20%)+(H147)+(H157+H184+H211+H239)+(H141))</f>
        <v>-18333.1442501245</v>
      </c>
      <c r="L243" s="65">
        <v>0.32500000000000001</v>
      </c>
      <c r="M243" s="3" t="str">
        <f t="shared" si="54"/>
        <v/>
      </c>
      <c r="N243" s="3"/>
      <c r="P243" s="3"/>
      <c r="AA243" s="3">
        <f t="shared" si="55"/>
        <v>3450000</v>
      </c>
      <c r="AB243" s="3">
        <f t="shared" si="63"/>
        <v>3450000.0000000047</v>
      </c>
      <c r="AC243" s="3">
        <f t="shared" si="64"/>
        <v>677478.33999999973</v>
      </c>
      <c r="AD243" s="3">
        <f t="shared" si="65"/>
        <v>2772521.6600000048</v>
      </c>
      <c r="AE243" s="1">
        <f t="shared" ca="1" si="66"/>
        <v>0</v>
      </c>
      <c r="AG243" s="3">
        <f t="shared" si="67"/>
        <v>0</v>
      </c>
      <c r="AH243" s="1">
        <f t="shared" si="56"/>
        <v>756</v>
      </c>
      <c r="AI243" s="3">
        <f t="shared" si="57"/>
        <v>0</v>
      </c>
      <c r="AL243" s="3">
        <f t="shared" si="58"/>
        <v>5958.2718812904632</v>
      </c>
      <c r="AM243" s="3">
        <f t="shared" si="59"/>
        <v>5958.2718812904632</v>
      </c>
      <c r="AQ243" s="4">
        <f t="shared" ca="1" si="68"/>
        <v>44591</v>
      </c>
      <c r="AR243" s="3">
        <f t="shared" ca="1" si="60"/>
        <v>563711.91999999969</v>
      </c>
      <c r="AS243" s="63">
        <f ca="1">IF($AQ243&lt;&gt;"", INDEX(Inputs!$B$3:$B$101, MATCH($AQ243,Inputs!$A$3:$A$101,1)), "")</f>
        <v>1E-3</v>
      </c>
      <c r="AT243" s="48">
        <f t="shared" ca="1" si="69"/>
        <v>1.5444162191780815</v>
      </c>
      <c r="AU243" s="3">
        <f t="shared" ca="1" si="61"/>
        <v>-1.5444162191780815</v>
      </c>
      <c r="AV243" s="3">
        <f t="shared" ca="1" si="62"/>
        <v>-1.5444162191780815</v>
      </c>
    </row>
    <row r="244" spans="1:48" x14ac:dyDescent="0.2">
      <c r="A244" s="4">
        <v>45107</v>
      </c>
      <c r="B244" s="1" t="s">
        <v>87</v>
      </c>
      <c r="L244" s="65">
        <v>0.32500000000000001</v>
      </c>
      <c r="M244" s="3">
        <f t="shared" ca="1" si="54"/>
        <v>18821.99390223284</v>
      </c>
      <c r="N244" s="3"/>
      <c r="P244" s="3"/>
      <c r="AA244" s="3">
        <f t="shared" si="55"/>
        <v>3450000</v>
      </c>
      <c r="AB244" s="3">
        <f t="shared" si="63"/>
        <v>3450000.0000000047</v>
      </c>
      <c r="AC244" s="3">
        <f t="shared" si="64"/>
        <v>677478.33999999973</v>
      </c>
      <c r="AD244" s="3">
        <f t="shared" si="65"/>
        <v>2772521.6600000048</v>
      </c>
      <c r="AE244" s="1">
        <f t="shared" ca="1" si="66"/>
        <v>7</v>
      </c>
      <c r="AG244" s="3">
        <f t="shared" si="67"/>
        <v>0</v>
      </c>
      <c r="AH244" s="1">
        <f t="shared" si="56"/>
        <v>756</v>
      </c>
      <c r="AI244" s="3">
        <f t="shared" si="57"/>
        <v>0</v>
      </c>
      <c r="AL244" s="3">
        <f t="shared" si="58"/>
        <v>0</v>
      </c>
      <c r="AM244" s="3">
        <f t="shared" si="59"/>
        <v>0</v>
      </c>
      <c r="AQ244" s="4">
        <f t="shared" ca="1" si="68"/>
        <v>44592</v>
      </c>
      <c r="AR244" s="3">
        <f t="shared" ca="1" si="60"/>
        <v>558681.52999999968</v>
      </c>
      <c r="AS244" s="63">
        <f ca="1">IF($AQ244&lt;&gt;"", INDEX(Inputs!$B$3:$B$101, MATCH($AQ244,Inputs!$A$3:$A$101,1)), "")</f>
        <v>1E-3</v>
      </c>
      <c r="AT244" s="48">
        <f t="shared" ca="1" si="69"/>
        <v>1.5306343287671225</v>
      </c>
      <c r="AU244" s="3">
        <f t="shared" ca="1" si="61"/>
        <v>-3125.5306343287671</v>
      </c>
      <c r="AV244" s="3">
        <f t="shared" ca="1" si="62"/>
        <v>-3125.5306343287671</v>
      </c>
    </row>
    <row r="245" spans="1:48" x14ac:dyDescent="0.2">
      <c r="A245" s="4">
        <v>45114</v>
      </c>
      <c r="B245" s="1" t="s">
        <v>57</v>
      </c>
      <c r="I245" s="3">
        <v>1900</v>
      </c>
      <c r="M245" s="3" t="str">
        <f t="shared" si="54"/>
        <v/>
      </c>
      <c r="N245" s="3"/>
      <c r="AA245" s="3">
        <f t="shared" si="55"/>
        <v>3450000</v>
      </c>
      <c r="AB245" s="3">
        <f t="shared" si="63"/>
        <v>3450000.0000000047</v>
      </c>
      <c r="AC245" s="3">
        <f t="shared" si="64"/>
        <v>677478.33999999973</v>
      </c>
      <c r="AD245" s="3">
        <f t="shared" si="65"/>
        <v>2772521.6600000048</v>
      </c>
      <c r="AE245" s="1">
        <f t="shared" ca="1" si="66"/>
        <v>7</v>
      </c>
      <c r="AG245" s="3">
        <f t="shared" si="67"/>
        <v>1900</v>
      </c>
      <c r="AH245" s="1">
        <f t="shared" si="56"/>
        <v>763</v>
      </c>
      <c r="AI245" s="3">
        <f t="shared" si="57"/>
        <v>1900</v>
      </c>
      <c r="AL245" s="3">
        <f t="shared" ref="AL245:AL258" si="70">IF($A245&lt;&gt;"", AG245-IF(ISNUMBER(K245),K245*L245,0), "")</f>
        <v>1900</v>
      </c>
      <c r="AM245" s="3">
        <f t="shared" si="59"/>
        <v>1900</v>
      </c>
      <c r="AQ245" s="4">
        <f t="shared" ca="1" si="68"/>
        <v>44593</v>
      </c>
      <c r="AR245" s="3">
        <f t="shared" ref="AR245:AR258" ca="1" si="71">IF($AQ245&lt;&gt;"", INDEX($AC$3:$AC$1057, MATCH($AQ245,$A$3:$A$1057,1)), "")</f>
        <v>558681.52999999968</v>
      </c>
      <c r="AS245" s="63">
        <f ca="1">IF($AQ245&lt;&gt;"", INDEX(Inputs!$B$3:$B$101, MATCH($AQ245,Inputs!$A$3:$A$101,1)), "")</f>
        <v>1E-3</v>
      </c>
      <c r="AT245" s="48">
        <f t="shared" ref="AT245:AT258" ca="1" si="72">IF($AQ245&lt;&gt;"", AR245*AS245/365, "")</f>
        <v>1.5306343287671225</v>
      </c>
      <c r="AU245" s="3">
        <f t="shared" ca="1" si="61"/>
        <v>-1.5306343287671225</v>
      </c>
      <c r="AV245" s="3">
        <f t="shared" ref="AV245:AV258" ca="1" si="73">IF(AQ245&lt;&gt;"", AU245*(1+$X$9/CompoundingRate)^-((AQ245-AQ$3)/(365/CompoundingRate)), "")</f>
        <v>-1.5306343287671225</v>
      </c>
    </row>
    <row r="246" spans="1:48" x14ac:dyDescent="0.2">
      <c r="A246" s="4">
        <v>45121</v>
      </c>
      <c r="B246" s="1" t="s">
        <v>64</v>
      </c>
      <c r="H246" s="3">
        <v>395</v>
      </c>
      <c r="M246" s="3" t="str">
        <f t="shared" si="54"/>
        <v/>
      </c>
      <c r="N246" s="3"/>
      <c r="AA246" s="3">
        <f t="shared" si="55"/>
        <v>3450000</v>
      </c>
      <c r="AB246" s="3">
        <f t="shared" si="63"/>
        <v>3450000.0000000047</v>
      </c>
      <c r="AC246" s="3">
        <f t="shared" si="64"/>
        <v>677478.33999999973</v>
      </c>
      <c r="AD246" s="3">
        <f t="shared" si="65"/>
        <v>2772521.6600000048</v>
      </c>
      <c r="AE246" s="1">
        <f t="shared" ca="1" si="66"/>
        <v>0</v>
      </c>
      <c r="AG246" s="3">
        <f t="shared" si="67"/>
        <v>-395</v>
      </c>
      <c r="AH246" s="1">
        <f t="shared" si="56"/>
        <v>770</v>
      </c>
      <c r="AI246" s="3">
        <f t="shared" si="57"/>
        <v>-395</v>
      </c>
      <c r="AL246" s="3">
        <f t="shared" si="70"/>
        <v>-395</v>
      </c>
      <c r="AM246" s="3">
        <f t="shared" si="59"/>
        <v>-395</v>
      </c>
      <c r="AQ246" s="4">
        <f t="shared" ca="1" si="68"/>
        <v>44594</v>
      </c>
      <c r="AR246" s="3">
        <f t="shared" ca="1" si="71"/>
        <v>558681.52999999968</v>
      </c>
      <c r="AS246" s="63">
        <f ca="1">IF($AQ246&lt;&gt;"", INDEX(Inputs!$B$3:$B$101, MATCH($AQ246,Inputs!$A$3:$A$101,1)), "")</f>
        <v>1E-3</v>
      </c>
      <c r="AT246" s="48">
        <f t="shared" ca="1" si="72"/>
        <v>1.5306343287671225</v>
      </c>
      <c r="AU246" s="3">
        <f t="shared" ca="1" si="61"/>
        <v>-1.5306343287671225</v>
      </c>
      <c r="AV246" s="3">
        <f t="shared" ca="1" si="73"/>
        <v>-1.5306343287671225</v>
      </c>
    </row>
    <row r="247" spans="1:48" x14ac:dyDescent="0.2">
      <c r="A247" s="4">
        <v>45121</v>
      </c>
      <c r="B247" s="1" t="s">
        <v>57</v>
      </c>
      <c r="I247" s="3">
        <v>1900</v>
      </c>
      <c r="M247" s="3" t="str">
        <f t="shared" si="54"/>
        <v/>
      </c>
      <c r="N247" s="3"/>
      <c r="AA247" s="3">
        <f t="shared" si="55"/>
        <v>3450000</v>
      </c>
      <c r="AB247" s="3">
        <f t="shared" si="63"/>
        <v>3450000.0000000047</v>
      </c>
      <c r="AC247" s="3">
        <f t="shared" si="64"/>
        <v>677478.33999999973</v>
      </c>
      <c r="AD247" s="3">
        <f t="shared" si="65"/>
        <v>2772521.6600000048</v>
      </c>
      <c r="AE247" s="1">
        <f t="shared" ca="1" si="66"/>
        <v>1</v>
      </c>
      <c r="AG247" s="3">
        <f t="shared" si="67"/>
        <v>1900</v>
      </c>
      <c r="AH247" s="1">
        <f t="shared" si="56"/>
        <v>770</v>
      </c>
      <c r="AI247" s="3">
        <f t="shared" si="57"/>
        <v>1900</v>
      </c>
      <c r="AL247" s="3">
        <f t="shared" si="70"/>
        <v>1900</v>
      </c>
      <c r="AM247" s="3">
        <f t="shared" si="59"/>
        <v>1900</v>
      </c>
      <c r="AQ247" s="4">
        <f t="shared" ca="1" si="68"/>
        <v>44595</v>
      </c>
      <c r="AR247" s="3">
        <f t="shared" ca="1" si="71"/>
        <v>558681.52999999968</v>
      </c>
      <c r="AS247" s="63">
        <f ca="1">IF($AQ247&lt;&gt;"", INDEX(Inputs!$B$3:$B$101, MATCH($AQ247,Inputs!$A$3:$A$101,1)), "")</f>
        <v>1E-3</v>
      </c>
      <c r="AT247" s="48">
        <f t="shared" ca="1" si="72"/>
        <v>1.5306343287671225</v>
      </c>
      <c r="AU247" s="3">
        <f t="shared" ca="1" si="61"/>
        <v>-1.5306343287671225</v>
      </c>
      <c r="AV247" s="3">
        <f t="shared" ca="1" si="73"/>
        <v>-1.5306343287671225</v>
      </c>
    </row>
    <row r="248" spans="1:48" x14ac:dyDescent="0.2">
      <c r="A248" s="4">
        <v>45122</v>
      </c>
      <c r="B248" s="1" t="s">
        <v>65</v>
      </c>
      <c r="H248" s="3">
        <v>633.08000000000004</v>
      </c>
      <c r="M248" s="3" t="str">
        <f t="shared" si="54"/>
        <v/>
      </c>
      <c r="N248" s="3"/>
      <c r="AA248" s="3">
        <f t="shared" si="55"/>
        <v>3450000</v>
      </c>
      <c r="AB248" s="3">
        <f t="shared" si="63"/>
        <v>3450000.0000000047</v>
      </c>
      <c r="AC248" s="3">
        <f t="shared" si="64"/>
        <v>677478.33999999973</v>
      </c>
      <c r="AD248" s="3">
        <f t="shared" si="65"/>
        <v>2772521.6600000048</v>
      </c>
      <c r="AE248" s="1">
        <f t="shared" ca="1" si="66"/>
        <v>2</v>
      </c>
      <c r="AG248" s="3">
        <f t="shared" si="67"/>
        <v>-633.08000000000004</v>
      </c>
      <c r="AH248" s="1">
        <f t="shared" si="56"/>
        <v>771</v>
      </c>
      <c r="AI248" s="3">
        <f t="shared" si="57"/>
        <v>-633.08000000000004</v>
      </c>
      <c r="AL248" s="3">
        <f t="shared" si="70"/>
        <v>-633.08000000000004</v>
      </c>
      <c r="AM248" s="3">
        <f t="shared" si="59"/>
        <v>-633.08000000000004</v>
      </c>
      <c r="AQ248" s="4">
        <f t="shared" ca="1" si="68"/>
        <v>44596</v>
      </c>
      <c r="AR248" s="3">
        <f t="shared" ca="1" si="71"/>
        <v>558681.52999999968</v>
      </c>
      <c r="AS248" s="63">
        <f ca="1">IF($AQ248&lt;&gt;"", INDEX(Inputs!$B$3:$B$101, MATCH($AQ248,Inputs!$A$3:$A$101,1)), "")</f>
        <v>1E-3</v>
      </c>
      <c r="AT248" s="48">
        <f t="shared" ca="1" si="72"/>
        <v>1.5306343287671225</v>
      </c>
      <c r="AU248" s="3">
        <f t="shared" ca="1" si="61"/>
        <v>1898.4693656712329</v>
      </c>
      <c r="AV248" s="3">
        <f t="shared" ca="1" si="73"/>
        <v>1898.4693656712329</v>
      </c>
    </row>
    <row r="249" spans="1:48" x14ac:dyDescent="0.2">
      <c r="A249" s="4">
        <v>45124</v>
      </c>
      <c r="B249" s="1" t="s">
        <v>104</v>
      </c>
      <c r="F249" s="3">
        <v>9818.51</v>
      </c>
      <c r="M249" s="3" t="str">
        <f t="shared" si="54"/>
        <v/>
      </c>
      <c r="N249" s="3"/>
      <c r="AA249" s="3">
        <f t="shared" si="55"/>
        <v>3450000</v>
      </c>
      <c r="AB249" s="3">
        <f t="shared" si="63"/>
        <v>3450000.0000000047</v>
      </c>
      <c r="AC249" s="3">
        <f t="shared" si="64"/>
        <v>687296.84999999974</v>
      </c>
      <c r="AD249" s="3">
        <f t="shared" si="65"/>
        <v>2762703.150000005</v>
      </c>
      <c r="AE249" s="1">
        <f t="shared" ca="1" si="66"/>
        <v>0</v>
      </c>
      <c r="AG249" s="3">
        <f t="shared" si="67"/>
        <v>-9818.51</v>
      </c>
      <c r="AH249" s="1">
        <f t="shared" si="56"/>
        <v>773</v>
      </c>
      <c r="AI249" s="3">
        <f t="shared" si="57"/>
        <v>-9818.51</v>
      </c>
      <c r="AL249" s="3">
        <f t="shared" si="70"/>
        <v>-9818.51</v>
      </c>
      <c r="AM249" s="3">
        <f t="shared" si="59"/>
        <v>-9818.51</v>
      </c>
      <c r="AQ249" s="4">
        <f t="shared" ca="1" si="68"/>
        <v>44597</v>
      </c>
      <c r="AR249" s="3">
        <f t="shared" ca="1" si="71"/>
        <v>558681.52999999968</v>
      </c>
      <c r="AS249" s="63">
        <f ca="1">IF($AQ249&lt;&gt;"", INDEX(Inputs!$B$3:$B$101, MATCH($AQ249,Inputs!$A$3:$A$101,1)), "")</f>
        <v>1E-3</v>
      </c>
      <c r="AT249" s="48">
        <f t="shared" ca="1" si="72"/>
        <v>1.5306343287671225</v>
      </c>
      <c r="AU249" s="3">
        <f t="shared" ca="1" si="61"/>
        <v>-1.5306343287671225</v>
      </c>
      <c r="AV249" s="3">
        <f t="shared" ca="1" si="73"/>
        <v>-1.5306343287671225</v>
      </c>
    </row>
    <row r="250" spans="1:48" x14ac:dyDescent="0.2">
      <c r="A250" s="4">
        <v>45124</v>
      </c>
      <c r="B250" s="1" t="s">
        <v>105</v>
      </c>
      <c r="F250" s="3">
        <v>2898.5</v>
      </c>
      <c r="M250" s="3" t="str">
        <f t="shared" si="54"/>
        <v/>
      </c>
      <c r="N250" s="3"/>
      <c r="P250" s="3"/>
      <c r="AA250" s="3">
        <f t="shared" si="55"/>
        <v>3450000</v>
      </c>
      <c r="AB250" s="3">
        <f t="shared" si="63"/>
        <v>3450000.0000000047</v>
      </c>
      <c r="AC250" s="3">
        <f t="shared" si="64"/>
        <v>690195.34999999974</v>
      </c>
      <c r="AD250" s="3">
        <f t="shared" si="65"/>
        <v>2759804.650000005</v>
      </c>
      <c r="AE250" s="1">
        <f t="shared" ca="1" si="66"/>
        <v>4</v>
      </c>
      <c r="AG250" s="3">
        <f t="shared" si="67"/>
        <v>-2898.5</v>
      </c>
      <c r="AH250" s="1">
        <f t="shared" si="56"/>
        <v>773</v>
      </c>
      <c r="AI250" s="3">
        <f t="shared" si="57"/>
        <v>-2898.5</v>
      </c>
      <c r="AL250" s="3">
        <f t="shared" si="70"/>
        <v>-2898.5</v>
      </c>
      <c r="AM250" s="3">
        <f t="shared" si="59"/>
        <v>-2898.5</v>
      </c>
      <c r="AQ250" s="4">
        <f t="shared" ca="1" si="68"/>
        <v>44598</v>
      </c>
      <c r="AR250" s="3">
        <f t="shared" ca="1" si="71"/>
        <v>558681.52999999968</v>
      </c>
      <c r="AS250" s="63">
        <f ca="1">IF($AQ250&lt;&gt;"", INDEX(Inputs!$B$3:$B$101, MATCH($AQ250,Inputs!$A$3:$A$101,1)), "")</f>
        <v>1E-3</v>
      </c>
      <c r="AT250" s="48">
        <f t="shared" ca="1" si="72"/>
        <v>1.5306343287671225</v>
      </c>
      <c r="AU250" s="3">
        <f t="shared" ca="1" si="61"/>
        <v>-1.5306343287671225</v>
      </c>
      <c r="AV250" s="3">
        <f t="shared" ca="1" si="73"/>
        <v>-1.5306343287671225</v>
      </c>
    </row>
    <row r="251" spans="1:48" x14ac:dyDescent="0.2">
      <c r="A251" s="4">
        <v>45128</v>
      </c>
      <c r="B251" s="1" t="s">
        <v>57</v>
      </c>
      <c r="I251" s="3">
        <v>1900</v>
      </c>
      <c r="M251" s="3" t="str">
        <f t="shared" si="54"/>
        <v/>
      </c>
      <c r="N251" s="3"/>
      <c r="AA251" s="3">
        <f t="shared" si="55"/>
        <v>3450000</v>
      </c>
      <c r="AB251" s="3">
        <f t="shared" si="63"/>
        <v>3450000.0000000047</v>
      </c>
      <c r="AC251" s="3">
        <f t="shared" si="64"/>
        <v>690195.34999999974</v>
      </c>
      <c r="AD251" s="3">
        <f t="shared" si="65"/>
        <v>2759804.650000005</v>
      </c>
      <c r="AE251" s="1">
        <f t="shared" ca="1" si="66"/>
        <v>7</v>
      </c>
      <c r="AG251" s="3">
        <f t="shared" si="67"/>
        <v>1900</v>
      </c>
      <c r="AH251" s="1">
        <f t="shared" si="56"/>
        <v>777</v>
      </c>
      <c r="AI251" s="3">
        <f t="shared" si="57"/>
        <v>1900</v>
      </c>
      <c r="AL251" s="3">
        <f t="shared" si="70"/>
        <v>1900</v>
      </c>
      <c r="AM251" s="3">
        <f t="shared" si="59"/>
        <v>1900</v>
      </c>
      <c r="AQ251" s="4">
        <f t="shared" ca="1" si="68"/>
        <v>44599</v>
      </c>
      <c r="AR251" s="3">
        <f t="shared" ca="1" si="71"/>
        <v>558681.52999999968</v>
      </c>
      <c r="AS251" s="63">
        <f ca="1">IF($AQ251&lt;&gt;"", INDEX(Inputs!$B$3:$B$101, MATCH($AQ251,Inputs!$A$3:$A$101,1)), "")</f>
        <v>1E-3</v>
      </c>
      <c r="AT251" s="48">
        <f t="shared" ca="1" si="72"/>
        <v>1.5306343287671225</v>
      </c>
      <c r="AU251" s="3">
        <f t="shared" ca="1" si="61"/>
        <v>-1.5306343287671225</v>
      </c>
      <c r="AV251" s="3">
        <f t="shared" ca="1" si="73"/>
        <v>-1.5306343287671225</v>
      </c>
    </row>
    <row r="252" spans="1:48" x14ac:dyDescent="0.2">
      <c r="A252" s="4">
        <v>45135</v>
      </c>
      <c r="B252" s="1" t="s">
        <v>57</v>
      </c>
      <c r="I252" s="3">
        <v>1900</v>
      </c>
      <c r="M252" s="3" t="str">
        <f t="shared" si="54"/>
        <v/>
      </c>
      <c r="N252" s="3"/>
      <c r="AA252" s="3">
        <f t="shared" si="55"/>
        <v>3450000</v>
      </c>
      <c r="AB252" s="3">
        <f t="shared" si="63"/>
        <v>3450000.0000000047</v>
      </c>
      <c r="AC252" s="3">
        <f t="shared" si="64"/>
        <v>690195.34999999974</v>
      </c>
      <c r="AD252" s="3">
        <f t="shared" si="65"/>
        <v>2759804.650000005</v>
      </c>
      <c r="AE252" s="1">
        <f t="shared" ca="1" si="66"/>
        <v>3</v>
      </c>
      <c r="AG252" s="3">
        <f t="shared" si="67"/>
        <v>1900</v>
      </c>
      <c r="AH252" s="1">
        <f t="shared" si="56"/>
        <v>784</v>
      </c>
      <c r="AI252" s="3">
        <f t="shared" si="57"/>
        <v>1900</v>
      </c>
      <c r="AL252" s="3">
        <f t="shared" si="70"/>
        <v>1900</v>
      </c>
      <c r="AM252" s="3">
        <f t="shared" si="59"/>
        <v>1900</v>
      </c>
      <c r="AQ252" s="4">
        <f t="shared" ca="1" si="68"/>
        <v>44600</v>
      </c>
      <c r="AR252" s="3">
        <f t="shared" ca="1" si="71"/>
        <v>558681.52999999968</v>
      </c>
      <c r="AS252" s="63">
        <f ca="1">IF($AQ252&lt;&gt;"", INDEX(Inputs!$B$3:$B$101, MATCH($AQ252,Inputs!$A$3:$A$101,1)), "")</f>
        <v>1E-3</v>
      </c>
      <c r="AT252" s="48">
        <f t="shared" ca="1" si="72"/>
        <v>1.5306343287671225</v>
      </c>
      <c r="AU252" s="3">
        <f t="shared" ca="1" si="61"/>
        <v>-1.5306343287671225</v>
      </c>
      <c r="AV252" s="3">
        <f t="shared" ca="1" si="73"/>
        <v>-1.5306343287671225</v>
      </c>
    </row>
    <row r="253" spans="1:48" x14ac:dyDescent="0.2">
      <c r="A253" s="4">
        <v>45138</v>
      </c>
      <c r="B253" s="1" t="s">
        <v>103</v>
      </c>
      <c r="G253" s="3">
        <v>4060.71</v>
      </c>
      <c r="M253" s="3" t="str">
        <f t="shared" si="54"/>
        <v/>
      </c>
      <c r="N253" s="3"/>
      <c r="AA253" s="3">
        <f t="shared" si="55"/>
        <v>3450000</v>
      </c>
      <c r="AB253" s="3">
        <f t="shared" si="63"/>
        <v>3450000.0000000047</v>
      </c>
      <c r="AC253" s="3">
        <f t="shared" si="64"/>
        <v>686134.63999999978</v>
      </c>
      <c r="AD253" s="3">
        <f t="shared" si="65"/>
        <v>2763865.360000005</v>
      </c>
      <c r="AE253" s="1">
        <f t="shared" ca="1" si="66"/>
        <v>0</v>
      </c>
      <c r="AG253" s="3">
        <f t="shared" si="67"/>
        <v>0</v>
      </c>
      <c r="AH253" s="1">
        <f t="shared" si="56"/>
        <v>787</v>
      </c>
      <c r="AI253" s="3">
        <f t="shared" si="57"/>
        <v>0</v>
      </c>
      <c r="AL253" s="3">
        <f t="shared" si="70"/>
        <v>0</v>
      </c>
      <c r="AM253" s="3">
        <f t="shared" si="59"/>
        <v>0</v>
      </c>
      <c r="AQ253" s="4">
        <f t="shared" ca="1" si="68"/>
        <v>44601</v>
      </c>
      <c r="AR253" s="3">
        <f t="shared" ca="1" si="71"/>
        <v>558681.52999999968</v>
      </c>
      <c r="AS253" s="63">
        <f ca="1">IF($AQ253&lt;&gt;"", INDEX(Inputs!$B$3:$B$101, MATCH($AQ253,Inputs!$A$3:$A$101,1)), "")</f>
        <v>1E-3</v>
      </c>
      <c r="AT253" s="48">
        <f t="shared" ca="1" si="72"/>
        <v>1.5306343287671225</v>
      </c>
      <c r="AU253" s="3">
        <f t="shared" ca="1" si="61"/>
        <v>-1.5306343287671225</v>
      </c>
      <c r="AV253" s="3">
        <f t="shared" ca="1" si="73"/>
        <v>-1.5306343287671225</v>
      </c>
    </row>
    <row r="254" spans="1:48" x14ac:dyDescent="0.2">
      <c r="A254" s="4">
        <v>45138</v>
      </c>
      <c r="B254" s="1" t="s">
        <v>106</v>
      </c>
      <c r="G254" s="3">
        <v>170.77</v>
      </c>
      <c r="M254" s="3" t="str">
        <f t="shared" si="54"/>
        <v/>
      </c>
      <c r="N254" s="3"/>
      <c r="P254" s="3"/>
      <c r="AA254" s="3">
        <f t="shared" si="55"/>
        <v>3450000</v>
      </c>
      <c r="AB254" s="3">
        <f t="shared" si="63"/>
        <v>3450000.0000000047</v>
      </c>
      <c r="AC254" s="3">
        <f t="shared" si="64"/>
        <v>685963.86999999976</v>
      </c>
      <c r="AD254" s="3">
        <f t="shared" si="65"/>
        <v>2764036.130000005</v>
      </c>
      <c r="AE254" s="1">
        <f t="shared" ca="1" si="66"/>
        <v>1</v>
      </c>
      <c r="AG254" s="3">
        <f t="shared" si="67"/>
        <v>0</v>
      </c>
      <c r="AH254" s="1">
        <f t="shared" si="56"/>
        <v>787</v>
      </c>
      <c r="AI254" s="3">
        <f t="shared" si="57"/>
        <v>0</v>
      </c>
      <c r="AL254" s="3">
        <f t="shared" si="70"/>
        <v>0</v>
      </c>
      <c r="AM254" s="3">
        <f t="shared" si="59"/>
        <v>0</v>
      </c>
      <c r="AQ254" s="4">
        <f t="shared" ca="1" si="68"/>
        <v>44602</v>
      </c>
      <c r="AR254" s="3">
        <f t="shared" ca="1" si="71"/>
        <v>558681.52999999968</v>
      </c>
      <c r="AS254" s="63">
        <f ca="1">IF($AQ254&lt;&gt;"", INDEX(Inputs!$B$3:$B$101, MATCH($AQ254,Inputs!$A$3:$A$101,1)), "")</f>
        <v>1E-3</v>
      </c>
      <c r="AT254" s="48">
        <f t="shared" ca="1" si="72"/>
        <v>1.5306343287671225</v>
      </c>
      <c r="AU254" s="3">
        <f t="shared" ca="1" si="61"/>
        <v>-1.5306343287671225</v>
      </c>
      <c r="AV254" s="3">
        <f t="shared" ca="1" si="73"/>
        <v>-1.5306343287671225</v>
      </c>
    </row>
    <row r="255" spans="1:48" x14ac:dyDescent="0.2">
      <c r="A255" s="4">
        <v>45139</v>
      </c>
      <c r="B255" s="1" t="s">
        <v>50</v>
      </c>
      <c r="H255" s="3">
        <v>3124</v>
      </c>
      <c r="M255" s="3" t="str">
        <f t="shared" si="54"/>
        <v/>
      </c>
      <c r="N255" s="3"/>
      <c r="AA255" s="3">
        <f t="shared" si="55"/>
        <v>3450000</v>
      </c>
      <c r="AB255" s="3">
        <f t="shared" si="63"/>
        <v>3450000.0000000047</v>
      </c>
      <c r="AC255" s="3">
        <f t="shared" si="64"/>
        <v>685963.86999999976</v>
      </c>
      <c r="AD255" s="3">
        <f t="shared" si="65"/>
        <v>2764036.130000005</v>
      </c>
      <c r="AE255" s="1">
        <f t="shared" ca="1" si="66"/>
        <v>15</v>
      </c>
      <c r="AG255" s="3">
        <f t="shared" si="67"/>
        <v>-3124</v>
      </c>
      <c r="AH255" s="1">
        <f t="shared" si="56"/>
        <v>788</v>
      </c>
      <c r="AI255" s="3">
        <f t="shared" si="57"/>
        <v>-3124</v>
      </c>
      <c r="AL255" s="3">
        <f t="shared" si="70"/>
        <v>-3124</v>
      </c>
      <c r="AM255" s="3">
        <f t="shared" si="59"/>
        <v>-3124</v>
      </c>
      <c r="AQ255" s="4">
        <f t="shared" ca="1" si="68"/>
        <v>44603</v>
      </c>
      <c r="AR255" s="3">
        <f t="shared" ca="1" si="71"/>
        <v>558681.52999999968</v>
      </c>
      <c r="AS255" s="63">
        <f ca="1">IF($AQ255&lt;&gt;"", INDEX(Inputs!$B$3:$B$101, MATCH($AQ255,Inputs!$A$3:$A$101,1)), "")</f>
        <v>1E-3</v>
      </c>
      <c r="AT255" s="48">
        <f t="shared" ca="1" si="72"/>
        <v>1.5306343287671225</v>
      </c>
      <c r="AU255" s="3">
        <f t="shared" ca="1" si="61"/>
        <v>1898.4693656712329</v>
      </c>
      <c r="AV255" s="3">
        <f t="shared" ca="1" si="73"/>
        <v>1898.4693656712329</v>
      </c>
    </row>
    <row r="256" spans="1:48" x14ac:dyDescent="0.2">
      <c r="A256" s="4">
        <v>45154</v>
      </c>
      <c r="B256" s="1" t="s">
        <v>104</v>
      </c>
      <c r="F256" s="3">
        <v>9818.51</v>
      </c>
      <c r="M256" s="3" t="str">
        <f t="shared" si="54"/>
        <v/>
      </c>
      <c r="N256" s="3"/>
      <c r="AA256" s="3">
        <f t="shared" si="55"/>
        <v>3450000</v>
      </c>
      <c r="AB256" s="3">
        <f t="shared" si="63"/>
        <v>3450000.0000000051</v>
      </c>
      <c r="AC256" s="3">
        <f t="shared" si="64"/>
        <v>695782.37999999977</v>
      </c>
      <c r="AD256" s="3">
        <f t="shared" si="65"/>
        <v>2754217.6200000052</v>
      </c>
      <c r="AE256" s="1">
        <f t="shared" ca="1" si="66"/>
        <v>0</v>
      </c>
      <c r="AG256" s="3">
        <f t="shared" si="67"/>
        <v>-9818.51</v>
      </c>
      <c r="AH256" s="1">
        <f t="shared" si="56"/>
        <v>803</v>
      </c>
      <c r="AI256" s="3">
        <f t="shared" si="57"/>
        <v>-9818.51</v>
      </c>
      <c r="AL256" s="3">
        <f t="shared" si="70"/>
        <v>-9818.51</v>
      </c>
      <c r="AM256" s="3">
        <f t="shared" si="59"/>
        <v>-9818.51</v>
      </c>
      <c r="AQ256" s="4">
        <f t="shared" ca="1" si="68"/>
        <v>44604</v>
      </c>
      <c r="AR256" s="3">
        <f t="shared" ca="1" si="71"/>
        <v>558681.52999999968</v>
      </c>
      <c r="AS256" s="63">
        <f ca="1">IF($AQ256&lt;&gt;"", INDEX(Inputs!$B$3:$B$101, MATCH($AQ256,Inputs!$A$3:$A$101,1)), "")</f>
        <v>1E-3</v>
      </c>
      <c r="AT256" s="48">
        <f t="shared" ca="1" si="72"/>
        <v>1.5306343287671225</v>
      </c>
      <c r="AU256" s="3">
        <f t="shared" ca="1" si="61"/>
        <v>-1.5306343287671225</v>
      </c>
      <c r="AV256" s="3">
        <f t="shared" ca="1" si="73"/>
        <v>-1.5306343287671225</v>
      </c>
    </row>
    <row r="257" spans="1:48" x14ac:dyDescent="0.2">
      <c r="A257" s="4">
        <v>45154</v>
      </c>
      <c r="B257" s="1" t="s">
        <v>105</v>
      </c>
      <c r="F257" s="3">
        <v>2898.5</v>
      </c>
      <c r="M257" s="3" t="str">
        <f t="shared" si="54"/>
        <v/>
      </c>
      <c r="N257" s="3"/>
      <c r="P257" s="3"/>
      <c r="AA257" s="3">
        <f t="shared" si="55"/>
        <v>3450000</v>
      </c>
      <c r="AB257" s="3">
        <f t="shared" si="63"/>
        <v>3450000.0000000051</v>
      </c>
      <c r="AC257" s="3">
        <f t="shared" si="64"/>
        <v>698680.87999999977</v>
      </c>
      <c r="AD257" s="3">
        <f t="shared" si="65"/>
        <v>2751319.1200000052</v>
      </c>
      <c r="AE257" s="1">
        <f t="shared" ca="1" si="66"/>
        <v>2</v>
      </c>
      <c r="AG257" s="3">
        <f t="shared" si="67"/>
        <v>-2898.5</v>
      </c>
      <c r="AH257" s="1">
        <f t="shared" si="56"/>
        <v>803</v>
      </c>
      <c r="AI257" s="3">
        <f t="shared" si="57"/>
        <v>-2898.5</v>
      </c>
      <c r="AL257" s="3">
        <f t="shared" si="70"/>
        <v>-2898.5</v>
      </c>
      <c r="AM257" s="3">
        <f t="shared" si="59"/>
        <v>-2898.5</v>
      </c>
      <c r="AQ257" s="4">
        <f t="shared" ca="1" si="68"/>
        <v>44605</v>
      </c>
      <c r="AR257" s="3">
        <f t="shared" ca="1" si="71"/>
        <v>558681.52999999968</v>
      </c>
      <c r="AS257" s="63">
        <f ca="1">IF($AQ257&lt;&gt;"", INDEX(Inputs!$B$3:$B$101, MATCH($AQ257,Inputs!$A$3:$A$101,1)), "")</f>
        <v>1E-3</v>
      </c>
      <c r="AT257" s="48">
        <f t="shared" ca="1" si="72"/>
        <v>1.5306343287671225</v>
      </c>
      <c r="AU257" s="3">
        <f t="shared" ca="1" si="61"/>
        <v>-1.5306343287671225</v>
      </c>
      <c r="AV257" s="3">
        <f t="shared" ca="1" si="73"/>
        <v>-1.5306343287671225</v>
      </c>
    </row>
    <row r="258" spans="1:48" x14ac:dyDescent="0.2">
      <c r="A258" s="4">
        <v>45156</v>
      </c>
      <c r="B258" s="1" t="s">
        <v>57</v>
      </c>
      <c r="I258" s="3">
        <v>7600</v>
      </c>
      <c r="M258" s="3" t="str">
        <f t="shared" si="54"/>
        <v/>
      </c>
      <c r="N258" s="3"/>
      <c r="AA258" s="3">
        <f t="shared" si="55"/>
        <v>3450000</v>
      </c>
      <c r="AB258" s="3">
        <f t="shared" si="63"/>
        <v>3450000.0000000051</v>
      </c>
      <c r="AC258" s="3">
        <f t="shared" si="64"/>
        <v>698680.87999999977</v>
      </c>
      <c r="AD258" s="3">
        <f t="shared" si="65"/>
        <v>2751319.1200000052</v>
      </c>
      <c r="AE258" s="1">
        <f t="shared" ca="1" si="66"/>
        <v>13</v>
      </c>
      <c r="AG258" s="3">
        <f t="shared" si="67"/>
        <v>7600</v>
      </c>
      <c r="AH258" s="1">
        <f t="shared" si="56"/>
        <v>805</v>
      </c>
      <c r="AI258" s="3">
        <f t="shared" si="57"/>
        <v>7600</v>
      </c>
      <c r="AL258" s="3">
        <f t="shared" si="70"/>
        <v>7600</v>
      </c>
      <c r="AM258" s="3">
        <f t="shared" si="59"/>
        <v>7600</v>
      </c>
      <c r="AQ258" s="4">
        <f t="shared" ca="1" si="68"/>
        <v>44606</v>
      </c>
      <c r="AR258" s="3">
        <f t="shared" ca="1" si="71"/>
        <v>558681.52999999968</v>
      </c>
      <c r="AS258" s="63">
        <f ca="1">IF($AQ258&lt;&gt;"", INDEX(Inputs!$B$3:$B$101, MATCH($AQ258,Inputs!$A$3:$A$101,1)), "")</f>
        <v>1E-3</v>
      </c>
      <c r="AT258" s="48">
        <f t="shared" ca="1" si="72"/>
        <v>1.5306343287671225</v>
      </c>
      <c r="AU258" s="3">
        <f t="shared" ca="1" si="61"/>
        <v>-1.5306343287671225</v>
      </c>
      <c r="AV258" s="3">
        <f t="shared" ca="1" si="73"/>
        <v>-1.5306343287671225</v>
      </c>
    </row>
    <row r="259" spans="1:48" x14ac:dyDescent="0.2">
      <c r="A259" s="4">
        <v>45169</v>
      </c>
      <c r="B259" s="1" t="s">
        <v>103</v>
      </c>
      <c r="G259" s="3">
        <v>4049.98</v>
      </c>
      <c r="M259" s="3" t="str">
        <f t="shared" ref="M259:M322" si="74">IF($A259&lt;&gt;"", IF(ISNUMBER(SEARCH("Debt Cost (est.)",B259)), SUMIFS(AT:AT, AQ:AQ, "&gt;="&amp;DATE("20"&amp;RIGHT(LEFT(B259,4),2)-1,7,1), AQ:AQ, "&lt;="&amp;DATE("20"&amp;RIGHT(LEFT(B259,4),2),6,30)), ""), "")</f>
        <v/>
      </c>
      <c r="N259" s="3"/>
      <c r="AA259" s="3">
        <f t="shared" ref="AA259:AA322" si="75">IF($A259&lt;&gt;"", MIN(AB259,$P$3), "")</f>
        <v>3450000</v>
      </c>
      <c r="AB259" s="3">
        <f t="shared" si="63"/>
        <v>3450000.0000000051</v>
      </c>
      <c r="AC259" s="3">
        <f t="shared" si="64"/>
        <v>694630.89999999979</v>
      </c>
      <c r="AD259" s="3">
        <f t="shared" si="65"/>
        <v>2755369.1000000052</v>
      </c>
      <c r="AE259" s="1">
        <f t="shared" ca="1" si="66"/>
        <v>0</v>
      </c>
      <c r="AG259" s="3">
        <f t="shared" si="67"/>
        <v>0</v>
      </c>
      <c r="AH259" s="1">
        <f t="shared" ref="AH259:AH322" si="76">IF(A259&lt;&gt;"", A259-A$3, "")</f>
        <v>818</v>
      </c>
      <c r="AI259" s="3">
        <f t="shared" ref="AI259:AI322" si="77">IF(A259&lt;&gt;"", AG259*(1+$X$3)^-(AH259/365), "")</f>
        <v>0</v>
      </c>
      <c r="AL259" s="3">
        <f t="shared" si="58"/>
        <v>0</v>
      </c>
      <c r="AM259" s="3">
        <f t="shared" ref="AM259:AM322" si="78">IF(A259&lt;&gt;"", AL259*(1+$X$6/CompoundingRate)^-(AH259/(365/CompoundingRate)), "")</f>
        <v>0</v>
      </c>
      <c r="AQ259" s="4">
        <f t="shared" ca="1" si="68"/>
        <v>44607</v>
      </c>
      <c r="AR259" s="3">
        <f t="shared" ref="AR259:AR290" ca="1" si="79">IF($AQ259&lt;&gt;"", INDEX($AC$3:$AC$1055, MATCH($AQ259,$A$3:$A$1055,1)), "")</f>
        <v>558681.52999999968</v>
      </c>
      <c r="AS259" s="63">
        <f ca="1">IF($AQ259&lt;&gt;"", INDEX(Inputs!$B$3:$B$101, MATCH($AQ259,Inputs!$A$3:$A$101,1)), "")</f>
        <v>1E-3</v>
      </c>
      <c r="AT259" s="48">
        <f t="shared" ca="1" si="69"/>
        <v>1.5306343287671225</v>
      </c>
      <c r="AU259" s="3">
        <f t="shared" ref="AU259:AU322" ca="1" si="80">IF($AQ259&lt;&gt;"", SUMIFS($AL$3:$AL$1054, $A$3:$A$1054,$AQ259) + SUMIFS($M$3:$M$1054, $A$3:$A$1054,$AQ259)*IFERROR(AVERAGEIFS($L$3:$L$1054, $A$3:$A$1054,$AQ259, $M$3:$M$1054,"&gt;0"),0) - AT259, "")</f>
        <v>-1.5306343287671225</v>
      </c>
      <c r="AV259" s="3">
        <f t="shared" ca="1" si="62"/>
        <v>-1.5306343287671225</v>
      </c>
    </row>
    <row r="260" spans="1:48" x14ac:dyDescent="0.2">
      <c r="A260" s="4">
        <v>45169</v>
      </c>
      <c r="B260" s="1" t="s">
        <v>106</v>
      </c>
      <c r="G260" s="3">
        <v>12.03</v>
      </c>
      <c r="M260" s="3" t="str">
        <f t="shared" si="74"/>
        <v/>
      </c>
      <c r="N260" s="3"/>
      <c r="P260" s="3"/>
      <c r="AA260" s="3">
        <f t="shared" si="75"/>
        <v>3450000</v>
      </c>
      <c r="AB260" s="3">
        <f t="shared" ref="AB260:AB323" si="81">IF($A260&lt;&gt;"", AC260+AD260, "")</f>
        <v>3450000.0000000047</v>
      </c>
      <c r="AC260" s="3">
        <f t="shared" ref="AC260:AC323" si="82">IF(A260&lt;&gt;"", AC259+D260+F260-G260, "")</f>
        <v>694618.86999999976</v>
      </c>
      <c r="AD260" s="3">
        <f t="shared" ref="AD260:AD323" si="83">IF(A260&lt;&gt;"", AD259+C260-F260+G260, "")</f>
        <v>2755381.130000005</v>
      </c>
      <c r="AE260" s="1">
        <f t="shared" ref="AE260:AE323" ca="1" si="84">IF(A261&lt;&gt;"", A261-A260, IF(A260&lt;&gt;"",IF(AC260&lt;&gt;0,TODAY()-A260,0), ""))</f>
        <v>6</v>
      </c>
      <c r="AG260" s="3">
        <f t="shared" ref="AG260:AG323" si="85">IF($A260&lt;&gt;"", I260+J260+E260-F260-H260, "")</f>
        <v>0</v>
      </c>
      <c r="AH260" s="1">
        <f t="shared" si="76"/>
        <v>818</v>
      </c>
      <c r="AI260" s="3">
        <f t="shared" si="77"/>
        <v>0</v>
      </c>
      <c r="AL260" s="3">
        <f t="shared" ref="AL260:AL314" si="86">IF($A260&lt;&gt;"", AG260-IF(ISNUMBER(K260),K260*L260,0), "")</f>
        <v>0</v>
      </c>
      <c r="AM260" s="3">
        <f t="shared" si="78"/>
        <v>0</v>
      </c>
      <c r="AQ260" s="4">
        <f t="shared" ca="1" si="68"/>
        <v>44608</v>
      </c>
      <c r="AR260" s="3">
        <f t="shared" ca="1" si="79"/>
        <v>570732.47999999963</v>
      </c>
      <c r="AS260" s="63">
        <f ca="1">IF($AQ260&lt;&gt;"", INDEX(Inputs!$B$3:$B$101, MATCH($AQ260,Inputs!$A$3:$A$101,1)), "")</f>
        <v>1E-3</v>
      </c>
      <c r="AT260" s="48">
        <f t="shared" ca="1" si="69"/>
        <v>1.5636506301369855</v>
      </c>
      <c r="AU260" s="3">
        <f t="shared" ca="1" si="80"/>
        <v>-12052.513650630137</v>
      </c>
      <c r="AV260" s="3">
        <f t="shared" ref="AV260:AV314" ca="1" si="87">IF(AQ260&lt;&gt;"", AU260*(1+$X$9/CompoundingRate)^-((AQ260-AQ$3)/(365/CompoundingRate)), "")</f>
        <v>-12052.513650630137</v>
      </c>
    </row>
    <row r="261" spans="1:48" x14ac:dyDescent="0.2">
      <c r="A261" s="4">
        <v>45175</v>
      </c>
      <c r="B261" s="1" t="s">
        <v>66</v>
      </c>
      <c r="I261" s="3">
        <v>10400</v>
      </c>
      <c r="M261" s="3" t="str">
        <f t="shared" si="74"/>
        <v/>
      </c>
      <c r="N261" s="3"/>
      <c r="AA261" s="3">
        <f t="shared" si="75"/>
        <v>3450000</v>
      </c>
      <c r="AB261" s="3">
        <f t="shared" si="81"/>
        <v>3450000.0000000047</v>
      </c>
      <c r="AC261" s="3">
        <f t="shared" si="82"/>
        <v>694618.86999999976</v>
      </c>
      <c r="AD261" s="3">
        <f t="shared" si="83"/>
        <v>2755381.130000005</v>
      </c>
      <c r="AE261" s="1">
        <f t="shared" ca="1" si="84"/>
        <v>12</v>
      </c>
      <c r="AG261" s="3">
        <f t="shared" si="85"/>
        <v>10400</v>
      </c>
      <c r="AH261" s="1">
        <f t="shared" si="76"/>
        <v>824</v>
      </c>
      <c r="AI261" s="3">
        <f t="shared" si="77"/>
        <v>10400</v>
      </c>
      <c r="AL261" s="3">
        <f t="shared" si="86"/>
        <v>10400</v>
      </c>
      <c r="AM261" s="3">
        <f t="shared" si="78"/>
        <v>10400</v>
      </c>
      <c r="AQ261" s="4">
        <f t="shared" ca="1" si="68"/>
        <v>44609</v>
      </c>
      <c r="AR261" s="3">
        <f t="shared" ca="1" si="79"/>
        <v>570732.47999999963</v>
      </c>
      <c r="AS261" s="63">
        <f ca="1">IF($AQ261&lt;&gt;"", INDEX(Inputs!$B$3:$B$101, MATCH($AQ261,Inputs!$A$3:$A$101,1)), "")</f>
        <v>1E-3</v>
      </c>
      <c r="AT261" s="48">
        <f t="shared" ca="1" si="69"/>
        <v>1.5636506301369855</v>
      </c>
      <c r="AU261" s="3">
        <f t="shared" ca="1" si="80"/>
        <v>-1.5636506301369855</v>
      </c>
      <c r="AV261" s="3">
        <f t="shared" ca="1" si="87"/>
        <v>-1.5636506301369855</v>
      </c>
    </row>
    <row r="262" spans="1:48" x14ac:dyDescent="0.2">
      <c r="A262" s="4">
        <v>45187</v>
      </c>
      <c r="B262" s="1" t="s">
        <v>104</v>
      </c>
      <c r="F262" s="3">
        <v>9818.51</v>
      </c>
      <c r="M262" s="3" t="str">
        <f t="shared" si="74"/>
        <v/>
      </c>
      <c r="N262" s="3"/>
      <c r="AA262" s="3">
        <f t="shared" si="75"/>
        <v>3450000</v>
      </c>
      <c r="AB262" s="3">
        <f t="shared" si="81"/>
        <v>3450000.0000000051</v>
      </c>
      <c r="AC262" s="3">
        <f t="shared" si="82"/>
        <v>704437.37999999977</v>
      </c>
      <c r="AD262" s="3">
        <f t="shared" si="83"/>
        <v>2745562.6200000052</v>
      </c>
      <c r="AE262" s="1">
        <f t="shared" ca="1" si="84"/>
        <v>0</v>
      </c>
      <c r="AG262" s="3">
        <f t="shared" si="85"/>
        <v>-9818.51</v>
      </c>
      <c r="AH262" s="1">
        <f t="shared" si="76"/>
        <v>836</v>
      </c>
      <c r="AI262" s="3">
        <f t="shared" si="77"/>
        <v>-9818.51</v>
      </c>
      <c r="AL262" s="3">
        <f t="shared" si="86"/>
        <v>-9818.51</v>
      </c>
      <c r="AM262" s="3">
        <f t="shared" si="78"/>
        <v>-9818.51</v>
      </c>
      <c r="AQ262" s="4">
        <f t="shared" ca="1" si="68"/>
        <v>44610</v>
      </c>
      <c r="AR262" s="3">
        <f t="shared" ca="1" si="79"/>
        <v>570732.47999999963</v>
      </c>
      <c r="AS262" s="63">
        <f ca="1">IF($AQ262&lt;&gt;"", INDEX(Inputs!$B$3:$B$101, MATCH($AQ262,Inputs!$A$3:$A$101,1)), "")</f>
        <v>1E-3</v>
      </c>
      <c r="AT262" s="48">
        <f t="shared" ca="1" si="69"/>
        <v>1.5636506301369855</v>
      </c>
      <c r="AU262" s="3">
        <f t="shared" ca="1" si="80"/>
        <v>1898.4363493698629</v>
      </c>
      <c r="AV262" s="3">
        <f t="shared" ca="1" si="87"/>
        <v>1898.4363493698629</v>
      </c>
    </row>
    <row r="263" spans="1:48" x14ac:dyDescent="0.2">
      <c r="A263" s="4">
        <v>45187</v>
      </c>
      <c r="B263" s="1" t="s">
        <v>105</v>
      </c>
      <c r="F263" s="3">
        <v>2898.5</v>
      </c>
      <c r="M263" s="3" t="str">
        <f t="shared" si="74"/>
        <v/>
      </c>
      <c r="N263" s="3"/>
      <c r="P263" s="3"/>
      <c r="AA263" s="3">
        <f t="shared" si="75"/>
        <v>3450000</v>
      </c>
      <c r="AB263" s="3">
        <f t="shared" si="81"/>
        <v>3450000.0000000051</v>
      </c>
      <c r="AC263" s="3">
        <f t="shared" si="82"/>
        <v>707335.87999999977</v>
      </c>
      <c r="AD263" s="3">
        <f t="shared" si="83"/>
        <v>2742664.1200000052</v>
      </c>
      <c r="AE263" s="1">
        <f t="shared" ca="1" si="84"/>
        <v>7</v>
      </c>
      <c r="AG263" s="3">
        <f t="shared" si="85"/>
        <v>-2898.5</v>
      </c>
      <c r="AH263" s="1">
        <f t="shared" si="76"/>
        <v>836</v>
      </c>
      <c r="AI263" s="3">
        <f t="shared" si="77"/>
        <v>-2898.5</v>
      </c>
      <c r="AL263" s="3">
        <f t="shared" si="86"/>
        <v>-2898.5</v>
      </c>
      <c r="AM263" s="3">
        <f t="shared" si="78"/>
        <v>-2898.5</v>
      </c>
      <c r="AQ263" s="4">
        <f t="shared" ca="1" si="68"/>
        <v>44611</v>
      </c>
      <c r="AR263" s="3">
        <f t="shared" ca="1" si="79"/>
        <v>570732.47999999963</v>
      </c>
      <c r="AS263" s="63">
        <f ca="1">IF($AQ263&lt;&gt;"", INDEX(Inputs!$B$3:$B$101, MATCH($AQ263,Inputs!$A$3:$A$101,1)), "")</f>
        <v>1E-3</v>
      </c>
      <c r="AT263" s="48">
        <f t="shared" ca="1" si="69"/>
        <v>1.5636506301369855</v>
      </c>
      <c r="AU263" s="3">
        <f t="shared" ca="1" si="80"/>
        <v>-1.5636506301369855</v>
      </c>
      <c r="AV263" s="3">
        <f t="shared" ca="1" si="87"/>
        <v>-1.5636506301369855</v>
      </c>
    </row>
    <row r="264" spans="1:48" x14ac:dyDescent="0.2">
      <c r="A264" s="4">
        <v>45194</v>
      </c>
      <c r="B264" s="1" t="s">
        <v>80</v>
      </c>
      <c r="H264" s="3">
        <v>286.45</v>
      </c>
      <c r="M264" s="3" t="str">
        <f t="shared" si="74"/>
        <v/>
      </c>
      <c r="N264" s="3"/>
      <c r="P264" s="3"/>
      <c r="AA264" s="3">
        <f t="shared" si="75"/>
        <v>3450000</v>
      </c>
      <c r="AB264" s="3">
        <f t="shared" si="81"/>
        <v>3450000.0000000051</v>
      </c>
      <c r="AC264" s="3">
        <f t="shared" si="82"/>
        <v>707335.87999999977</v>
      </c>
      <c r="AD264" s="3">
        <f t="shared" si="83"/>
        <v>2742664.1200000052</v>
      </c>
      <c r="AE264" s="1">
        <f t="shared" ca="1" si="84"/>
        <v>4</v>
      </c>
      <c r="AG264" s="3">
        <f t="shared" si="85"/>
        <v>-286.45</v>
      </c>
      <c r="AH264" s="1">
        <f t="shared" si="76"/>
        <v>843</v>
      </c>
      <c r="AI264" s="3">
        <f t="shared" si="77"/>
        <v>-286.45</v>
      </c>
      <c r="AL264" s="3">
        <f t="shared" si="86"/>
        <v>-286.45</v>
      </c>
      <c r="AM264" s="3">
        <f t="shared" si="78"/>
        <v>-286.45</v>
      </c>
      <c r="AQ264" s="4">
        <f t="shared" ca="1" si="68"/>
        <v>44612</v>
      </c>
      <c r="AR264" s="3">
        <f t="shared" ca="1" si="79"/>
        <v>570732.47999999963</v>
      </c>
      <c r="AS264" s="63">
        <f ca="1">IF($AQ264&lt;&gt;"", INDEX(Inputs!$B$3:$B$101, MATCH($AQ264,Inputs!$A$3:$A$101,1)), "")</f>
        <v>1E-3</v>
      </c>
      <c r="AT264" s="48">
        <f t="shared" ca="1" si="69"/>
        <v>1.5636506301369855</v>
      </c>
      <c r="AU264" s="3">
        <f t="shared" ca="1" si="80"/>
        <v>-1.5636506301369855</v>
      </c>
      <c r="AV264" s="3">
        <f t="shared" ca="1" si="87"/>
        <v>-1.5636506301369855</v>
      </c>
    </row>
    <row r="265" spans="1:48" x14ac:dyDescent="0.2">
      <c r="A265" s="4">
        <v>45198</v>
      </c>
      <c r="B265" s="1" t="s">
        <v>103</v>
      </c>
      <c r="G265" s="3">
        <v>3780.85</v>
      </c>
      <c r="M265" s="3" t="str">
        <f t="shared" si="74"/>
        <v/>
      </c>
      <c r="N265" s="3"/>
      <c r="AA265" s="3">
        <f t="shared" si="75"/>
        <v>3450000</v>
      </c>
      <c r="AB265" s="3">
        <f t="shared" si="81"/>
        <v>3450000.0000000051</v>
      </c>
      <c r="AC265" s="3">
        <f t="shared" si="82"/>
        <v>703555.0299999998</v>
      </c>
      <c r="AD265" s="3">
        <f t="shared" si="83"/>
        <v>2746444.9700000053</v>
      </c>
      <c r="AE265" s="1">
        <f t="shared" ca="1" si="84"/>
        <v>0</v>
      </c>
      <c r="AG265" s="3">
        <f t="shared" si="85"/>
        <v>0</v>
      </c>
      <c r="AH265" s="1">
        <f t="shared" si="76"/>
        <v>847</v>
      </c>
      <c r="AI265" s="3">
        <f t="shared" si="77"/>
        <v>0</v>
      </c>
      <c r="AL265" s="3">
        <f t="shared" si="86"/>
        <v>0</v>
      </c>
      <c r="AM265" s="3">
        <f t="shared" si="78"/>
        <v>0</v>
      </c>
      <c r="AQ265" s="4">
        <f t="shared" ca="1" si="68"/>
        <v>44613</v>
      </c>
      <c r="AR265" s="3">
        <f t="shared" ca="1" si="79"/>
        <v>570732.47999999963</v>
      </c>
      <c r="AS265" s="63">
        <f ca="1">IF($AQ265&lt;&gt;"", INDEX(Inputs!$B$3:$B$101, MATCH($AQ265,Inputs!$A$3:$A$101,1)), "")</f>
        <v>1E-3</v>
      </c>
      <c r="AT265" s="48">
        <f t="shared" ca="1" si="69"/>
        <v>1.5636506301369855</v>
      </c>
      <c r="AU265" s="3">
        <f t="shared" ca="1" si="80"/>
        <v>-1.5636506301369855</v>
      </c>
      <c r="AV265" s="3">
        <f t="shared" ca="1" si="87"/>
        <v>-1.5636506301369855</v>
      </c>
    </row>
    <row r="266" spans="1:48" x14ac:dyDescent="0.2">
      <c r="A266" s="4">
        <v>45198</v>
      </c>
      <c r="B266" s="1" t="s">
        <v>106</v>
      </c>
      <c r="G266" s="3">
        <v>14.81</v>
      </c>
      <c r="M266" s="3" t="str">
        <f t="shared" si="74"/>
        <v/>
      </c>
      <c r="N266" s="3"/>
      <c r="P266" s="3"/>
      <c r="AA266" s="3">
        <f t="shared" si="75"/>
        <v>3450000</v>
      </c>
      <c r="AB266" s="3">
        <f t="shared" si="81"/>
        <v>3450000.0000000051</v>
      </c>
      <c r="AC266" s="3">
        <f t="shared" si="82"/>
        <v>703540.21999999974</v>
      </c>
      <c r="AD266" s="3">
        <f t="shared" si="83"/>
        <v>2746459.7800000054</v>
      </c>
      <c r="AE266" s="1">
        <f t="shared" ca="1" si="84"/>
        <v>3</v>
      </c>
      <c r="AG266" s="3">
        <f t="shared" si="85"/>
        <v>0</v>
      </c>
      <c r="AH266" s="1">
        <f t="shared" si="76"/>
        <v>847</v>
      </c>
      <c r="AI266" s="3">
        <f t="shared" si="77"/>
        <v>0</v>
      </c>
      <c r="AL266" s="3">
        <f t="shared" si="86"/>
        <v>0</v>
      </c>
      <c r="AM266" s="3">
        <f t="shared" si="78"/>
        <v>0</v>
      </c>
      <c r="AQ266" s="4">
        <f t="shared" ca="1" si="68"/>
        <v>44614</v>
      </c>
      <c r="AR266" s="3">
        <f t="shared" ca="1" si="79"/>
        <v>570732.47999999963</v>
      </c>
      <c r="AS266" s="63">
        <f ca="1">IF($AQ266&lt;&gt;"", INDEX(Inputs!$B$3:$B$101, MATCH($AQ266,Inputs!$A$3:$A$101,1)), "")</f>
        <v>1E-3</v>
      </c>
      <c r="AT266" s="48">
        <f t="shared" ca="1" si="69"/>
        <v>1.5636506301369855</v>
      </c>
      <c r="AU266" s="3">
        <f t="shared" ca="1" si="80"/>
        <v>-1.5636506301369855</v>
      </c>
      <c r="AV266" s="3">
        <f t="shared" ca="1" si="87"/>
        <v>-1.5636506301369855</v>
      </c>
    </row>
    <row r="267" spans="1:48" x14ac:dyDescent="0.2">
      <c r="A267" s="4">
        <v>45201</v>
      </c>
      <c r="B267" s="1" t="s">
        <v>66</v>
      </c>
      <c r="I267" s="3">
        <v>10400</v>
      </c>
      <c r="M267" s="3" t="str">
        <f t="shared" si="74"/>
        <v/>
      </c>
      <c r="N267" s="3"/>
      <c r="AA267" s="3">
        <f t="shared" si="75"/>
        <v>3450000</v>
      </c>
      <c r="AB267" s="3">
        <f t="shared" si="81"/>
        <v>3450000.0000000051</v>
      </c>
      <c r="AC267" s="3">
        <f t="shared" si="82"/>
        <v>703540.21999999974</v>
      </c>
      <c r="AD267" s="3">
        <f t="shared" si="83"/>
        <v>2746459.7800000054</v>
      </c>
      <c r="AE267" s="1">
        <f t="shared" ca="1" si="84"/>
        <v>14</v>
      </c>
      <c r="AG267" s="3">
        <f t="shared" si="85"/>
        <v>10400</v>
      </c>
      <c r="AH267" s="1">
        <f t="shared" si="76"/>
        <v>850</v>
      </c>
      <c r="AI267" s="3">
        <f t="shared" si="77"/>
        <v>10400</v>
      </c>
      <c r="AL267" s="3">
        <f t="shared" si="86"/>
        <v>10400</v>
      </c>
      <c r="AM267" s="3">
        <f t="shared" si="78"/>
        <v>10400</v>
      </c>
      <c r="AQ267" s="4">
        <f t="shared" ca="1" si="68"/>
        <v>44615</v>
      </c>
      <c r="AR267" s="3">
        <f t="shared" ca="1" si="79"/>
        <v>570732.47999999963</v>
      </c>
      <c r="AS267" s="63">
        <f ca="1">IF($AQ267&lt;&gt;"", INDEX(Inputs!$B$3:$B$101, MATCH($AQ267,Inputs!$A$3:$A$101,1)), "")</f>
        <v>1E-3</v>
      </c>
      <c r="AT267" s="48">
        <f t="shared" ca="1" si="69"/>
        <v>1.5636506301369855</v>
      </c>
      <c r="AU267" s="3">
        <f t="shared" ca="1" si="80"/>
        <v>-1.5636506301369855</v>
      </c>
      <c r="AV267" s="3">
        <f t="shared" ca="1" si="87"/>
        <v>-1.5636506301369855</v>
      </c>
    </row>
    <row r="268" spans="1:48" x14ac:dyDescent="0.2">
      <c r="A268" s="4">
        <v>45215</v>
      </c>
      <c r="B268" s="1" t="s">
        <v>104</v>
      </c>
      <c r="F268" s="3">
        <v>9818.51</v>
      </c>
      <c r="M268" s="3" t="str">
        <f t="shared" si="74"/>
        <v/>
      </c>
      <c r="N268" s="3"/>
      <c r="AA268" s="3">
        <f t="shared" si="75"/>
        <v>3450000</v>
      </c>
      <c r="AB268" s="3">
        <f t="shared" si="81"/>
        <v>3450000.0000000056</v>
      </c>
      <c r="AC268" s="3">
        <f t="shared" si="82"/>
        <v>713358.72999999975</v>
      </c>
      <c r="AD268" s="3">
        <f t="shared" si="83"/>
        <v>2736641.2700000056</v>
      </c>
      <c r="AE268" s="1">
        <f t="shared" ca="1" si="84"/>
        <v>0</v>
      </c>
      <c r="AG268" s="3">
        <f t="shared" si="85"/>
        <v>-9818.51</v>
      </c>
      <c r="AH268" s="1">
        <f t="shared" si="76"/>
        <v>864</v>
      </c>
      <c r="AI268" s="3">
        <f t="shared" si="77"/>
        <v>-9818.51</v>
      </c>
      <c r="AL268" s="3">
        <f t="shared" si="86"/>
        <v>-9818.51</v>
      </c>
      <c r="AM268" s="3">
        <f t="shared" si="78"/>
        <v>-9818.51</v>
      </c>
      <c r="AQ268" s="4">
        <f t="shared" ca="1" si="68"/>
        <v>44616</v>
      </c>
      <c r="AR268" s="3">
        <f t="shared" ca="1" si="79"/>
        <v>570732.47999999963</v>
      </c>
      <c r="AS268" s="63">
        <f ca="1">IF($AQ268&lt;&gt;"", INDEX(Inputs!$B$3:$B$101, MATCH($AQ268,Inputs!$A$3:$A$101,1)), "")</f>
        <v>1E-3</v>
      </c>
      <c r="AT268" s="48">
        <f t="shared" ca="1" si="69"/>
        <v>1.5636506301369855</v>
      </c>
      <c r="AU268" s="3">
        <f t="shared" ca="1" si="80"/>
        <v>-1.5636506301369855</v>
      </c>
      <c r="AV268" s="3">
        <f t="shared" ca="1" si="87"/>
        <v>-1.5636506301369855</v>
      </c>
    </row>
    <row r="269" spans="1:48" x14ac:dyDescent="0.2">
      <c r="A269" s="4">
        <v>45215</v>
      </c>
      <c r="B269" s="1" t="s">
        <v>105</v>
      </c>
      <c r="F269" s="3">
        <v>2935.11</v>
      </c>
      <c r="M269" s="3" t="str">
        <f t="shared" si="74"/>
        <v/>
      </c>
      <c r="N269" s="3"/>
      <c r="P269" s="3"/>
      <c r="AA269" s="3">
        <f t="shared" si="75"/>
        <v>3450000</v>
      </c>
      <c r="AB269" s="3">
        <f t="shared" si="81"/>
        <v>3450000.0000000056</v>
      </c>
      <c r="AC269" s="3">
        <f t="shared" si="82"/>
        <v>716293.83999999973</v>
      </c>
      <c r="AD269" s="3">
        <f t="shared" si="83"/>
        <v>2733706.1600000057</v>
      </c>
      <c r="AE269" s="1">
        <f t="shared" ca="1" si="84"/>
        <v>15</v>
      </c>
      <c r="AG269" s="3">
        <f t="shared" si="85"/>
        <v>-2935.11</v>
      </c>
      <c r="AH269" s="1">
        <f t="shared" si="76"/>
        <v>864</v>
      </c>
      <c r="AI269" s="3">
        <f t="shared" si="77"/>
        <v>-2935.11</v>
      </c>
      <c r="AL269" s="3">
        <f t="shared" si="86"/>
        <v>-2935.11</v>
      </c>
      <c r="AM269" s="3">
        <f t="shared" si="78"/>
        <v>-2935.11</v>
      </c>
      <c r="AQ269" s="4">
        <f t="shared" ca="1" si="68"/>
        <v>44617</v>
      </c>
      <c r="AR269" s="3">
        <f t="shared" ca="1" si="79"/>
        <v>570732.47999999963</v>
      </c>
      <c r="AS269" s="63">
        <f ca="1">IF($AQ269&lt;&gt;"", INDEX(Inputs!$B$3:$B$101, MATCH($AQ269,Inputs!$A$3:$A$101,1)), "")</f>
        <v>1E-3</v>
      </c>
      <c r="AT269" s="48">
        <f t="shared" ca="1" si="69"/>
        <v>1.5636506301369855</v>
      </c>
      <c r="AU269" s="3">
        <f t="shared" ca="1" si="80"/>
        <v>1898.4363493698629</v>
      </c>
      <c r="AV269" s="3">
        <f t="shared" ca="1" si="87"/>
        <v>1898.4363493698629</v>
      </c>
    </row>
    <row r="270" spans="1:48" x14ac:dyDescent="0.2">
      <c r="A270" s="4">
        <v>45230</v>
      </c>
      <c r="B270" s="1" t="s">
        <v>103</v>
      </c>
      <c r="G270" s="3">
        <v>4159.3599999999997</v>
      </c>
      <c r="M270" s="3" t="str">
        <f t="shared" si="74"/>
        <v/>
      </c>
      <c r="N270" s="3"/>
      <c r="AA270" s="3">
        <f t="shared" si="75"/>
        <v>3450000</v>
      </c>
      <c r="AB270" s="3">
        <f t="shared" si="81"/>
        <v>3450000.0000000056</v>
      </c>
      <c r="AC270" s="3">
        <f t="shared" si="82"/>
        <v>712134.47999999975</v>
      </c>
      <c r="AD270" s="3">
        <f t="shared" si="83"/>
        <v>2737865.5200000056</v>
      </c>
      <c r="AE270" s="1">
        <f t="shared" ca="1" si="84"/>
        <v>0</v>
      </c>
      <c r="AG270" s="3">
        <f t="shared" si="85"/>
        <v>0</v>
      </c>
      <c r="AH270" s="1">
        <f t="shared" si="76"/>
        <v>879</v>
      </c>
      <c r="AI270" s="3">
        <f t="shared" si="77"/>
        <v>0</v>
      </c>
      <c r="AL270" s="3">
        <f t="shared" si="86"/>
        <v>0</v>
      </c>
      <c r="AM270" s="3">
        <f t="shared" si="78"/>
        <v>0</v>
      </c>
      <c r="AQ270" s="4">
        <f t="shared" ca="1" si="68"/>
        <v>44618</v>
      </c>
      <c r="AR270" s="3">
        <f t="shared" ca="1" si="79"/>
        <v>570732.47999999963</v>
      </c>
      <c r="AS270" s="63">
        <f ca="1">IF($AQ270&lt;&gt;"", INDEX(Inputs!$B$3:$B$101, MATCH($AQ270,Inputs!$A$3:$A$101,1)), "")</f>
        <v>1E-3</v>
      </c>
      <c r="AT270" s="48">
        <f t="shared" ca="1" si="69"/>
        <v>1.5636506301369855</v>
      </c>
      <c r="AU270" s="3">
        <f t="shared" ca="1" si="80"/>
        <v>-1.5636506301369855</v>
      </c>
      <c r="AV270" s="3">
        <f t="shared" ca="1" si="87"/>
        <v>-1.5636506301369855</v>
      </c>
    </row>
    <row r="271" spans="1:48" x14ac:dyDescent="0.2">
      <c r="A271" s="4">
        <v>45230</v>
      </c>
      <c r="B271" s="1" t="s">
        <v>106</v>
      </c>
      <c r="G271" s="3">
        <v>1361.7</v>
      </c>
      <c r="M271" s="3" t="str">
        <f t="shared" si="74"/>
        <v/>
      </c>
      <c r="N271" s="3"/>
      <c r="P271" s="3"/>
      <c r="AA271" s="3">
        <f t="shared" si="75"/>
        <v>3450000</v>
      </c>
      <c r="AB271" s="3">
        <f t="shared" si="81"/>
        <v>3450000.0000000056</v>
      </c>
      <c r="AC271" s="3">
        <f t="shared" si="82"/>
        <v>710772.7799999998</v>
      </c>
      <c r="AD271" s="3">
        <f t="shared" si="83"/>
        <v>2739227.2200000058</v>
      </c>
      <c r="AE271" s="1">
        <f t="shared" ca="1" si="84"/>
        <v>1</v>
      </c>
      <c r="AG271" s="3">
        <f t="shared" si="85"/>
        <v>0</v>
      </c>
      <c r="AH271" s="1">
        <f t="shared" si="76"/>
        <v>879</v>
      </c>
      <c r="AI271" s="3">
        <f t="shared" si="77"/>
        <v>0</v>
      </c>
      <c r="AL271" s="3">
        <f t="shared" si="86"/>
        <v>0</v>
      </c>
      <c r="AM271" s="3">
        <f t="shared" si="78"/>
        <v>0</v>
      </c>
      <c r="AQ271" s="4">
        <f t="shared" ref="AQ271:AQ331" ca="1" si="88">IF(AQ270&lt;$AP$3,AQ270+1,"")</f>
        <v>44619</v>
      </c>
      <c r="AR271" s="3">
        <f t="shared" ca="1" si="79"/>
        <v>570732.47999999963</v>
      </c>
      <c r="AS271" s="63">
        <f ca="1">IF($AQ271&lt;&gt;"", INDEX(Inputs!$B$3:$B$101, MATCH($AQ271,Inputs!$A$3:$A$101,1)), "")</f>
        <v>1E-3</v>
      </c>
      <c r="AT271" s="48">
        <f t="shared" ref="AT271:AT314" ca="1" si="89">IF($AQ271&lt;&gt;"", AR271*AS271/365, "")</f>
        <v>1.5636506301369855</v>
      </c>
      <c r="AU271" s="3">
        <f t="shared" ca="1" si="80"/>
        <v>-1.5636506301369855</v>
      </c>
      <c r="AV271" s="3">
        <f t="shared" ca="1" si="87"/>
        <v>-1.5636506301369855</v>
      </c>
    </row>
    <row r="272" spans="1:48" x14ac:dyDescent="0.2">
      <c r="A272" s="4">
        <v>45231</v>
      </c>
      <c r="B272" s="1" t="s">
        <v>66</v>
      </c>
      <c r="I272" s="3">
        <v>10400</v>
      </c>
      <c r="M272" s="3" t="str">
        <f t="shared" si="74"/>
        <v/>
      </c>
      <c r="N272" s="3"/>
      <c r="AA272" s="3">
        <f t="shared" si="75"/>
        <v>3450000</v>
      </c>
      <c r="AB272" s="3">
        <f t="shared" si="81"/>
        <v>3450000.0000000056</v>
      </c>
      <c r="AC272" s="3">
        <f t="shared" si="82"/>
        <v>710772.7799999998</v>
      </c>
      <c r="AD272" s="3">
        <f t="shared" si="83"/>
        <v>2739227.2200000058</v>
      </c>
      <c r="AE272" s="1">
        <f t="shared" ca="1" si="84"/>
        <v>15</v>
      </c>
      <c r="AG272" s="3">
        <f t="shared" si="85"/>
        <v>10400</v>
      </c>
      <c r="AH272" s="1">
        <f t="shared" si="76"/>
        <v>880</v>
      </c>
      <c r="AI272" s="3">
        <f t="shared" si="77"/>
        <v>10400</v>
      </c>
      <c r="AL272" s="3">
        <f t="shared" si="86"/>
        <v>10400</v>
      </c>
      <c r="AM272" s="3">
        <f t="shared" si="78"/>
        <v>10400</v>
      </c>
      <c r="AQ272" s="4">
        <f t="shared" ca="1" si="88"/>
        <v>44620</v>
      </c>
      <c r="AR272" s="3">
        <f t="shared" ca="1" si="79"/>
        <v>566001.74999999965</v>
      </c>
      <c r="AS272" s="63">
        <f ca="1">IF($AQ272&lt;&gt;"", INDEX(Inputs!$B$3:$B$101, MATCH($AQ272,Inputs!$A$3:$A$101,1)), "")</f>
        <v>1E-3</v>
      </c>
      <c r="AT272" s="48">
        <f t="shared" ca="1" si="89"/>
        <v>1.5506897260273964</v>
      </c>
      <c r="AU272" s="3">
        <f t="shared" ca="1" si="80"/>
        <v>-1.5506897260273964</v>
      </c>
      <c r="AV272" s="3">
        <f t="shared" ca="1" si="87"/>
        <v>-1.5506897260273964</v>
      </c>
    </row>
    <row r="273" spans="1:48" x14ac:dyDescent="0.2">
      <c r="A273" s="4">
        <v>45246</v>
      </c>
      <c r="B273" s="1" t="s">
        <v>104</v>
      </c>
      <c r="F273" s="3">
        <v>9818.51</v>
      </c>
      <c r="M273" s="3" t="str">
        <f t="shared" si="74"/>
        <v/>
      </c>
      <c r="N273" s="3"/>
      <c r="AA273" s="3">
        <f t="shared" si="75"/>
        <v>3450000</v>
      </c>
      <c r="AB273" s="3">
        <f t="shared" si="81"/>
        <v>3450000.0000000056</v>
      </c>
      <c r="AC273" s="3">
        <f t="shared" si="82"/>
        <v>720591.2899999998</v>
      </c>
      <c r="AD273" s="3">
        <f t="shared" si="83"/>
        <v>2729408.710000006</v>
      </c>
      <c r="AE273" s="1">
        <f t="shared" ca="1" si="84"/>
        <v>0</v>
      </c>
      <c r="AG273" s="3">
        <f t="shared" si="85"/>
        <v>-9818.51</v>
      </c>
      <c r="AH273" s="1">
        <f t="shared" si="76"/>
        <v>895</v>
      </c>
      <c r="AI273" s="3">
        <f t="shared" si="77"/>
        <v>-9818.51</v>
      </c>
      <c r="AL273" s="3">
        <f t="shared" si="86"/>
        <v>-9818.51</v>
      </c>
      <c r="AM273" s="3">
        <f t="shared" si="78"/>
        <v>-9818.51</v>
      </c>
      <c r="AQ273" s="4">
        <f t="shared" ca="1" si="88"/>
        <v>44621</v>
      </c>
      <c r="AR273" s="3">
        <f t="shared" ca="1" si="79"/>
        <v>566001.74999999965</v>
      </c>
      <c r="AS273" s="63">
        <f ca="1">IF($AQ273&lt;&gt;"", INDEX(Inputs!$B$3:$B$101, MATCH($AQ273,Inputs!$A$3:$A$101,1)), "")</f>
        <v>1E-3</v>
      </c>
      <c r="AT273" s="48">
        <f t="shared" ca="1" si="89"/>
        <v>1.5506897260273964</v>
      </c>
      <c r="AU273" s="3">
        <f t="shared" ca="1" si="80"/>
        <v>-1.5506897260273964</v>
      </c>
      <c r="AV273" s="3">
        <f t="shared" ca="1" si="87"/>
        <v>-1.5506897260273964</v>
      </c>
    </row>
    <row r="274" spans="1:48" x14ac:dyDescent="0.2">
      <c r="A274" s="4">
        <v>45246</v>
      </c>
      <c r="B274" s="1" t="s">
        <v>105</v>
      </c>
      <c r="F274" s="3">
        <v>2935.11</v>
      </c>
      <c r="M274" s="3" t="str">
        <f t="shared" si="74"/>
        <v/>
      </c>
      <c r="N274" s="3"/>
      <c r="P274" s="3"/>
      <c r="AA274" s="3">
        <f t="shared" si="75"/>
        <v>3450000</v>
      </c>
      <c r="AB274" s="3">
        <f t="shared" si="81"/>
        <v>3450000.0000000061</v>
      </c>
      <c r="AC274" s="3">
        <f t="shared" si="82"/>
        <v>723526.39999999979</v>
      </c>
      <c r="AD274" s="3">
        <f t="shared" si="83"/>
        <v>2726473.6000000061</v>
      </c>
      <c r="AE274" s="1">
        <f t="shared" ca="1" si="84"/>
        <v>14</v>
      </c>
      <c r="AG274" s="3">
        <f t="shared" si="85"/>
        <v>-2935.11</v>
      </c>
      <c r="AH274" s="1">
        <f t="shared" si="76"/>
        <v>895</v>
      </c>
      <c r="AI274" s="3">
        <f t="shared" si="77"/>
        <v>-2935.11</v>
      </c>
      <c r="AL274" s="3">
        <f t="shared" si="86"/>
        <v>-2935.11</v>
      </c>
      <c r="AM274" s="3">
        <f t="shared" si="78"/>
        <v>-2935.11</v>
      </c>
      <c r="AQ274" s="4">
        <f t="shared" ca="1" si="88"/>
        <v>44622</v>
      </c>
      <c r="AR274" s="3">
        <f t="shared" ca="1" si="79"/>
        <v>566001.74999999965</v>
      </c>
      <c r="AS274" s="63">
        <f ca="1">IF($AQ274&lt;&gt;"", INDEX(Inputs!$B$3:$B$101, MATCH($AQ274,Inputs!$A$3:$A$101,1)), "")</f>
        <v>1E-3</v>
      </c>
      <c r="AT274" s="48">
        <f t="shared" ca="1" si="89"/>
        <v>1.5506897260273964</v>
      </c>
      <c r="AU274" s="3">
        <f t="shared" ca="1" si="80"/>
        <v>-1.5506897260273964</v>
      </c>
      <c r="AV274" s="3">
        <f t="shared" ca="1" si="87"/>
        <v>-1.5506897260273964</v>
      </c>
    </row>
    <row r="275" spans="1:48" x14ac:dyDescent="0.2">
      <c r="A275" s="4">
        <v>45260</v>
      </c>
      <c r="B275" s="1" t="s">
        <v>103</v>
      </c>
      <c r="G275" s="3">
        <v>3889.76</v>
      </c>
      <c r="M275" s="3" t="str">
        <f t="shared" si="74"/>
        <v/>
      </c>
      <c r="N275" s="3"/>
      <c r="AA275" s="3">
        <f t="shared" si="75"/>
        <v>3450000</v>
      </c>
      <c r="AB275" s="3">
        <f t="shared" si="81"/>
        <v>3450000.0000000056</v>
      </c>
      <c r="AC275" s="3">
        <f t="shared" si="82"/>
        <v>719636.63999999978</v>
      </c>
      <c r="AD275" s="3">
        <f t="shared" si="83"/>
        <v>2730363.3600000059</v>
      </c>
      <c r="AE275" s="1">
        <f t="shared" ca="1" si="84"/>
        <v>0</v>
      </c>
      <c r="AG275" s="3">
        <f t="shared" si="85"/>
        <v>0</v>
      </c>
      <c r="AH275" s="1">
        <f t="shared" si="76"/>
        <v>909</v>
      </c>
      <c r="AI275" s="3">
        <f t="shared" si="77"/>
        <v>0</v>
      </c>
      <c r="AL275" s="3">
        <f t="shared" si="86"/>
        <v>0</v>
      </c>
      <c r="AM275" s="3">
        <f t="shared" si="78"/>
        <v>0</v>
      </c>
      <c r="AQ275" s="4">
        <f t="shared" ca="1" si="88"/>
        <v>44623</v>
      </c>
      <c r="AR275" s="3">
        <f t="shared" ca="1" si="79"/>
        <v>566001.74999999965</v>
      </c>
      <c r="AS275" s="63">
        <f ca="1">IF($AQ275&lt;&gt;"", INDEX(Inputs!$B$3:$B$101, MATCH($AQ275,Inputs!$A$3:$A$101,1)), "")</f>
        <v>1E-3</v>
      </c>
      <c r="AT275" s="48">
        <f t="shared" ca="1" si="89"/>
        <v>1.5506897260273964</v>
      </c>
      <c r="AU275" s="3">
        <f t="shared" ca="1" si="80"/>
        <v>-1.5506897260273964</v>
      </c>
      <c r="AV275" s="3">
        <f t="shared" ca="1" si="87"/>
        <v>-1.5506897260273964</v>
      </c>
    </row>
    <row r="276" spans="1:48" x14ac:dyDescent="0.2">
      <c r="A276" s="4">
        <v>45260</v>
      </c>
      <c r="B276" s="1" t="s">
        <v>106</v>
      </c>
      <c r="G276" s="3">
        <v>1262.57</v>
      </c>
      <c r="M276" s="3" t="str">
        <f t="shared" si="74"/>
        <v/>
      </c>
      <c r="N276" s="3"/>
      <c r="P276" s="3"/>
      <c r="AA276" s="3">
        <f t="shared" si="75"/>
        <v>3450000</v>
      </c>
      <c r="AB276" s="3">
        <f t="shared" si="81"/>
        <v>3450000.0000000056</v>
      </c>
      <c r="AC276" s="3">
        <f t="shared" si="82"/>
        <v>718374.06999999983</v>
      </c>
      <c r="AD276" s="3">
        <f t="shared" si="83"/>
        <v>2731625.9300000058</v>
      </c>
      <c r="AE276" s="1">
        <f t="shared" ca="1" si="84"/>
        <v>1</v>
      </c>
      <c r="AG276" s="3">
        <f t="shared" si="85"/>
        <v>0</v>
      </c>
      <c r="AH276" s="1">
        <f t="shared" si="76"/>
        <v>909</v>
      </c>
      <c r="AI276" s="3">
        <f t="shared" si="77"/>
        <v>0</v>
      </c>
      <c r="AL276" s="3">
        <f t="shared" si="86"/>
        <v>0</v>
      </c>
      <c r="AM276" s="3">
        <f t="shared" si="78"/>
        <v>0</v>
      </c>
      <c r="AQ276" s="4">
        <f t="shared" ca="1" si="88"/>
        <v>44624</v>
      </c>
      <c r="AR276" s="3">
        <f t="shared" ca="1" si="79"/>
        <v>566001.74999999965</v>
      </c>
      <c r="AS276" s="63">
        <f ca="1">IF($AQ276&lt;&gt;"", INDEX(Inputs!$B$3:$B$101, MATCH($AQ276,Inputs!$A$3:$A$101,1)), "")</f>
        <v>1E-3</v>
      </c>
      <c r="AT276" s="48">
        <f t="shared" ca="1" si="89"/>
        <v>1.5506897260273964</v>
      </c>
      <c r="AU276" s="3">
        <f t="shared" ca="1" si="80"/>
        <v>1898.4493102739725</v>
      </c>
      <c r="AV276" s="3">
        <f t="shared" ca="1" si="87"/>
        <v>1898.4493102739725</v>
      </c>
    </row>
    <row r="277" spans="1:48" x14ac:dyDescent="0.2">
      <c r="A277" s="4">
        <v>45261</v>
      </c>
      <c r="B277" s="1" t="s">
        <v>66</v>
      </c>
      <c r="I277" s="3">
        <v>10400</v>
      </c>
      <c r="M277" s="3" t="str">
        <f t="shared" si="74"/>
        <v/>
      </c>
      <c r="N277" s="3"/>
      <c r="AA277" s="3">
        <f t="shared" si="75"/>
        <v>3450000</v>
      </c>
      <c r="AB277" s="3">
        <f t="shared" si="81"/>
        <v>3450000.0000000056</v>
      </c>
      <c r="AC277" s="3">
        <f t="shared" si="82"/>
        <v>718374.06999999983</v>
      </c>
      <c r="AD277" s="3">
        <f t="shared" si="83"/>
        <v>2731625.9300000058</v>
      </c>
      <c r="AE277" s="1">
        <f t="shared" ca="1" si="84"/>
        <v>3</v>
      </c>
      <c r="AG277" s="3">
        <f t="shared" si="85"/>
        <v>10400</v>
      </c>
      <c r="AH277" s="1">
        <f t="shared" si="76"/>
        <v>910</v>
      </c>
      <c r="AI277" s="3">
        <f t="shared" si="77"/>
        <v>10400</v>
      </c>
      <c r="AL277" s="3">
        <f t="shared" si="86"/>
        <v>10400</v>
      </c>
      <c r="AM277" s="3">
        <f t="shared" si="78"/>
        <v>10400</v>
      </c>
      <c r="AQ277" s="4">
        <f t="shared" ca="1" si="88"/>
        <v>44625</v>
      </c>
      <c r="AR277" s="3">
        <f t="shared" ca="1" si="79"/>
        <v>566001.74999999965</v>
      </c>
      <c r="AS277" s="63">
        <f ca="1">IF($AQ277&lt;&gt;"", INDEX(Inputs!$B$3:$B$101, MATCH($AQ277,Inputs!$A$3:$A$101,1)), "")</f>
        <v>1E-3</v>
      </c>
      <c r="AT277" s="48">
        <f t="shared" ca="1" si="89"/>
        <v>1.5506897260273964</v>
      </c>
      <c r="AU277" s="3">
        <f t="shared" ca="1" si="80"/>
        <v>-1.5506897260273964</v>
      </c>
      <c r="AV277" s="3">
        <f t="shared" ca="1" si="87"/>
        <v>-1.5506897260273964</v>
      </c>
    </row>
    <row r="278" spans="1:48" x14ac:dyDescent="0.2">
      <c r="A278" s="4">
        <v>45264</v>
      </c>
      <c r="B278" s="1" t="s">
        <v>50</v>
      </c>
      <c r="H278" s="3">
        <v>3540.52</v>
      </c>
      <c r="M278" s="3" t="str">
        <f t="shared" si="74"/>
        <v/>
      </c>
      <c r="N278" s="3"/>
      <c r="AA278" s="3">
        <f t="shared" si="75"/>
        <v>3450000</v>
      </c>
      <c r="AB278" s="3">
        <f t="shared" si="81"/>
        <v>3450000.0000000056</v>
      </c>
      <c r="AC278" s="3">
        <f t="shared" si="82"/>
        <v>718374.06999999983</v>
      </c>
      <c r="AD278" s="3">
        <f t="shared" si="83"/>
        <v>2731625.9300000058</v>
      </c>
      <c r="AE278" s="1">
        <f t="shared" ca="1" si="84"/>
        <v>14</v>
      </c>
      <c r="AG278" s="3">
        <f t="shared" si="85"/>
        <v>-3540.52</v>
      </c>
      <c r="AH278" s="1">
        <f t="shared" si="76"/>
        <v>913</v>
      </c>
      <c r="AI278" s="3">
        <f t="shared" si="77"/>
        <v>-3540.52</v>
      </c>
      <c r="AL278" s="3">
        <f t="shared" si="86"/>
        <v>-3540.52</v>
      </c>
      <c r="AM278" s="3">
        <f t="shared" si="78"/>
        <v>-3540.52</v>
      </c>
      <c r="AQ278" s="4">
        <f t="shared" ca="1" si="88"/>
        <v>44626</v>
      </c>
      <c r="AR278" s="3">
        <f t="shared" ca="1" si="79"/>
        <v>566001.74999999965</v>
      </c>
      <c r="AS278" s="63">
        <f ca="1">IF($AQ278&lt;&gt;"", INDEX(Inputs!$B$3:$B$101, MATCH($AQ278,Inputs!$A$3:$A$101,1)), "")</f>
        <v>1E-3</v>
      </c>
      <c r="AT278" s="48">
        <f t="shared" ca="1" si="89"/>
        <v>1.5506897260273964</v>
      </c>
      <c r="AU278" s="3">
        <f t="shared" ca="1" si="80"/>
        <v>-1.5506897260273964</v>
      </c>
      <c r="AV278" s="3">
        <f t="shared" ca="1" si="87"/>
        <v>-1.5506897260273964</v>
      </c>
    </row>
    <row r="279" spans="1:48" x14ac:dyDescent="0.2">
      <c r="A279" s="4">
        <v>45278</v>
      </c>
      <c r="B279" s="1" t="s">
        <v>104</v>
      </c>
      <c r="F279" s="3">
        <v>9818.51</v>
      </c>
      <c r="M279" s="3" t="str">
        <f t="shared" si="74"/>
        <v/>
      </c>
      <c r="N279" s="3"/>
      <c r="AA279" s="3">
        <f t="shared" si="75"/>
        <v>3450000</v>
      </c>
      <c r="AB279" s="3">
        <f t="shared" si="81"/>
        <v>3450000.0000000056</v>
      </c>
      <c r="AC279" s="3">
        <f t="shared" si="82"/>
        <v>728192.57999999984</v>
      </c>
      <c r="AD279" s="3">
        <f t="shared" si="83"/>
        <v>2721807.420000006</v>
      </c>
      <c r="AE279" s="1">
        <f t="shared" ca="1" si="84"/>
        <v>0</v>
      </c>
      <c r="AG279" s="3">
        <f t="shared" si="85"/>
        <v>-9818.51</v>
      </c>
      <c r="AH279" s="1">
        <f t="shared" si="76"/>
        <v>927</v>
      </c>
      <c r="AI279" s="3">
        <f t="shared" si="77"/>
        <v>-9818.51</v>
      </c>
      <c r="AL279" s="3">
        <f t="shared" si="86"/>
        <v>-9818.51</v>
      </c>
      <c r="AM279" s="3">
        <f t="shared" si="78"/>
        <v>-9818.51</v>
      </c>
      <c r="AQ279" s="4">
        <f t="shared" ca="1" si="88"/>
        <v>44627</v>
      </c>
      <c r="AR279" s="3">
        <f t="shared" ca="1" si="79"/>
        <v>566001.74999999965</v>
      </c>
      <c r="AS279" s="63">
        <f ca="1">IF($AQ279&lt;&gt;"", INDEX(Inputs!$B$3:$B$101, MATCH($AQ279,Inputs!$A$3:$A$101,1)), "")</f>
        <v>1E-3</v>
      </c>
      <c r="AT279" s="48">
        <f t="shared" ca="1" si="89"/>
        <v>1.5506897260273964</v>
      </c>
      <c r="AU279" s="3">
        <f t="shared" ca="1" si="80"/>
        <v>-1.5506897260273964</v>
      </c>
      <c r="AV279" s="3">
        <f t="shared" ca="1" si="87"/>
        <v>-1.5506897260273964</v>
      </c>
    </row>
    <row r="280" spans="1:48" x14ac:dyDescent="0.2">
      <c r="A280" s="4">
        <v>45278</v>
      </c>
      <c r="B280" s="1" t="s">
        <v>105</v>
      </c>
      <c r="F280" s="3">
        <v>2935.11</v>
      </c>
      <c r="M280" s="3" t="str">
        <f t="shared" si="74"/>
        <v/>
      </c>
      <c r="N280" s="3"/>
      <c r="AA280" s="3">
        <f t="shared" si="75"/>
        <v>3450000</v>
      </c>
      <c r="AB280" s="3">
        <f t="shared" si="81"/>
        <v>3450000.0000000061</v>
      </c>
      <c r="AC280" s="3">
        <f t="shared" si="82"/>
        <v>731127.68999999983</v>
      </c>
      <c r="AD280" s="3">
        <f t="shared" si="83"/>
        <v>2718872.3100000061</v>
      </c>
      <c r="AE280" s="1">
        <f t="shared" ca="1" si="84"/>
        <v>9</v>
      </c>
      <c r="AG280" s="3">
        <f t="shared" si="85"/>
        <v>-2935.11</v>
      </c>
      <c r="AH280" s="1">
        <f t="shared" si="76"/>
        <v>927</v>
      </c>
      <c r="AI280" s="3">
        <f t="shared" si="77"/>
        <v>-2935.11</v>
      </c>
      <c r="AL280" s="3">
        <f t="shared" si="86"/>
        <v>-2935.11</v>
      </c>
      <c r="AM280" s="3">
        <f t="shared" si="78"/>
        <v>-2935.11</v>
      </c>
      <c r="AQ280" s="4">
        <f t="shared" ca="1" si="88"/>
        <v>44628</v>
      </c>
      <c r="AR280" s="3">
        <f t="shared" ca="1" si="79"/>
        <v>566001.74999999965</v>
      </c>
      <c r="AS280" s="63">
        <f ca="1">IF($AQ280&lt;&gt;"", INDEX(Inputs!$B$3:$B$101, MATCH($AQ280,Inputs!$A$3:$A$101,1)), "")</f>
        <v>1E-3</v>
      </c>
      <c r="AT280" s="48">
        <f t="shared" ca="1" si="89"/>
        <v>1.5506897260273964</v>
      </c>
      <c r="AU280" s="3">
        <f t="shared" ca="1" si="80"/>
        <v>-1.5506897260273964</v>
      </c>
      <c r="AV280" s="3">
        <f t="shared" ca="1" si="87"/>
        <v>-1.5506897260273964</v>
      </c>
    </row>
    <row r="281" spans="1:48" x14ac:dyDescent="0.2">
      <c r="A281" s="4">
        <v>45287</v>
      </c>
      <c r="B281" s="1" t="s">
        <v>80</v>
      </c>
      <c r="H281" s="3">
        <v>229.59</v>
      </c>
      <c r="M281" s="3" t="str">
        <f t="shared" si="74"/>
        <v/>
      </c>
      <c r="N281" s="3"/>
      <c r="AA281" s="3">
        <f t="shared" si="75"/>
        <v>3450000</v>
      </c>
      <c r="AB281" s="3">
        <f t="shared" si="81"/>
        <v>3450000.0000000061</v>
      </c>
      <c r="AC281" s="3">
        <f t="shared" si="82"/>
        <v>731127.68999999983</v>
      </c>
      <c r="AD281" s="3">
        <f t="shared" si="83"/>
        <v>2718872.3100000061</v>
      </c>
      <c r="AE281" s="1">
        <f t="shared" ca="1" si="84"/>
        <v>2</v>
      </c>
      <c r="AG281" s="3">
        <f t="shared" si="85"/>
        <v>-229.59</v>
      </c>
      <c r="AH281" s="1">
        <f t="shared" si="76"/>
        <v>936</v>
      </c>
      <c r="AI281" s="3">
        <f t="shared" si="77"/>
        <v>-229.59</v>
      </c>
      <c r="AL281" s="3">
        <f t="shared" si="86"/>
        <v>-229.59</v>
      </c>
      <c r="AM281" s="3">
        <f t="shared" si="78"/>
        <v>-229.59</v>
      </c>
      <c r="AQ281" s="4">
        <f t="shared" ca="1" si="88"/>
        <v>44629</v>
      </c>
      <c r="AR281" s="3">
        <f t="shared" ca="1" si="79"/>
        <v>566001.74999999965</v>
      </c>
      <c r="AS281" s="63">
        <f ca="1">IF($AQ281&lt;&gt;"", INDEX(Inputs!$B$3:$B$101, MATCH($AQ281,Inputs!$A$3:$A$101,1)), "")</f>
        <v>1E-3</v>
      </c>
      <c r="AT281" s="48">
        <f t="shared" ca="1" si="89"/>
        <v>1.5506897260273964</v>
      </c>
      <c r="AU281" s="3">
        <f t="shared" ca="1" si="80"/>
        <v>-1.5506897260273964</v>
      </c>
      <c r="AV281" s="3">
        <f t="shared" ca="1" si="87"/>
        <v>-1.5506897260273964</v>
      </c>
    </row>
    <row r="282" spans="1:48" x14ac:dyDescent="0.2">
      <c r="A282" s="4">
        <v>45289</v>
      </c>
      <c r="B282" s="1" t="s">
        <v>103</v>
      </c>
      <c r="G282" s="3">
        <v>3751.73</v>
      </c>
      <c r="M282" s="3" t="str">
        <f t="shared" si="74"/>
        <v/>
      </c>
      <c r="N282" s="3"/>
      <c r="AA282" s="3">
        <f t="shared" si="75"/>
        <v>3450000</v>
      </c>
      <c r="AB282" s="3">
        <f t="shared" si="81"/>
        <v>3450000.0000000061</v>
      </c>
      <c r="AC282" s="3">
        <f t="shared" si="82"/>
        <v>727375.95999999985</v>
      </c>
      <c r="AD282" s="3">
        <f t="shared" si="83"/>
        <v>2722624.0400000061</v>
      </c>
      <c r="AE282" s="1">
        <f t="shared" ca="1" si="84"/>
        <v>0</v>
      </c>
      <c r="AG282" s="3">
        <f t="shared" si="85"/>
        <v>0</v>
      </c>
      <c r="AH282" s="1">
        <f t="shared" si="76"/>
        <v>938</v>
      </c>
      <c r="AI282" s="3">
        <f t="shared" si="77"/>
        <v>0</v>
      </c>
      <c r="AL282" s="3">
        <f t="shared" si="86"/>
        <v>0</v>
      </c>
      <c r="AM282" s="3">
        <f t="shared" si="78"/>
        <v>0</v>
      </c>
      <c r="AQ282" s="4">
        <f t="shared" ca="1" si="88"/>
        <v>44630</v>
      </c>
      <c r="AR282" s="3">
        <f t="shared" ca="1" si="79"/>
        <v>566001.74999999965</v>
      </c>
      <c r="AS282" s="63">
        <f ca="1">IF($AQ282&lt;&gt;"", INDEX(Inputs!$B$3:$B$101, MATCH($AQ282,Inputs!$A$3:$A$101,1)), "")</f>
        <v>1E-3</v>
      </c>
      <c r="AT282" s="48">
        <f t="shared" ca="1" si="89"/>
        <v>1.5506897260273964</v>
      </c>
      <c r="AU282" s="3">
        <f t="shared" ca="1" si="80"/>
        <v>-1.5506897260273964</v>
      </c>
      <c r="AV282" s="3">
        <f t="shared" ca="1" si="87"/>
        <v>-1.5506897260273964</v>
      </c>
    </row>
    <row r="283" spans="1:48" x14ac:dyDescent="0.2">
      <c r="A283" s="4">
        <v>45289</v>
      </c>
      <c r="B283" s="1" t="s">
        <v>106</v>
      </c>
      <c r="G283" s="3">
        <v>220</v>
      </c>
      <c r="M283" s="3" t="str">
        <f t="shared" si="74"/>
        <v/>
      </c>
      <c r="N283" s="3"/>
      <c r="AA283" s="3">
        <f t="shared" si="75"/>
        <v>3450000</v>
      </c>
      <c r="AB283" s="3">
        <f t="shared" si="81"/>
        <v>3450000.0000000061</v>
      </c>
      <c r="AC283" s="3">
        <f t="shared" si="82"/>
        <v>727155.95999999985</v>
      </c>
      <c r="AD283" s="3">
        <f t="shared" si="83"/>
        <v>2722844.0400000061</v>
      </c>
      <c r="AE283" s="1">
        <f t="shared" ca="1" si="84"/>
        <v>4</v>
      </c>
      <c r="AG283" s="3">
        <f t="shared" si="85"/>
        <v>0</v>
      </c>
      <c r="AH283" s="1">
        <f t="shared" si="76"/>
        <v>938</v>
      </c>
      <c r="AI283" s="3">
        <f t="shared" si="77"/>
        <v>0</v>
      </c>
      <c r="AL283" s="3">
        <f t="shared" si="86"/>
        <v>0</v>
      </c>
      <c r="AM283" s="3">
        <f t="shared" si="78"/>
        <v>0</v>
      </c>
      <c r="AQ283" s="4">
        <f t="shared" ca="1" si="88"/>
        <v>44631</v>
      </c>
      <c r="AR283" s="3">
        <f t="shared" ca="1" si="79"/>
        <v>566001.74999999965</v>
      </c>
      <c r="AS283" s="63">
        <f ca="1">IF($AQ283&lt;&gt;"", INDEX(Inputs!$B$3:$B$101, MATCH($AQ283,Inputs!$A$3:$A$101,1)), "")</f>
        <v>1E-3</v>
      </c>
      <c r="AT283" s="48">
        <f t="shared" ca="1" si="89"/>
        <v>1.5506897260273964</v>
      </c>
      <c r="AU283" s="3">
        <f t="shared" ca="1" si="80"/>
        <v>1898.4493102739725</v>
      </c>
      <c r="AV283" s="3">
        <f t="shared" ca="1" si="87"/>
        <v>1898.4493102739725</v>
      </c>
    </row>
    <row r="284" spans="1:48" x14ac:dyDescent="0.2">
      <c r="A284" s="4">
        <v>45293</v>
      </c>
      <c r="B284" s="1" t="s">
        <v>66</v>
      </c>
      <c r="I284" s="3">
        <v>10400</v>
      </c>
      <c r="M284" s="3" t="str">
        <f t="shared" si="74"/>
        <v/>
      </c>
      <c r="N284" s="3"/>
      <c r="AA284" s="3">
        <f t="shared" si="75"/>
        <v>3450000</v>
      </c>
      <c r="AB284" s="3">
        <f t="shared" si="81"/>
        <v>3450000.0000000061</v>
      </c>
      <c r="AC284" s="3">
        <f t="shared" si="82"/>
        <v>727155.95999999985</v>
      </c>
      <c r="AD284" s="3">
        <f t="shared" si="83"/>
        <v>2722844.0400000061</v>
      </c>
      <c r="AE284" s="1">
        <f t="shared" ca="1" si="84"/>
        <v>14</v>
      </c>
      <c r="AG284" s="3">
        <f t="shared" si="85"/>
        <v>10400</v>
      </c>
      <c r="AH284" s="1">
        <f t="shared" si="76"/>
        <v>942</v>
      </c>
      <c r="AI284" s="3">
        <f t="shared" si="77"/>
        <v>10400</v>
      </c>
      <c r="AL284" s="3">
        <f t="shared" si="86"/>
        <v>10400</v>
      </c>
      <c r="AM284" s="3">
        <f t="shared" si="78"/>
        <v>10400</v>
      </c>
      <c r="AQ284" s="4">
        <f t="shared" ca="1" si="88"/>
        <v>44632</v>
      </c>
      <c r="AR284" s="3">
        <f t="shared" ca="1" si="79"/>
        <v>566001.74999999965</v>
      </c>
      <c r="AS284" s="63">
        <f ca="1">IF($AQ284&lt;&gt;"", INDEX(Inputs!$B$3:$B$101, MATCH($AQ284,Inputs!$A$3:$A$101,1)), "")</f>
        <v>1E-3</v>
      </c>
      <c r="AT284" s="48">
        <f t="shared" ca="1" si="89"/>
        <v>1.5506897260273964</v>
      </c>
      <c r="AU284" s="3">
        <f t="shared" ca="1" si="80"/>
        <v>-1.5506897260273964</v>
      </c>
      <c r="AV284" s="3">
        <f t="shared" ca="1" si="87"/>
        <v>-1.5506897260273964</v>
      </c>
    </row>
    <row r="285" spans="1:48" x14ac:dyDescent="0.2">
      <c r="A285" s="4">
        <v>45307</v>
      </c>
      <c r="B285" s="1" t="s">
        <v>104</v>
      </c>
      <c r="F285" s="3">
        <v>9818.51</v>
      </c>
      <c r="M285" s="3" t="str">
        <f t="shared" si="74"/>
        <v/>
      </c>
      <c r="N285" s="3"/>
      <c r="AA285" s="3">
        <f t="shared" si="75"/>
        <v>3450000</v>
      </c>
      <c r="AB285" s="3">
        <f t="shared" si="81"/>
        <v>3450000.0000000061</v>
      </c>
      <c r="AC285" s="3">
        <f t="shared" si="82"/>
        <v>736974.46999999986</v>
      </c>
      <c r="AD285" s="3">
        <f t="shared" si="83"/>
        <v>2713025.5300000063</v>
      </c>
      <c r="AE285" s="1">
        <f t="shared" ca="1" si="84"/>
        <v>0</v>
      </c>
      <c r="AG285" s="3">
        <f t="shared" si="85"/>
        <v>-9818.51</v>
      </c>
      <c r="AH285" s="1">
        <f t="shared" si="76"/>
        <v>956</v>
      </c>
      <c r="AI285" s="3">
        <f t="shared" si="77"/>
        <v>-9818.51</v>
      </c>
      <c r="AL285" s="3">
        <f t="shared" si="86"/>
        <v>-9818.51</v>
      </c>
      <c r="AM285" s="3">
        <f t="shared" si="78"/>
        <v>-9818.51</v>
      </c>
      <c r="AQ285" s="4">
        <f t="shared" ca="1" si="88"/>
        <v>44633</v>
      </c>
      <c r="AR285" s="3">
        <f t="shared" ca="1" si="79"/>
        <v>566001.74999999965</v>
      </c>
      <c r="AS285" s="63">
        <f ca="1">IF($AQ285&lt;&gt;"", INDEX(Inputs!$B$3:$B$101, MATCH($AQ285,Inputs!$A$3:$A$101,1)), "")</f>
        <v>1E-3</v>
      </c>
      <c r="AT285" s="48">
        <f t="shared" ca="1" si="89"/>
        <v>1.5506897260273964</v>
      </c>
      <c r="AU285" s="3">
        <f t="shared" ca="1" si="80"/>
        <v>-1.5506897260273964</v>
      </c>
      <c r="AV285" s="3">
        <f t="shared" ca="1" si="87"/>
        <v>-1.5506897260273964</v>
      </c>
    </row>
    <row r="286" spans="1:48" x14ac:dyDescent="0.2">
      <c r="A286" s="4">
        <v>45307</v>
      </c>
      <c r="B286" s="1" t="s">
        <v>105</v>
      </c>
      <c r="F286" s="3">
        <v>2978.24</v>
      </c>
      <c r="M286" s="3" t="str">
        <f t="shared" si="74"/>
        <v/>
      </c>
      <c r="N286" s="3"/>
      <c r="AA286" s="3">
        <f t="shared" si="75"/>
        <v>3450000</v>
      </c>
      <c r="AB286" s="3">
        <f t="shared" si="81"/>
        <v>3450000.0000000061</v>
      </c>
      <c r="AC286" s="3">
        <f t="shared" si="82"/>
        <v>739952.70999999985</v>
      </c>
      <c r="AD286" s="3">
        <f t="shared" si="83"/>
        <v>2710047.2900000061</v>
      </c>
      <c r="AE286" s="1">
        <f t="shared" ca="1" si="84"/>
        <v>15</v>
      </c>
      <c r="AG286" s="3">
        <f t="shared" si="85"/>
        <v>-2978.24</v>
      </c>
      <c r="AH286" s="1">
        <f t="shared" si="76"/>
        <v>956</v>
      </c>
      <c r="AI286" s="3">
        <f t="shared" si="77"/>
        <v>-2978.24</v>
      </c>
      <c r="AL286" s="3">
        <f t="shared" si="86"/>
        <v>-2978.24</v>
      </c>
      <c r="AM286" s="3">
        <f t="shared" si="78"/>
        <v>-2978.24</v>
      </c>
      <c r="AQ286" s="4">
        <f t="shared" ca="1" si="88"/>
        <v>44634</v>
      </c>
      <c r="AR286" s="3">
        <f t="shared" ca="1" si="79"/>
        <v>566001.74999999965</v>
      </c>
      <c r="AS286" s="63">
        <f ca="1">IF($AQ286&lt;&gt;"", INDEX(Inputs!$B$3:$B$101, MATCH($AQ286,Inputs!$A$3:$A$101,1)), "")</f>
        <v>1E-3</v>
      </c>
      <c r="AT286" s="48">
        <f t="shared" ca="1" si="89"/>
        <v>1.5506897260273964</v>
      </c>
      <c r="AU286" s="3">
        <f t="shared" ca="1" si="80"/>
        <v>-1.5506897260273964</v>
      </c>
      <c r="AV286" s="3">
        <f t="shared" ca="1" si="87"/>
        <v>-1.5506897260273964</v>
      </c>
    </row>
    <row r="287" spans="1:48" x14ac:dyDescent="0.2">
      <c r="A287" s="4">
        <v>45322</v>
      </c>
      <c r="B287" s="1" t="s">
        <v>103</v>
      </c>
      <c r="G287" s="3">
        <v>4256.41</v>
      </c>
      <c r="M287" s="3" t="str">
        <f t="shared" si="74"/>
        <v/>
      </c>
      <c r="N287" s="3"/>
      <c r="AA287" s="3">
        <f t="shared" si="75"/>
        <v>3450000</v>
      </c>
      <c r="AB287" s="3">
        <f t="shared" si="81"/>
        <v>3450000.0000000061</v>
      </c>
      <c r="AC287" s="3">
        <f t="shared" si="82"/>
        <v>735696.29999999981</v>
      </c>
      <c r="AD287" s="3">
        <f t="shared" si="83"/>
        <v>2714303.7000000062</v>
      </c>
      <c r="AE287" s="1">
        <f t="shared" ca="1" si="84"/>
        <v>0</v>
      </c>
      <c r="AG287" s="3">
        <f t="shared" si="85"/>
        <v>0</v>
      </c>
      <c r="AH287" s="1">
        <f t="shared" si="76"/>
        <v>971</v>
      </c>
      <c r="AI287" s="3">
        <f t="shared" si="77"/>
        <v>0</v>
      </c>
      <c r="AL287" s="3">
        <f t="shared" si="86"/>
        <v>0</v>
      </c>
      <c r="AM287" s="3">
        <f t="shared" si="78"/>
        <v>0</v>
      </c>
      <c r="AQ287" s="4">
        <f t="shared" ca="1" si="88"/>
        <v>44635</v>
      </c>
      <c r="AR287" s="3">
        <f t="shared" ca="1" si="79"/>
        <v>566001.74999999965</v>
      </c>
      <c r="AS287" s="63">
        <f ca="1">IF($AQ287&lt;&gt;"", INDEX(Inputs!$B$3:$B$101, MATCH($AQ287,Inputs!$A$3:$A$101,1)), "")</f>
        <v>1E-3</v>
      </c>
      <c r="AT287" s="48">
        <f t="shared" ca="1" si="89"/>
        <v>1.5506897260273964</v>
      </c>
      <c r="AU287" s="3">
        <f t="shared" ca="1" si="80"/>
        <v>-1.5506897260273964</v>
      </c>
      <c r="AV287" s="3">
        <f t="shared" ca="1" si="87"/>
        <v>-1.5506897260273964</v>
      </c>
    </row>
    <row r="288" spans="1:48" x14ac:dyDescent="0.2">
      <c r="A288" s="4">
        <v>45322</v>
      </c>
      <c r="B288" s="1" t="s">
        <v>106</v>
      </c>
      <c r="G288" s="3">
        <v>411.06</v>
      </c>
      <c r="M288" s="3" t="str">
        <f t="shared" si="74"/>
        <v/>
      </c>
      <c r="N288" s="3"/>
      <c r="AA288" s="3">
        <f t="shared" si="75"/>
        <v>3450000</v>
      </c>
      <c r="AB288" s="3">
        <f t="shared" si="81"/>
        <v>3450000.0000000061</v>
      </c>
      <c r="AC288" s="3">
        <f t="shared" si="82"/>
        <v>735285.23999999976</v>
      </c>
      <c r="AD288" s="3">
        <f t="shared" si="83"/>
        <v>2714714.7600000063</v>
      </c>
      <c r="AE288" s="1">
        <f t="shared" ca="1" si="84"/>
        <v>1</v>
      </c>
      <c r="AG288" s="3">
        <f t="shared" si="85"/>
        <v>0</v>
      </c>
      <c r="AH288" s="1">
        <f t="shared" si="76"/>
        <v>971</v>
      </c>
      <c r="AI288" s="3">
        <f t="shared" si="77"/>
        <v>0</v>
      </c>
      <c r="AL288" s="3">
        <f t="shared" si="86"/>
        <v>0</v>
      </c>
      <c r="AM288" s="3">
        <f t="shared" si="78"/>
        <v>0</v>
      </c>
      <c r="AQ288" s="4">
        <f t="shared" ca="1" si="88"/>
        <v>44636</v>
      </c>
      <c r="AR288" s="3">
        <f t="shared" ca="1" si="79"/>
        <v>578052.6999999996</v>
      </c>
      <c r="AS288" s="63">
        <f ca="1">IF($AQ288&lt;&gt;"", INDEX(Inputs!$B$3:$B$101, MATCH($AQ288,Inputs!$A$3:$A$101,1)), "")</f>
        <v>1E-3</v>
      </c>
      <c r="AT288" s="48">
        <f t="shared" ca="1" si="89"/>
        <v>1.5837060273972592</v>
      </c>
      <c r="AU288" s="3">
        <f t="shared" ca="1" si="80"/>
        <v>-12052.533706027398</v>
      </c>
      <c r="AV288" s="3">
        <f t="shared" ca="1" si="87"/>
        <v>-12052.533706027398</v>
      </c>
    </row>
    <row r="289" spans="1:48" x14ac:dyDescent="0.2">
      <c r="A289" s="4">
        <v>45323</v>
      </c>
      <c r="B289" s="1" t="s">
        <v>66</v>
      </c>
      <c r="I289" s="3">
        <v>10400</v>
      </c>
      <c r="M289" s="3" t="str">
        <f t="shared" si="74"/>
        <v/>
      </c>
      <c r="N289" s="3"/>
      <c r="AA289" s="3">
        <f t="shared" si="75"/>
        <v>3450000</v>
      </c>
      <c r="AB289" s="3">
        <f t="shared" si="81"/>
        <v>3450000.0000000061</v>
      </c>
      <c r="AC289" s="3">
        <f t="shared" si="82"/>
        <v>735285.23999999976</v>
      </c>
      <c r="AD289" s="3">
        <f t="shared" si="83"/>
        <v>2714714.7600000063</v>
      </c>
      <c r="AE289" s="1">
        <f t="shared" ca="1" si="84"/>
        <v>15</v>
      </c>
      <c r="AG289" s="3">
        <f t="shared" si="85"/>
        <v>10400</v>
      </c>
      <c r="AH289" s="1">
        <f t="shared" si="76"/>
        <v>972</v>
      </c>
      <c r="AI289" s="3">
        <f t="shared" si="77"/>
        <v>10400</v>
      </c>
      <c r="AL289" s="3">
        <f t="shared" si="86"/>
        <v>10400</v>
      </c>
      <c r="AM289" s="3">
        <f t="shared" si="78"/>
        <v>10400</v>
      </c>
      <c r="AQ289" s="4">
        <f t="shared" ca="1" si="88"/>
        <v>44637</v>
      </c>
      <c r="AR289" s="3">
        <f t="shared" ca="1" si="79"/>
        <v>578052.6999999996</v>
      </c>
      <c r="AS289" s="63">
        <f ca="1">IF($AQ289&lt;&gt;"", INDEX(Inputs!$B$3:$B$101, MATCH($AQ289,Inputs!$A$3:$A$101,1)), "")</f>
        <v>1E-3</v>
      </c>
      <c r="AT289" s="48">
        <f t="shared" ca="1" si="89"/>
        <v>1.5837060273972592</v>
      </c>
      <c r="AU289" s="3">
        <f t="shared" ca="1" si="80"/>
        <v>-1.5837060273972592</v>
      </c>
      <c r="AV289" s="3">
        <f t="shared" ca="1" si="87"/>
        <v>-1.5837060273972592</v>
      </c>
    </row>
    <row r="290" spans="1:48" x14ac:dyDescent="0.2">
      <c r="A290" s="4">
        <v>45338</v>
      </c>
      <c r="B290" s="1" t="s">
        <v>104</v>
      </c>
      <c r="F290" s="3">
        <v>9818.51</v>
      </c>
      <c r="M290" s="3" t="str">
        <f t="shared" si="74"/>
        <v/>
      </c>
      <c r="N290" s="3"/>
      <c r="AA290" s="3">
        <f t="shared" si="75"/>
        <v>3450000</v>
      </c>
      <c r="AB290" s="3">
        <f t="shared" si="81"/>
        <v>3450000.0000000065</v>
      </c>
      <c r="AC290" s="3">
        <f t="shared" si="82"/>
        <v>745103.74999999977</v>
      </c>
      <c r="AD290" s="3">
        <f t="shared" si="83"/>
        <v>2704896.2500000065</v>
      </c>
      <c r="AE290" s="1">
        <f t="shared" ca="1" si="84"/>
        <v>0</v>
      </c>
      <c r="AG290" s="3">
        <f t="shared" si="85"/>
        <v>-9818.51</v>
      </c>
      <c r="AH290" s="1">
        <f t="shared" si="76"/>
        <v>987</v>
      </c>
      <c r="AI290" s="3">
        <f t="shared" si="77"/>
        <v>-9818.51</v>
      </c>
      <c r="AL290" s="3">
        <f t="shared" si="86"/>
        <v>-9818.51</v>
      </c>
      <c r="AM290" s="3">
        <f t="shared" si="78"/>
        <v>-9818.51</v>
      </c>
      <c r="AQ290" s="4">
        <f t="shared" ca="1" si="88"/>
        <v>44638</v>
      </c>
      <c r="AR290" s="3">
        <f t="shared" ca="1" si="79"/>
        <v>578052.6999999996</v>
      </c>
      <c r="AS290" s="63">
        <f ca="1">IF($AQ290&lt;&gt;"", INDEX(Inputs!$B$3:$B$101, MATCH($AQ290,Inputs!$A$3:$A$101,1)), "")</f>
        <v>1E-3</v>
      </c>
      <c r="AT290" s="48">
        <f t="shared" ca="1" si="89"/>
        <v>1.5837060273972592</v>
      </c>
      <c r="AU290" s="3">
        <f t="shared" ca="1" si="80"/>
        <v>1898.4162939726027</v>
      </c>
      <c r="AV290" s="3">
        <f t="shared" ca="1" si="87"/>
        <v>1898.4162939726027</v>
      </c>
    </row>
    <row r="291" spans="1:48" x14ac:dyDescent="0.2">
      <c r="A291" s="4">
        <v>45338</v>
      </c>
      <c r="B291" s="1" t="s">
        <v>105</v>
      </c>
      <c r="F291" s="3">
        <v>2978.24</v>
      </c>
      <c r="M291" s="3" t="str">
        <f t="shared" si="74"/>
        <v/>
      </c>
      <c r="N291" s="3"/>
      <c r="AA291" s="3">
        <f t="shared" si="75"/>
        <v>3450000</v>
      </c>
      <c r="AB291" s="3">
        <f t="shared" si="81"/>
        <v>3450000.0000000061</v>
      </c>
      <c r="AC291" s="3">
        <f t="shared" si="82"/>
        <v>748081.98999999976</v>
      </c>
      <c r="AD291" s="3">
        <f t="shared" si="83"/>
        <v>2701918.0100000063</v>
      </c>
      <c r="AE291" s="1">
        <f t="shared" ca="1" si="84"/>
        <v>13</v>
      </c>
      <c r="AG291" s="3">
        <f t="shared" si="85"/>
        <v>-2978.24</v>
      </c>
      <c r="AH291" s="1">
        <f t="shared" si="76"/>
        <v>987</v>
      </c>
      <c r="AI291" s="3">
        <f t="shared" si="77"/>
        <v>-2978.24</v>
      </c>
      <c r="AL291" s="3">
        <f t="shared" si="86"/>
        <v>-2978.24</v>
      </c>
      <c r="AM291" s="3">
        <f t="shared" si="78"/>
        <v>-2978.24</v>
      </c>
      <c r="AQ291" s="4">
        <f t="shared" ca="1" si="88"/>
        <v>44639</v>
      </c>
      <c r="AR291" s="3">
        <f t="shared" ref="AR291:AR314" ca="1" si="90">IF($AQ291&lt;&gt;"", INDEX($AC$3:$AC$1055, MATCH($AQ291,$A$3:$A$1055,1)), "")</f>
        <v>578052.6999999996</v>
      </c>
      <c r="AS291" s="63">
        <f ca="1">IF($AQ291&lt;&gt;"", INDEX(Inputs!$B$3:$B$101, MATCH($AQ291,Inputs!$A$3:$A$101,1)), "")</f>
        <v>1E-3</v>
      </c>
      <c r="AT291" s="48">
        <f t="shared" ca="1" si="89"/>
        <v>1.5837060273972592</v>
      </c>
      <c r="AU291" s="3">
        <f t="shared" ca="1" si="80"/>
        <v>-1.5837060273972592</v>
      </c>
      <c r="AV291" s="3">
        <f t="shared" ca="1" si="87"/>
        <v>-1.5837060273972592</v>
      </c>
    </row>
    <row r="292" spans="1:48" x14ac:dyDescent="0.2">
      <c r="A292" s="4">
        <v>45351</v>
      </c>
      <c r="B292" s="1" t="s">
        <v>103</v>
      </c>
      <c r="G292" s="3">
        <v>3731.39</v>
      </c>
      <c r="M292" s="3" t="str">
        <f t="shared" si="74"/>
        <v/>
      </c>
      <c r="N292" s="3"/>
      <c r="AA292" s="3">
        <f t="shared" si="75"/>
        <v>3450000</v>
      </c>
      <c r="AB292" s="3">
        <f t="shared" si="81"/>
        <v>3450000.0000000061</v>
      </c>
      <c r="AC292" s="3">
        <f t="shared" si="82"/>
        <v>744350.59999999974</v>
      </c>
      <c r="AD292" s="3">
        <f t="shared" si="83"/>
        <v>2705649.4000000064</v>
      </c>
      <c r="AE292" s="1">
        <f t="shared" ca="1" si="84"/>
        <v>0</v>
      </c>
      <c r="AG292" s="3">
        <f t="shared" si="85"/>
        <v>0</v>
      </c>
      <c r="AH292" s="1">
        <f t="shared" si="76"/>
        <v>1000</v>
      </c>
      <c r="AI292" s="3">
        <f t="shared" si="77"/>
        <v>0</v>
      </c>
      <c r="AL292" s="3">
        <f t="shared" si="86"/>
        <v>0</v>
      </c>
      <c r="AM292" s="3">
        <f t="shared" si="78"/>
        <v>0</v>
      </c>
      <c r="AQ292" s="4">
        <f t="shared" ca="1" si="88"/>
        <v>44640</v>
      </c>
      <c r="AR292" s="3">
        <f t="shared" ca="1" si="90"/>
        <v>578052.6999999996</v>
      </c>
      <c r="AS292" s="63">
        <f ca="1">IF($AQ292&lt;&gt;"", INDEX(Inputs!$B$3:$B$101, MATCH($AQ292,Inputs!$A$3:$A$101,1)), "")</f>
        <v>1E-3</v>
      </c>
      <c r="AT292" s="48">
        <f t="shared" ca="1" si="89"/>
        <v>1.5837060273972592</v>
      </c>
      <c r="AU292" s="3">
        <f t="shared" ca="1" si="80"/>
        <v>-1.5837060273972592</v>
      </c>
      <c r="AV292" s="3">
        <f t="shared" ca="1" si="87"/>
        <v>-1.5837060273972592</v>
      </c>
    </row>
    <row r="293" spans="1:48" x14ac:dyDescent="0.2">
      <c r="A293" s="4">
        <v>45351</v>
      </c>
      <c r="B293" s="1" t="s">
        <v>106</v>
      </c>
      <c r="G293" s="3">
        <v>387.57</v>
      </c>
      <c r="M293" s="3" t="str">
        <f t="shared" si="74"/>
        <v/>
      </c>
      <c r="N293" s="3"/>
      <c r="AA293" s="3">
        <f t="shared" si="75"/>
        <v>3450000</v>
      </c>
      <c r="AB293" s="3">
        <f t="shared" si="81"/>
        <v>3450000.0000000061</v>
      </c>
      <c r="AC293" s="3">
        <f t="shared" si="82"/>
        <v>743963.0299999998</v>
      </c>
      <c r="AD293" s="3">
        <f t="shared" si="83"/>
        <v>2706036.9700000063</v>
      </c>
      <c r="AE293" s="1">
        <f t="shared" ca="1" si="84"/>
        <v>1</v>
      </c>
      <c r="AG293" s="3">
        <f t="shared" si="85"/>
        <v>0</v>
      </c>
      <c r="AH293" s="1">
        <f t="shared" si="76"/>
        <v>1000</v>
      </c>
      <c r="AI293" s="3">
        <f t="shared" si="77"/>
        <v>0</v>
      </c>
      <c r="AL293" s="3">
        <f t="shared" si="86"/>
        <v>0</v>
      </c>
      <c r="AM293" s="3">
        <f t="shared" si="78"/>
        <v>0</v>
      </c>
      <c r="AQ293" s="4">
        <f t="shared" ca="1" si="88"/>
        <v>44641</v>
      </c>
      <c r="AR293" s="3">
        <f t="shared" ca="1" si="90"/>
        <v>578052.6999999996</v>
      </c>
      <c r="AS293" s="63">
        <f ca="1">IF($AQ293&lt;&gt;"", INDEX(Inputs!$B$3:$B$101, MATCH($AQ293,Inputs!$A$3:$A$101,1)), "")</f>
        <v>1E-3</v>
      </c>
      <c r="AT293" s="48">
        <f t="shared" ca="1" si="89"/>
        <v>1.5837060273972592</v>
      </c>
      <c r="AU293" s="3">
        <f t="shared" ca="1" si="80"/>
        <v>-1.5837060273972592</v>
      </c>
      <c r="AV293" s="3">
        <f t="shared" ca="1" si="87"/>
        <v>-1.5837060273972592</v>
      </c>
    </row>
    <row r="294" spans="1:48" x14ac:dyDescent="0.2">
      <c r="A294" s="4">
        <v>45352</v>
      </c>
      <c r="B294" s="1" t="s">
        <v>66</v>
      </c>
      <c r="I294" s="3">
        <v>10400</v>
      </c>
      <c r="M294" s="3" t="str">
        <f t="shared" si="74"/>
        <v/>
      </c>
      <c r="N294" s="3"/>
      <c r="AA294" s="3">
        <f t="shared" si="75"/>
        <v>3450000</v>
      </c>
      <c r="AB294" s="3">
        <f t="shared" si="81"/>
        <v>3450000.0000000061</v>
      </c>
      <c r="AC294" s="3">
        <f t="shared" si="82"/>
        <v>743963.0299999998</v>
      </c>
      <c r="AD294" s="3">
        <f t="shared" si="83"/>
        <v>2706036.9700000063</v>
      </c>
      <c r="AE294" s="1">
        <f t="shared" ca="1" si="84"/>
        <v>5</v>
      </c>
      <c r="AG294" s="3">
        <f t="shared" si="85"/>
        <v>10400</v>
      </c>
      <c r="AH294" s="1">
        <f t="shared" si="76"/>
        <v>1001</v>
      </c>
      <c r="AI294" s="3">
        <f t="shared" si="77"/>
        <v>10400</v>
      </c>
      <c r="AL294" s="3">
        <f t="shared" si="86"/>
        <v>10400</v>
      </c>
      <c r="AM294" s="3">
        <f t="shared" si="78"/>
        <v>10400</v>
      </c>
      <c r="AQ294" s="4">
        <f t="shared" ca="1" si="88"/>
        <v>44642</v>
      </c>
      <c r="AR294" s="3">
        <f t="shared" ca="1" si="90"/>
        <v>578052.6999999996</v>
      </c>
      <c r="AS294" s="63">
        <f ca="1">IF($AQ294&lt;&gt;"", INDEX(Inputs!$B$3:$B$101, MATCH($AQ294,Inputs!$A$3:$A$101,1)), "")</f>
        <v>1E-3</v>
      </c>
      <c r="AT294" s="48">
        <f t="shared" ca="1" si="89"/>
        <v>1.5837060273972592</v>
      </c>
      <c r="AU294" s="3">
        <f t="shared" ca="1" si="80"/>
        <v>-1.5837060273972592</v>
      </c>
      <c r="AV294" s="3">
        <f t="shared" ca="1" si="87"/>
        <v>-1.5837060273972592</v>
      </c>
    </row>
    <row r="295" spans="1:48" x14ac:dyDescent="0.2">
      <c r="A295" s="4">
        <v>45357</v>
      </c>
      <c r="B295" s="1" t="s">
        <v>50</v>
      </c>
      <c r="H295" s="3">
        <v>3630.44</v>
      </c>
      <c r="M295" s="3" t="str">
        <f t="shared" si="74"/>
        <v/>
      </c>
      <c r="N295" s="3"/>
      <c r="AA295" s="3">
        <f t="shared" si="75"/>
        <v>3450000</v>
      </c>
      <c r="AB295" s="3">
        <f t="shared" si="81"/>
        <v>3450000.0000000061</v>
      </c>
      <c r="AC295" s="3">
        <f t="shared" si="82"/>
        <v>743963.0299999998</v>
      </c>
      <c r="AD295" s="3">
        <f t="shared" si="83"/>
        <v>2706036.9700000063</v>
      </c>
      <c r="AE295" s="1">
        <f t="shared" ca="1" si="84"/>
        <v>12</v>
      </c>
      <c r="AG295" s="3">
        <f t="shared" si="85"/>
        <v>-3630.44</v>
      </c>
      <c r="AH295" s="1">
        <f t="shared" si="76"/>
        <v>1006</v>
      </c>
      <c r="AI295" s="3">
        <f t="shared" si="77"/>
        <v>-3630.44</v>
      </c>
      <c r="AL295" s="3">
        <f t="shared" si="86"/>
        <v>-3630.44</v>
      </c>
      <c r="AM295" s="3">
        <f t="shared" si="78"/>
        <v>-3630.44</v>
      </c>
      <c r="AQ295" s="4">
        <f t="shared" ca="1" si="88"/>
        <v>44643</v>
      </c>
      <c r="AR295" s="3">
        <f t="shared" ca="1" si="90"/>
        <v>578052.6999999996</v>
      </c>
      <c r="AS295" s="63">
        <f ca="1">IF($AQ295&lt;&gt;"", INDEX(Inputs!$B$3:$B$101, MATCH($AQ295,Inputs!$A$3:$A$101,1)), "")</f>
        <v>1E-3</v>
      </c>
      <c r="AT295" s="48">
        <f t="shared" ca="1" si="89"/>
        <v>1.5837060273972592</v>
      </c>
      <c r="AU295" s="3">
        <f t="shared" ca="1" si="80"/>
        <v>-1.5837060273972592</v>
      </c>
      <c r="AV295" s="3">
        <f t="shared" ca="1" si="87"/>
        <v>-1.5837060273972592</v>
      </c>
    </row>
    <row r="296" spans="1:48" x14ac:dyDescent="0.2">
      <c r="A296" s="4">
        <v>45369</v>
      </c>
      <c r="B296" s="1" t="s">
        <v>104</v>
      </c>
      <c r="F296" s="3">
        <v>9818.51</v>
      </c>
      <c r="M296" s="3" t="str">
        <f t="shared" si="74"/>
        <v/>
      </c>
      <c r="N296" s="3"/>
      <c r="AA296" s="3">
        <f t="shared" si="75"/>
        <v>3450000</v>
      </c>
      <c r="AB296" s="3">
        <f t="shared" si="81"/>
        <v>3450000.0000000065</v>
      </c>
      <c r="AC296" s="3">
        <f t="shared" si="82"/>
        <v>753781.5399999998</v>
      </c>
      <c r="AD296" s="3">
        <f t="shared" si="83"/>
        <v>2696218.4600000065</v>
      </c>
      <c r="AE296" s="1">
        <f t="shared" ca="1" si="84"/>
        <v>0</v>
      </c>
      <c r="AG296" s="3">
        <f t="shared" si="85"/>
        <v>-9818.51</v>
      </c>
      <c r="AH296" s="1">
        <f t="shared" si="76"/>
        <v>1018</v>
      </c>
      <c r="AI296" s="3">
        <f t="shared" si="77"/>
        <v>-9818.51</v>
      </c>
      <c r="AL296" s="3">
        <f t="shared" si="86"/>
        <v>-9818.51</v>
      </c>
      <c r="AM296" s="3">
        <f t="shared" si="78"/>
        <v>-9818.51</v>
      </c>
      <c r="AQ296" s="4">
        <f t="shared" ca="1" si="88"/>
        <v>44644</v>
      </c>
      <c r="AR296" s="3">
        <f t="shared" ca="1" si="90"/>
        <v>578052.6999999996</v>
      </c>
      <c r="AS296" s="63">
        <f ca="1">IF($AQ296&lt;&gt;"", INDEX(Inputs!$B$3:$B$101, MATCH($AQ296,Inputs!$A$3:$A$101,1)), "")</f>
        <v>1E-3</v>
      </c>
      <c r="AT296" s="48">
        <f t="shared" ca="1" si="89"/>
        <v>1.5837060273972592</v>
      </c>
      <c r="AU296" s="3">
        <f t="shared" ca="1" si="80"/>
        <v>-1.5837060273972592</v>
      </c>
      <c r="AV296" s="3">
        <f t="shared" ca="1" si="87"/>
        <v>-1.5837060273972592</v>
      </c>
    </row>
    <row r="297" spans="1:48" x14ac:dyDescent="0.2">
      <c r="A297" s="4">
        <v>45369</v>
      </c>
      <c r="B297" s="1" t="s">
        <v>105</v>
      </c>
      <c r="F297" s="3">
        <v>2978.24</v>
      </c>
      <c r="M297" s="3" t="str">
        <f t="shared" si="74"/>
        <v/>
      </c>
      <c r="N297" s="3"/>
      <c r="AA297" s="3">
        <f t="shared" si="75"/>
        <v>3450000</v>
      </c>
      <c r="AB297" s="3">
        <f t="shared" si="81"/>
        <v>3450000.0000000061</v>
      </c>
      <c r="AC297" s="3">
        <f t="shared" si="82"/>
        <v>756759.7799999998</v>
      </c>
      <c r="AD297" s="3">
        <f t="shared" si="83"/>
        <v>2693240.2200000063</v>
      </c>
      <c r="AE297" s="1">
        <f t="shared" ca="1" si="84"/>
        <v>10</v>
      </c>
      <c r="AG297" s="3">
        <f t="shared" si="85"/>
        <v>-2978.24</v>
      </c>
      <c r="AH297" s="1">
        <f t="shared" si="76"/>
        <v>1018</v>
      </c>
      <c r="AI297" s="3">
        <f t="shared" si="77"/>
        <v>-2978.24</v>
      </c>
      <c r="AL297" s="3">
        <f t="shared" si="86"/>
        <v>-2978.24</v>
      </c>
      <c r="AM297" s="3">
        <f t="shared" si="78"/>
        <v>-2978.24</v>
      </c>
      <c r="AQ297" s="4">
        <f t="shared" ca="1" si="88"/>
        <v>44645</v>
      </c>
      <c r="AR297" s="3">
        <f t="shared" ca="1" si="90"/>
        <v>578052.6999999996</v>
      </c>
      <c r="AS297" s="63">
        <f ca="1">IF($AQ297&lt;&gt;"", INDEX(Inputs!$B$3:$B$101, MATCH($AQ297,Inputs!$A$3:$A$101,1)), "")</f>
        <v>1E-3</v>
      </c>
      <c r="AT297" s="48">
        <f t="shared" ca="1" si="89"/>
        <v>1.5837060273972592</v>
      </c>
      <c r="AU297" s="3">
        <f t="shared" ca="1" si="80"/>
        <v>1898.4162939726027</v>
      </c>
      <c r="AV297" s="3">
        <f t="shared" ca="1" si="87"/>
        <v>1898.4162939726027</v>
      </c>
    </row>
    <row r="298" spans="1:48" x14ac:dyDescent="0.2">
      <c r="A298" s="4">
        <v>45379</v>
      </c>
      <c r="B298" s="1" t="s">
        <v>103</v>
      </c>
      <c r="G298" s="3">
        <v>3594.44</v>
      </c>
      <c r="M298" s="3" t="str">
        <f t="shared" si="74"/>
        <v/>
      </c>
      <c r="N298" s="3"/>
      <c r="AA298" s="3">
        <f t="shared" si="75"/>
        <v>3450000</v>
      </c>
      <c r="AB298" s="3">
        <f t="shared" si="81"/>
        <v>3450000.0000000061</v>
      </c>
      <c r="AC298" s="3">
        <f t="shared" si="82"/>
        <v>753165.33999999985</v>
      </c>
      <c r="AD298" s="3">
        <f t="shared" si="83"/>
        <v>2696834.6600000062</v>
      </c>
      <c r="AE298" s="1">
        <f t="shared" ca="1" si="84"/>
        <v>0</v>
      </c>
      <c r="AG298" s="3">
        <f t="shared" si="85"/>
        <v>0</v>
      </c>
      <c r="AH298" s="1">
        <f t="shared" si="76"/>
        <v>1028</v>
      </c>
      <c r="AI298" s="3">
        <f t="shared" si="77"/>
        <v>0</v>
      </c>
      <c r="AL298" s="3">
        <f t="shared" si="86"/>
        <v>0</v>
      </c>
      <c r="AM298" s="3">
        <f t="shared" si="78"/>
        <v>0</v>
      </c>
      <c r="AQ298" s="4">
        <f t="shared" ca="1" si="88"/>
        <v>44646</v>
      </c>
      <c r="AR298" s="3">
        <f t="shared" ca="1" si="90"/>
        <v>578052.6999999996</v>
      </c>
      <c r="AS298" s="63">
        <f ca="1">IF($AQ298&lt;&gt;"", INDEX(Inputs!$B$3:$B$101, MATCH($AQ298,Inputs!$A$3:$A$101,1)), "")</f>
        <v>1E-3</v>
      </c>
      <c r="AT298" s="48">
        <f t="shared" ca="1" si="89"/>
        <v>1.5837060273972592</v>
      </c>
      <c r="AU298" s="3">
        <f t="shared" ca="1" si="80"/>
        <v>-1.5837060273972592</v>
      </c>
      <c r="AV298" s="3">
        <f t="shared" ca="1" si="87"/>
        <v>-1.5837060273972592</v>
      </c>
    </row>
    <row r="299" spans="1:48" x14ac:dyDescent="0.2">
      <c r="A299" s="4">
        <v>45379</v>
      </c>
      <c r="B299" s="1" t="s">
        <v>106</v>
      </c>
      <c r="G299" s="3">
        <v>878.35</v>
      </c>
      <c r="M299" s="3" t="str">
        <f t="shared" si="74"/>
        <v/>
      </c>
      <c r="N299" s="3"/>
      <c r="AA299" s="3">
        <f t="shared" si="75"/>
        <v>3450000</v>
      </c>
      <c r="AB299" s="3">
        <f t="shared" si="81"/>
        <v>3450000.0000000061</v>
      </c>
      <c r="AC299" s="3">
        <f t="shared" si="82"/>
        <v>752286.98999999987</v>
      </c>
      <c r="AD299" s="3">
        <f t="shared" si="83"/>
        <v>2697713.0100000063</v>
      </c>
      <c r="AE299" s="1">
        <f t="shared" ca="1" si="84"/>
        <v>0</v>
      </c>
      <c r="AG299" s="3">
        <f t="shared" si="85"/>
        <v>0</v>
      </c>
      <c r="AH299" s="1">
        <f t="shared" si="76"/>
        <v>1028</v>
      </c>
      <c r="AI299" s="3">
        <f t="shared" si="77"/>
        <v>0</v>
      </c>
      <c r="AL299" s="3">
        <f t="shared" si="86"/>
        <v>0</v>
      </c>
      <c r="AM299" s="3">
        <f t="shared" si="78"/>
        <v>0</v>
      </c>
      <c r="AQ299" s="4">
        <f t="shared" ca="1" si="88"/>
        <v>44647</v>
      </c>
      <c r="AR299" s="3">
        <f t="shared" ca="1" si="90"/>
        <v>578052.6999999996</v>
      </c>
      <c r="AS299" s="63">
        <f ca="1">IF($AQ299&lt;&gt;"", INDEX(Inputs!$B$3:$B$101, MATCH($AQ299,Inputs!$A$3:$A$101,1)), "")</f>
        <v>1E-3</v>
      </c>
      <c r="AT299" s="48">
        <f t="shared" ca="1" si="89"/>
        <v>1.5837060273972592</v>
      </c>
      <c r="AU299" s="3">
        <f t="shared" ca="1" si="80"/>
        <v>-1.5837060273972592</v>
      </c>
      <c r="AV299" s="3">
        <f t="shared" ca="1" si="87"/>
        <v>-1.5837060273972592</v>
      </c>
    </row>
    <row r="300" spans="1:48" x14ac:dyDescent="0.2">
      <c r="A300" s="4">
        <v>45379</v>
      </c>
      <c r="B300" s="1" t="s">
        <v>80</v>
      </c>
      <c r="H300" s="3">
        <v>227.4</v>
      </c>
      <c r="M300" s="3" t="str">
        <f t="shared" si="74"/>
        <v/>
      </c>
      <c r="N300" s="3"/>
      <c r="AA300" s="3">
        <f t="shared" si="75"/>
        <v>3450000</v>
      </c>
      <c r="AB300" s="3">
        <f t="shared" si="81"/>
        <v>3450000.0000000061</v>
      </c>
      <c r="AC300" s="3">
        <f t="shared" si="82"/>
        <v>752286.98999999987</v>
      </c>
      <c r="AD300" s="3">
        <f t="shared" si="83"/>
        <v>2697713.0100000063</v>
      </c>
      <c r="AE300" s="1">
        <f t="shared" ca="1" si="84"/>
        <v>5</v>
      </c>
      <c r="AG300" s="3">
        <f t="shared" si="85"/>
        <v>-227.4</v>
      </c>
      <c r="AH300" s="1">
        <f t="shared" si="76"/>
        <v>1028</v>
      </c>
      <c r="AI300" s="3">
        <f t="shared" si="77"/>
        <v>-227.4</v>
      </c>
      <c r="AL300" s="3">
        <f t="shared" si="86"/>
        <v>-227.4</v>
      </c>
      <c r="AM300" s="3">
        <f t="shared" si="78"/>
        <v>-227.4</v>
      </c>
      <c r="AQ300" s="4">
        <f t="shared" ca="1" si="88"/>
        <v>44648</v>
      </c>
      <c r="AR300" s="3">
        <f t="shared" ca="1" si="90"/>
        <v>578052.6999999996</v>
      </c>
      <c r="AS300" s="63">
        <f ca="1">IF($AQ300&lt;&gt;"", INDEX(Inputs!$B$3:$B$101, MATCH($AQ300,Inputs!$A$3:$A$101,1)), "")</f>
        <v>1E-3</v>
      </c>
      <c r="AT300" s="48">
        <f t="shared" ca="1" si="89"/>
        <v>1.5837060273972592</v>
      </c>
      <c r="AU300" s="3">
        <f t="shared" ca="1" si="80"/>
        <v>-1.5837060273972592</v>
      </c>
      <c r="AV300" s="3">
        <f t="shared" ca="1" si="87"/>
        <v>-1.5837060273972592</v>
      </c>
    </row>
    <row r="301" spans="1:48" x14ac:dyDescent="0.2">
      <c r="A301" s="4">
        <v>45384</v>
      </c>
      <c r="B301" s="1" t="s">
        <v>66</v>
      </c>
      <c r="I301" s="3">
        <v>10400</v>
      </c>
      <c r="M301" s="3" t="str">
        <f t="shared" si="74"/>
        <v/>
      </c>
      <c r="N301" s="3"/>
      <c r="P301" s="1" t="s">
        <v>134</v>
      </c>
      <c r="R301" s="1" t="s">
        <v>135</v>
      </c>
      <c r="T301" s="1" t="s">
        <v>136</v>
      </c>
      <c r="V301" s="1" t="s">
        <v>137</v>
      </c>
      <c r="AA301" s="3">
        <f t="shared" si="75"/>
        <v>3450000</v>
      </c>
      <c r="AB301" s="3">
        <f t="shared" si="81"/>
        <v>3450000.0000000061</v>
      </c>
      <c r="AC301" s="3">
        <f t="shared" si="82"/>
        <v>752286.98999999987</v>
      </c>
      <c r="AD301" s="3">
        <f t="shared" si="83"/>
        <v>2697713.0100000063</v>
      </c>
      <c r="AE301" s="1">
        <f t="shared" ca="1" si="84"/>
        <v>14</v>
      </c>
      <c r="AG301" s="3">
        <f t="shared" si="85"/>
        <v>10400</v>
      </c>
      <c r="AH301" s="1">
        <f t="shared" si="76"/>
        <v>1033</v>
      </c>
      <c r="AI301" s="3">
        <f t="shared" si="77"/>
        <v>10400</v>
      </c>
      <c r="AL301" s="3">
        <f t="shared" si="86"/>
        <v>10400</v>
      </c>
      <c r="AM301" s="3">
        <f t="shared" si="78"/>
        <v>10400</v>
      </c>
      <c r="AQ301" s="4">
        <f t="shared" ca="1" si="88"/>
        <v>44649</v>
      </c>
      <c r="AR301" s="3">
        <f t="shared" ca="1" si="90"/>
        <v>578052.6999999996</v>
      </c>
      <c r="AS301" s="63">
        <f ca="1">IF($AQ301&lt;&gt;"", INDEX(Inputs!$B$3:$B$101, MATCH($AQ301,Inputs!$A$3:$A$101,1)), "")</f>
        <v>1E-3</v>
      </c>
      <c r="AT301" s="48">
        <f t="shared" ca="1" si="89"/>
        <v>1.5837060273972592</v>
      </c>
      <c r="AU301" s="3">
        <f t="shared" ca="1" si="80"/>
        <v>-1.5837060273972592</v>
      </c>
      <c r="AV301" s="3">
        <f t="shared" ca="1" si="87"/>
        <v>-1.5837060273972592</v>
      </c>
    </row>
    <row r="302" spans="1:48" x14ac:dyDescent="0.2">
      <c r="A302" s="4">
        <v>45398</v>
      </c>
      <c r="B302" s="1" t="s">
        <v>104</v>
      </c>
      <c r="F302" s="3">
        <v>9818.51</v>
      </c>
      <c r="M302" s="3" t="str">
        <f t="shared" si="74"/>
        <v/>
      </c>
      <c r="N302" s="3"/>
      <c r="O302" s="50">
        <v>45108</v>
      </c>
      <c r="P302" s="84">
        <f>SUMIFS(G:G, $A:$A,"&gt;="&amp;$O302, $A:$A,"&lt;="&amp;$O303)</f>
        <v>52597.610000000008</v>
      </c>
      <c r="R302" s="1">
        <f>SUMIFS(I:I, $A:$A,"&gt;="&amp;$O302, $A:$A,"&lt;="&amp;$O303)</f>
        <v>119200</v>
      </c>
      <c r="T302" s="1">
        <f>SUMIFS(H:H, $A:$A,"&gt;="&amp;$O302, $A:$A,"&lt;="&amp;$O303, $B:$B,"Strata Levies")</f>
        <v>13835.490000000002</v>
      </c>
      <c r="V302" s="1">
        <f>SUMIFS(H:H, $A:$A,"&gt;="&amp;$O302, $A:$A,"&lt;="&amp;$O303, $B:$B,"Water Rates")</f>
        <v>976.94999999999993</v>
      </c>
      <c r="AA302" s="3">
        <f t="shared" si="75"/>
        <v>3450000</v>
      </c>
      <c r="AB302" s="3">
        <f t="shared" si="81"/>
        <v>3450000.0000000065</v>
      </c>
      <c r="AC302" s="3">
        <f t="shared" si="82"/>
        <v>762105.49999999988</v>
      </c>
      <c r="AD302" s="3">
        <f t="shared" si="83"/>
        <v>2687894.5000000065</v>
      </c>
      <c r="AE302" s="1">
        <f t="shared" ca="1" si="84"/>
        <v>0</v>
      </c>
      <c r="AG302" s="3">
        <f t="shared" si="85"/>
        <v>-9818.51</v>
      </c>
      <c r="AH302" s="1">
        <f t="shared" si="76"/>
        <v>1047</v>
      </c>
      <c r="AI302" s="3">
        <f t="shared" si="77"/>
        <v>-9818.51</v>
      </c>
      <c r="AL302" s="3">
        <f t="shared" si="86"/>
        <v>-9818.51</v>
      </c>
      <c r="AM302" s="3">
        <f t="shared" si="78"/>
        <v>-9818.51</v>
      </c>
      <c r="AQ302" s="4">
        <f t="shared" ca="1" si="88"/>
        <v>44650</v>
      </c>
      <c r="AR302" s="3">
        <f t="shared" ca="1" si="90"/>
        <v>578052.6999999996</v>
      </c>
      <c r="AS302" s="63">
        <f ca="1">IF($AQ302&lt;&gt;"", INDEX(Inputs!$B$3:$B$101, MATCH($AQ302,Inputs!$A$3:$A$101,1)), "")</f>
        <v>1E-3</v>
      </c>
      <c r="AT302" s="48">
        <f t="shared" ca="1" si="89"/>
        <v>1.5837060273972592</v>
      </c>
      <c r="AU302" s="3">
        <f t="shared" ca="1" si="80"/>
        <v>-1.5837060273972592</v>
      </c>
      <c r="AV302" s="3">
        <f t="shared" ca="1" si="87"/>
        <v>-1.5837060273972592</v>
      </c>
    </row>
    <row r="303" spans="1:48" x14ac:dyDescent="0.2">
      <c r="A303" s="4">
        <v>45398</v>
      </c>
      <c r="B303" s="1" t="s">
        <v>105</v>
      </c>
      <c r="F303" s="3">
        <v>2978.24</v>
      </c>
      <c r="M303" s="3" t="str">
        <f t="shared" si="74"/>
        <v/>
      </c>
      <c r="N303" s="3"/>
      <c r="O303" s="50">
        <v>45473</v>
      </c>
      <c r="AA303" s="3">
        <f t="shared" si="75"/>
        <v>3450000</v>
      </c>
      <c r="AB303" s="3">
        <f t="shared" si="81"/>
        <v>3450000.0000000061</v>
      </c>
      <c r="AC303" s="3">
        <f t="shared" si="82"/>
        <v>765083.73999999987</v>
      </c>
      <c r="AD303" s="3">
        <f t="shared" si="83"/>
        <v>2684916.2600000063</v>
      </c>
      <c r="AE303" s="1">
        <f t="shared" ca="1" si="84"/>
        <v>14</v>
      </c>
      <c r="AG303" s="3">
        <f t="shared" si="85"/>
        <v>-2978.24</v>
      </c>
      <c r="AH303" s="1">
        <f t="shared" si="76"/>
        <v>1047</v>
      </c>
      <c r="AI303" s="3">
        <f t="shared" si="77"/>
        <v>-2978.24</v>
      </c>
      <c r="AL303" s="3">
        <f t="shared" si="86"/>
        <v>-2978.24</v>
      </c>
      <c r="AM303" s="3">
        <f t="shared" si="78"/>
        <v>-2978.24</v>
      </c>
      <c r="AQ303" s="4">
        <f t="shared" ca="1" si="88"/>
        <v>44651</v>
      </c>
      <c r="AR303" s="3">
        <f t="shared" ca="1" si="90"/>
        <v>573060.8199999996</v>
      </c>
      <c r="AS303" s="63">
        <f ca="1">IF($AQ303&lt;&gt;"", INDEX(Inputs!$B$3:$B$101, MATCH($AQ303,Inputs!$A$3:$A$101,1)), "")</f>
        <v>1E-3</v>
      </c>
      <c r="AT303" s="48">
        <f t="shared" ca="1" si="89"/>
        <v>1.5700296438356154</v>
      </c>
      <c r="AU303" s="3">
        <f t="shared" ca="1" si="80"/>
        <v>-282.17002964383562</v>
      </c>
      <c r="AV303" s="3">
        <f t="shared" ca="1" si="87"/>
        <v>-282.17002964383562</v>
      </c>
    </row>
    <row r="304" spans="1:48" x14ac:dyDescent="0.2">
      <c r="A304" s="4">
        <v>45412</v>
      </c>
      <c r="B304" s="1" t="s">
        <v>103</v>
      </c>
      <c r="G304" s="3">
        <v>4223.3500000000004</v>
      </c>
      <c r="M304" s="3" t="str">
        <f t="shared" si="74"/>
        <v/>
      </c>
      <c r="N304" s="3"/>
      <c r="AA304" s="3">
        <f t="shared" si="75"/>
        <v>3450000</v>
      </c>
      <c r="AB304" s="3">
        <f t="shared" si="81"/>
        <v>3450000.0000000065</v>
      </c>
      <c r="AC304" s="3">
        <f t="shared" si="82"/>
        <v>760860.3899999999</v>
      </c>
      <c r="AD304" s="3">
        <f t="shared" si="83"/>
        <v>2689139.6100000064</v>
      </c>
      <c r="AE304" s="1">
        <f t="shared" ca="1" si="84"/>
        <v>0</v>
      </c>
      <c r="AG304" s="3">
        <f t="shared" si="85"/>
        <v>0</v>
      </c>
      <c r="AH304" s="1">
        <f t="shared" si="76"/>
        <v>1061</v>
      </c>
      <c r="AI304" s="3">
        <f t="shared" si="77"/>
        <v>0</v>
      </c>
      <c r="AL304" s="3">
        <f t="shared" si="86"/>
        <v>0</v>
      </c>
      <c r="AM304" s="3">
        <f t="shared" si="78"/>
        <v>0</v>
      </c>
      <c r="AQ304" s="4">
        <f t="shared" ca="1" si="88"/>
        <v>44652</v>
      </c>
      <c r="AR304" s="3">
        <f t="shared" ca="1" si="90"/>
        <v>573060.8199999996</v>
      </c>
      <c r="AS304" s="63">
        <f ca="1">IF($AQ304&lt;&gt;"", INDEX(Inputs!$B$3:$B$101, MATCH($AQ304,Inputs!$A$3:$A$101,1)), "")</f>
        <v>1E-3</v>
      </c>
      <c r="AT304" s="48">
        <f t="shared" ca="1" si="89"/>
        <v>1.5700296438356154</v>
      </c>
      <c r="AU304" s="3">
        <f t="shared" ca="1" si="80"/>
        <v>1898.4299703561644</v>
      </c>
      <c r="AV304" s="3">
        <f t="shared" ca="1" si="87"/>
        <v>1898.4299703561644</v>
      </c>
    </row>
    <row r="305" spans="1:48" x14ac:dyDescent="0.2">
      <c r="A305" s="4">
        <v>45412</v>
      </c>
      <c r="B305" s="1" t="s">
        <v>106</v>
      </c>
      <c r="G305" s="3">
        <v>206.57</v>
      </c>
      <c r="M305" s="3" t="str">
        <f t="shared" si="74"/>
        <v/>
      </c>
      <c r="N305" s="3"/>
      <c r="AA305" s="3">
        <f t="shared" si="75"/>
        <v>3450000</v>
      </c>
      <c r="AB305" s="3">
        <f t="shared" si="81"/>
        <v>3450000.0000000061</v>
      </c>
      <c r="AC305" s="3">
        <f t="shared" si="82"/>
        <v>760653.82</v>
      </c>
      <c r="AD305" s="3">
        <f t="shared" si="83"/>
        <v>2689346.1800000062</v>
      </c>
      <c r="AE305" s="1">
        <f t="shared" ca="1" si="84"/>
        <v>1</v>
      </c>
      <c r="AG305" s="3">
        <f t="shared" si="85"/>
        <v>0</v>
      </c>
      <c r="AH305" s="1">
        <f t="shared" si="76"/>
        <v>1061</v>
      </c>
      <c r="AI305" s="3">
        <f t="shared" si="77"/>
        <v>0</v>
      </c>
      <c r="AL305" s="3">
        <f t="shared" si="86"/>
        <v>0</v>
      </c>
      <c r="AM305" s="3">
        <f t="shared" si="78"/>
        <v>0</v>
      </c>
      <c r="AQ305" s="4">
        <f t="shared" ca="1" si="88"/>
        <v>44653</v>
      </c>
      <c r="AR305" s="3">
        <f t="shared" ca="1" si="90"/>
        <v>573060.8199999996</v>
      </c>
      <c r="AS305" s="63">
        <f ca="1">IF($AQ305&lt;&gt;"", INDEX(Inputs!$B$3:$B$101, MATCH($AQ305,Inputs!$A$3:$A$101,1)), "")</f>
        <v>1E-3</v>
      </c>
      <c r="AT305" s="48">
        <f t="shared" ca="1" si="89"/>
        <v>1.5700296438356154</v>
      </c>
      <c r="AU305" s="3">
        <f t="shared" ca="1" si="80"/>
        <v>-1.5700296438356154</v>
      </c>
      <c r="AV305" s="3">
        <f t="shared" ca="1" si="87"/>
        <v>-1.5700296438356154</v>
      </c>
    </row>
    <row r="306" spans="1:48" x14ac:dyDescent="0.2">
      <c r="A306" s="4">
        <v>45413</v>
      </c>
      <c r="B306" s="1" t="s">
        <v>66</v>
      </c>
      <c r="I306" s="3">
        <v>10400</v>
      </c>
      <c r="M306" s="3" t="str">
        <f t="shared" si="74"/>
        <v/>
      </c>
      <c r="N306" s="3"/>
      <c r="AA306" s="3">
        <f t="shared" si="75"/>
        <v>3450000</v>
      </c>
      <c r="AB306" s="3">
        <f t="shared" si="81"/>
        <v>3450000.0000000061</v>
      </c>
      <c r="AC306" s="3">
        <f t="shared" si="82"/>
        <v>760653.82</v>
      </c>
      <c r="AD306" s="3">
        <f t="shared" si="83"/>
        <v>2689346.1800000062</v>
      </c>
      <c r="AE306" s="1">
        <f t="shared" ca="1" si="84"/>
        <v>0</v>
      </c>
      <c r="AG306" s="3">
        <f t="shared" si="85"/>
        <v>10400</v>
      </c>
      <c r="AH306" s="1">
        <f t="shared" si="76"/>
        <v>1062</v>
      </c>
      <c r="AI306" s="3">
        <f t="shared" si="77"/>
        <v>10400</v>
      </c>
      <c r="AL306" s="3">
        <f t="shared" si="86"/>
        <v>10400</v>
      </c>
      <c r="AM306" s="3">
        <f t="shared" si="78"/>
        <v>10400</v>
      </c>
      <c r="AQ306" s="4">
        <f t="shared" ca="1" si="88"/>
        <v>44654</v>
      </c>
      <c r="AR306" s="3">
        <f t="shared" ca="1" si="90"/>
        <v>573060.8199999996</v>
      </c>
      <c r="AS306" s="63">
        <f ca="1">IF($AQ306&lt;&gt;"", INDEX(Inputs!$B$3:$B$101, MATCH($AQ306,Inputs!$A$3:$A$101,1)), "")</f>
        <v>1E-3</v>
      </c>
      <c r="AT306" s="48">
        <f t="shared" ca="1" si="89"/>
        <v>1.5700296438356154</v>
      </c>
      <c r="AU306" s="3">
        <f t="shared" ca="1" si="80"/>
        <v>-1.5700296438356154</v>
      </c>
      <c r="AV306" s="3">
        <f t="shared" ca="1" si="87"/>
        <v>-1.5700296438356154</v>
      </c>
    </row>
    <row r="307" spans="1:48" x14ac:dyDescent="0.2">
      <c r="A307" s="4">
        <v>45413</v>
      </c>
      <c r="B307" s="1" t="s">
        <v>50</v>
      </c>
      <c r="H307" s="3">
        <v>3540.53</v>
      </c>
      <c r="M307" s="3" t="str">
        <f t="shared" si="74"/>
        <v/>
      </c>
      <c r="N307" s="3"/>
      <c r="AA307" s="3">
        <f t="shared" si="75"/>
        <v>3450000</v>
      </c>
      <c r="AB307" s="3">
        <f t="shared" si="81"/>
        <v>3450000.0000000061</v>
      </c>
      <c r="AC307" s="3">
        <f t="shared" si="82"/>
        <v>760653.82</v>
      </c>
      <c r="AD307" s="3">
        <f t="shared" si="83"/>
        <v>2689346.1800000062</v>
      </c>
      <c r="AE307" s="1">
        <f t="shared" ca="1" si="84"/>
        <v>15</v>
      </c>
      <c r="AG307" s="3">
        <f t="shared" si="85"/>
        <v>-3540.53</v>
      </c>
      <c r="AH307" s="1">
        <f t="shared" si="76"/>
        <v>1062</v>
      </c>
      <c r="AI307" s="3">
        <f t="shared" si="77"/>
        <v>-3540.53</v>
      </c>
      <c r="AL307" s="3">
        <f t="shared" si="86"/>
        <v>-3540.53</v>
      </c>
      <c r="AM307" s="3">
        <f t="shared" si="78"/>
        <v>-3540.53</v>
      </c>
      <c r="AQ307" s="4">
        <f t="shared" ca="1" si="88"/>
        <v>44655</v>
      </c>
      <c r="AR307" s="3">
        <f t="shared" ca="1" si="90"/>
        <v>573060.8199999996</v>
      </c>
      <c r="AS307" s="63">
        <f ca="1">IF($AQ307&lt;&gt;"", INDEX(Inputs!$B$3:$B$101, MATCH($AQ307,Inputs!$A$3:$A$101,1)), "")</f>
        <v>1E-3</v>
      </c>
      <c r="AT307" s="48">
        <f t="shared" ca="1" si="89"/>
        <v>1.5700296438356154</v>
      </c>
      <c r="AU307" s="3">
        <f t="shared" ca="1" si="80"/>
        <v>-1.5700296438356154</v>
      </c>
      <c r="AV307" s="3">
        <f t="shared" ca="1" si="87"/>
        <v>-1.5700296438356154</v>
      </c>
    </row>
    <row r="308" spans="1:48" x14ac:dyDescent="0.2">
      <c r="A308" s="4">
        <v>45428</v>
      </c>
      <c r="B308" s="1" t="s">
        <v>104</v>
      </c>
      <c r="F308" s="3">
        <v>9818.51</v>
      </c>
      <c r="M308" s="3" t="str">
        <f t="shared" si="74"/>
        <v/>
      </c>
      <c r="N308" s="3"/>
      <c r="AA308" s="3">
        <f t="shared" si="75"/>
        <v>3450000</v>
      </c>
      <c r="AB308" s="3">
        <f t="shared" si="81"/>
        <v>3450000.0000000065</v>
      </c>
      <c r="AC308" s="3">
        <f t="shared" si="82"/>
        <v>770472.33</v>
      </c>
      <c r="AD308" s="3">
        <f t="shared" si="83"/>
        <v>2679527.6700000064</v>
      </c>
      <c r="AE308" s="1">
        <f t="shared" ca="1" si="84"/>
        <v>0</v>
      </c>
      <c r="AG308" s="3">
        <f t="shared" si="85"/>
        <v>-9818.51</v>
      </c>
      <c r="AH308" s="1">
        <f t="shared" si="76"/>
        <v>1077</v>
      </c>
      <c r="AI308" s="3">
        <f t="shared" si="77"/>
        <v>-9818.51</v>
      </c>
      <c r="AL308" s="3">
        <f t="shared" si="86"/>
        <v>-9818.51</v>
      </c>
      <c r="AM308" s="3">
        <f t="shared" si="78"/>
        <v>-9818.51</v>
      </c>
      <c r="AQ308" s="4">
        <f t="shared" ca="1" si="88"/>
        <v>44656</v>
      </c>
      <c r="AR308" s="3">
        <f t="shared" ca="1" si="90"/>
        <v>573060.8199999996</v>
      </c>
      <c r="AS308" s="63">
        <f ca="1">IF($AQ308&lt;&gt;"", INDEX(Inputs!$B$3:$B$101, MATCH($AQ308,Inputs!$A$3:$A$101,1)), "")</f>
        <v>1E-3</v>
      </c>
      <c r="AT308" s="48">
        <f t="shared" ca="1" si="89"/>
        <v>1.5700296438356154</v>
      </c>
      <c r="AU308" s="3">
        <f t="shared" ca="1" si="80"/>
        <v>-1.5700296438356154</v>
      </c>
      <c r="AV308" s="3">
        <f t="shared" ca="1" si="87"/>
        <v>-1.5700296438356154</v>
      </c>
    </row>
    <row r="309" spans="1:48" x14ac:dyDescent="0.2">
      <c r="A309" s="4">
        <v>45428</v>
      </c>
      <c r="B309" s="1" t="s">
        <v>105</v>
      </c>
      <c r="F309" s="3">
        <v>2978.24</v>
      </c>
      <c r="M309" s="3" t="str">
        <f t="shared" si="74"/>
        <v/>
      </c>
      <c r="N309" s="3"/>
      <c r="AA309" s="3">
        <f t="shared" si="75"/>
        <v>3450000</v>
      </c>
      <c r="AB309" s="3">
        <f t="shared" si="81"/>
        <v>3450000.0000000061</v>
      </c>
      <c r="AC309" s="3">
        <f t="shared" si="82"/>
        <v>773450.57</v>
      </c>
      <c r="AD309" s="3">
        <f t="shared" si="83"/>
        <v>2676549.4300000062</v>
      </c>
      <c r="AE309" s="1">
        <f t="shared" ca="1" si="84"/>
        <v>15</v>
      </c>
      <c r="AG309" s="3">
        <f t="shared" si="85"/>
        <v>-2978.24</v>
      </c>
      <c r="AH309" s="1">
        <f t="shared" si="76"/>
        <v>1077</v>
      </c>
      <c r="AI309" s="3">
        <f t="shared" si="77"/>
        <v>-2978.24</v>
      </c>
      <c r="AL309" s="3">
        <f t="shared" si="86"/>
        <v>-2978.24</v>
      </c>
      <c r="AM309" s="3">
        <f t="shared" si="78"/>
        <v>-2978.24</v>
      </c>
      <c r="AQ309" s="4">
        <f t="shared" ca="1" si="88"/>
        <v>44657</v>
      </c>
      <c r="AR309" s="3">
        <f t="shared" ca="1" si="90"/>
        <v>573060.8199999996</v>
      </c>
      <c r="AS309" s="63">
        <f ca="1">IF($AQ309&lt;&gt;"", INDEX(Inputs!$B$3:$B$101, MATCH($AQ309,Inputs!$A$3:$A$101,1)), "")</f>
        <v>1E-3</v>
      </c>
      <c r="AT309" s="48">
        <f t="shared" ca="1" si="89"/>
        <v>1.5700296438356154</v>
      </c>
      <c r="AU309" s="3">
        <f t="shared" ca="1" si="80"/>
        <v>-1.5700296438356154</v>
      </c>
      <c r="AV309" s="3">
        <f t="shared" ca="1" si="87"/>
        <v>-1.5700296438356154</v>
      </c>
    </row>
    <row r="310" spans="1:48" x14ac:dyDescent="0.2">
      <c r="A310" s="4">
        <v>45443</v>
      </c>
      <c r="B310" s="1" t="s">
        <v>103</v>
      </c>
      <c r="G310" s="3">
        <v>3956.48</v>
      </c>
      <c r="M310" s="3" t="str">
        <f t="shared" si="74"/>
        <v/>
      </c>
      <c r="N310" s="3"/>
      <c r="AA310" s="3">
        <f t="shared" si="75"/>
        <v>3450000</v>
      </c>
      <c r="AB310" s="3">
        <f t="shared" si="81"/>
        <v>3450000.0000000061</v>
      </c>
      <c r="AC310" s="3">
        <f t="shared" si="82"/>
        <v>769494.09</v>
      </c>
      <c r="AD310" s="3">
        <f t="shared" si="83"/>
        <v>2680505.9100000062</v>
      </c>
      <c r="AE310" s="1">
        <f t="shared" ca="1" si="84"/>
        <v>0</v>
      </c>
      <c r="AG310" s="3">
        <f t="shared" si="85"/>
        <v>0</v>
      </c>
      <c r="AH310" s="1">
        <f t="shared" si="76"/>
        <v>1092</v>
      </c>
      <c r="AI310" s="3">
        <f t="shared" si="77"/>
        <v>0</v>
      </c>
      <c r="AL310" s="3">
        <f t="shared" si="86"/>
        <v>0</v>
      </c>
      <c r="AM310" s="3">
        <f t="shared" si="78"/>
        <v>0</v>
      </c>
      <c r="AQ310" s="4">
        <f t="shared" ca="1" si="88"/>
        <v>44658</v>
      </c>
      <c r="AR310" s="3">
        <f t="shared" ca="1" si="90"/>
        <v>573060.8199999996</v>
      </c>
      <c r="AS310" s="63">
        <f ca="1">IF($AQ310&lt;&gt;"", INDEX(Inputs!$B$3:$B$101, MATCH($AQ310,Inputs!$A$3:$A$101,1)), "")</f>
        <v>1E-3</v>
      </c>
      <c r="AT310" s="48">
        <f t="shared" ca="1" si="89"/>
        <v>1.5700296438356154</v>
      </c>
      <c r="AU310" s="3">
        <f t="shared" ca="1" si="80"/>
        <v>-1.5700296438356154</v>
      </c>
      <c r="AV310" s="3">
        <f t="shared" ca="1" si="87"/>
        <v>-1.5700296438356154</v>
      </c>
    </row>
    <row r="311" spans="1:48" x14ac:dyDescent="0.2">
      <c r="A311" s="4">
        <v>45443</v>
      </c>
      <c r="B311" s="1" t="s">
        <v>106</v>
      </c>
      <c r="G311" s="3">
        <v>443.68</v>
      </c>
      <c r="M311" s="3" t="str">
        <f t="shared" si="74"/>
        <v/>
      </c>
      <c r="N311" s="3"/>
      <c r="AA311" s="3">
        <f t="shared" si="75"/>
        <v>3450000</v>
      </c>
      <c r="AB311" s="3">
        <f t="shared" si="81"/>
        <v>3450000.0000000065</v>
      </c>
      <c r="AC311" s="3">
        <f t="shared" si="82"/>
        <v>769050.40999999992</v>
      </c>
      <c r="AD311" s="3">
        <f t="shared" si="83"/>
        <v>2680949.5900000064</v>
      </c>
      <c r="AE311" s="1">
        <f t="shared" ca="1" si="84"/>
        <v>3</v>
      </c>
      <c r="AG311" s="3">
        <f t="shared" si="85"/>
        <v>0</v>
      </c>
      <c r="AH311" s="1">
        <f t="shared" si="76"/>
        <v>1092</v>
      </c>
      <c r="AI311" s="3">
        <f t="shared" si="77"/>
        <v>0</v>
      </c>
      <c r="AL311" s="3">
        <f t="shared" si="86"/>
        <v>0</v>
      </c>
      <c r="AM311" s="3">
        <f t="shared" si="78"/>
        <v>0</v>
      </c>
      <c r="AQ311" s="4">
        <f t="shared" ca="1" si="88"/>
        <v>44659</v>
      </c>
      <c r="AR311" s="3">
        <f t="shared" ca="1" si="90"/>
        <v>573060.8199999996</v>
      </c>
      <c r="AS311" s="63">
        <f ca="1">IF($AQ311&lt;&gt;"", INDEX(Inputs!$B$3:$B$101, MATCH($AQ311,Inputs!$A$3:$A$101,1)), "")</f>
        <v>1E-3</v>
      </c>
      <c r="AT311" s="48">
        <f t="shared" ca="1" si="89"/>
        <v>1.5700296438356154</v>
      </c>
      <c r="AU311" s="3">
        <f t="shared" ca="1" si="80"/>
        <v>1898.4299703561644</v>
      </c>
      <c r="AV311" s="3">
        <f t="shared" ca="1" si="87"/>
        <v>1898.4299703561644</v>
      </c>
    </row>
    <row r="312" spans="1:48" x14ac:dyDescent="0.2">
      <c r="A312" s="4">
        <v>45446</v>
      </c>
      <c r="B312" s="1" t="s">
        <v>66</v>
      </c>
      <c r="I312" s="3">
        <v>10400</v>
      </c>
      <c r="M312" s="3" t="str">
        <f t="shared" si="74"/>
        <v/>
      </c>
      <c r="N312" s="3"/>
      <c r="AA312" s="3">
        <f t="shared" si="75"/>
        <v>3450000</v>
      </c>
      <c r="AB312" s="3">
        <f t="shared" si="81"/>
        <v>3450000.0000000065</v>
      </c>
      <c r="AC312" s="3">
        <f t="shared" si="82"/>
        <v>769050.40999999992</v>
      </c>
      <c r="AD312" s="3">
        <f t="shared" si="83"/>
        <v>2680949.5900000064</v>
      </c>
      <c r="AE312" s="1">
        <f t="shared" ca="1" si="84"/>
        <v>14</v>
      </c>
      <c r="AG312" s="3">
        <f t="shared" si="85"/>
        <v>10400</v>
      </c>
      <c r="AH312" s="1">
        <f t="shared" si="76"/>
        <v>1095</v>
      </c>
      <c r="AI312" s="3">
        <f t="shared" si="77"/>
        <v>10400</v>
      </c>
      <c r="AL312" s="3">
        <f t="shared" si="86"/>
        <v>10400</v>
      </c>
      <c r="AM312" s="3">
        <f t="shared" si="78"/>
        <v>10400</v>
      </c>
      <c r="AQ312" s="4">
        <f t="shared" ca="1" si="88"/>
        <v>44660</v>
      </c>
      <c r="AR312" s="3">
        <f t="shared" ca="1" si="90"/>
        <v>573060.8199999996</v>
      </c>
      <c r="AS312" s="63">
        <f ca="1">IF($AQ312&lt;&gt;"", INDEX(Inputs!$B$3:$B$101, MATCH($AQ312,Inputs!$A$3:$A$101,1)), "")</f>
        <v>1E-3</v>
      </c>
      <c r="AT312" s="48">
        <f t="shared" ca="1" si="89"/>
        <v>1.5700296438356154</v>
      </c>
      <c r="AU312" s="3">
        <f t="shared" ca="1" si="80"/>
        <v>-1.5700296438356154</v>
      </c>
      <c r="AV312" s="3">
        <f t="shared" ca="1" si="87"/>
        <v>-1.5700296438356154</v>
      </c>
    </row>
    <row r="313" spans="1:48" x14ac:dyDescent="0.2">
      <c r="A313" s="4">
        <v>45460</v>
      </c>
      <c r="B313" s="1" t="s">
        <v>104</v>
      </c>
      <c r="F313" s="3">
        <v>9818.51</v>
      </c>
      <c r="M313" s="3" t="str">
        <f t="shared" si="74"/>
        <v/>
      </c>
      <c r="N313" s="3"/>
      <c r="AA313" s="3">
        <f t="shared" si="75"/>
        <v>3450000</v>
      </c>
      <c r="AB313" s="3">
        <f t="shared" si="81"/>
        <v>3450000.0000000065</v>
      </c>
      <c r="AC313" s="3">
        <f t="shared" si="82"/>
        <v>778868.91999999993</v>
      </c>
      <c r="AD313" s="3">
        <f t="shared" si="83"/>
        <v>2671131.0800000066</v>
      </c>
      <c r="AE313" s="1">
        <f t="shared" ca="1" si="84"/>
        <v>0</v>
      </c>
      <c r="AG313" s="3">
        <f t="shared" si="85"/>
        <v>-9818.51</v>
      </c>
      <c r="AH313" s="1">
        <f t="shared" si="76"/>
        <v>1109</v>
      </c>
      <c r="AI313" s="3">
        <f t="shared" si="77"/>
        <v>-9818.51</v>
      </c>
      <c r="AL313" s="3">
        <f t="shared" si="86"/>
        <v>-9818.51</v>
      </c>
      <c r="AM313" s="3">
        <f t="shared" si="78"/>
        <v>-9818.51</v>
      </c>
      <c r="AQ313" s="4">
        <f t="shared" ca="1" si="88"/>
        <v>44661</v>
      </c>
      <c r="AR313" s="3">
        <f t="shared" ca="1" si="90"/>
        <v>573060.8199999996</v>
      </c>
      <c r="AS313" s="63">
        <f ca="1">IF($AQ313&lt;&gt;"", INDEX(Inputs!$B$3:$B$101, MATCH($AQ313,Inputs!$A$3:$A$101,1)), "")</f>
        <v>1E-3</v>
      </c>
      <c r="AT313" s="48">
        <f t="shared" ca="1" si="89"/>
        <v>1.5700296438356154</v>
      </c>
      <c r="AU313" s="3">
        <f t="shared" ca="1" si="80"/>
        <v>-1.5700296438356154</v>
      </c>
      <c r="AV313" s="3">
        <f t="shared" ca="1" si="87"/>
        <v>-1.5700296438356154</v>
      </c>
    </row>
    <row r="314" spans="1:48" x14ac:dyDescent="0.2">
      <c r="A314" s="4">
        <v>45460</v>
      </c>
      <c r="B314" s="1" t="s">
        <v>105</v>
      </c>
      <c r="F314" s="3">
        <v>2978.24</v>
      </c>
      <c r="M314" s="3" t="str">
        <f t="shared" si="74"/>
        <v/>
      </c>
      <c r="N314" s="3"/>
      <c r="AA314" s="3">
        <f t="shared" si="75"/>
        <v>3450000</v>
      </c>
      <c r="AB314" s="3">
        <f t="shared" si="81"/>
        <v>3450000.0000000065</v>
      </c>
      <c r="AC314" s="3">
        <f t="shared" si="82"/>
        <v>781847.15999999992</v>
      </c>
      <c r="AD314" s="3">
        <f t="shared" si="83"/>
        <v>2668152.8400000064</v>
      </c>
      <c r="AE314" s="1">
        <f t="shared" ca="1" si="84"/>
        <v>10</v>
      </c>
      <c r="AG314" s="3">
        <f t="shared" si="85"/>
        <v>-2978.24</v>
      </c>
      <c r="AH314" s="1">
        <f t="shared" si="76"/>
        <v>1109</v>
      </c>
      <c r="AI314" s="3">
        <f t="shared" si="77"/>
        <v>-2978.24</v>
      </c>
      <c r="AL314" s="3">
        <f t="shared" si="86"/>
        <v>-2978.24</v>
      </c>
      <c r="AM314" s="3">
        <f t="shared" si="78"/>
        <v>-2978.24</v>
      </c>
      <c r="AQ314" s="4">
        <f t="shared" ca="1" si="88"/>
        <v>44662</v>
      </c>
      <c r="AR314" s="3">
        <f t="shared" ca="1" si="90"/>
        <v>573060.8199999996</v>
      </c>
      <c r="AS314" s="63">
        <f ca="1">IF($AQ314&lt;&gt;"", INDEX(Inputs!$B$3:$B$101, MATCH($AQ314,Inputs!$A$3:$A$101,1)), "")</f>
        <v>1E-3</v>
      </c>
      <c r="AT314" s="48">
        <f t="shared" ca="1" si="89"/>
        <v>1.5700296438356154</v>
      </c>
      <c r="AU314" s="3">
        <f t="shared" ca="1" si="80"/>
        <v>-1.5700296438356154</v>
      </c>
      <c r="AV314" s="3">
        <f t="shared" ca="1" si="87"/>
        <v>-1.5700296438356154</v>
      </c>
    </row>
    <row r="315" spans="1:48" x14ac:dyDescent="0.2">
      <c r="A315" s="4">
        <v>45470</v>
      </c>
      <c r="B315" s="1" t="s">
        <v>80</v>
      </c>
      <c r="H315" s="3">
        <v>233.51</v>
      </c>
      <c r="M315" s="3" t="str">
        <f t="shared" si="74"/>
        <v/>
      </c>
      <c r="N315" s="3"/>
      <c r="AA315" s="3">
        <f t="shared" si="75"/>
        <v>3450000</v>
      </c>
      <c r="AB315" s="3">
        <f t="shared" si="81"/>
        <v>3450000.0000000065</v>
      </c>
      <c r="AC315" s="3">
        <f t="shared" si="82"/>
        <v>781847.15999999992</v>
      </c>
      <c r="AD315" s="3">
        <f t="shared" si="83"/>
        <v>2668152.8400000064</v>
      </c>
      <c r="AE315" s="1">
        <f t="shared" ca="1" si="84"/>
        <v>1</v>
      </c>
      <c r="AG315" s="3">
        <f t="shared" si="85"/>
        <v>-233.51</v>
      </c>
      <c r="AH315" s="1">
        <f t="shared" si="76"/>
        <v>1119</v>
      </c>
      <c r="AI315" s="3">
        <f t="shared" si="77"/>
        <v>-233.51</v>
      </c>
      <c r="AL315" s="3">
        <f t="shared" ref="AL315" si="91">IF($A315&lt;&gt;"", AG315-IF(ISNUMBER(K315),K315*L315,0), "")</f>
        <v>-233.51</v>
      </c>
      <c r="AM315" s="3">
        <f t="shared" si="78"/>
        <v>-233.51</v>
      </c>
      <c r="AQ315" s="4">
        <f t="shared" ca="1" si="88"/>
        <v>44663</v>
      </c>
      <c r="AR315" s="3">
        <f t="shared" ref="AR315:AR331" ca="1" si="92">IF($AQ315&lt;&gt;"", INDEX($AC$3:$AC$1056, MATCH($AQ315,$A$3:$A$1056,1)), "")</f>
        <v>573060.8199999996</v>
      </c>
      <c r="AS315" s="63">
        <f ca="1">IF($AQ315&lt;&gt;"", INDEX(Inputs!$B$3:$B$101, MATCH($AQ315,Inputs!$A$3:$A$101,1)), "")</f>
        <v>1E-3</v>
      </c>
      <c r="AT315" s="48">
        <f t="shared" ref="AT315" ca="1" si="93">IF($AQ315&lt;&gt;"", AR315*AS315/365, "")</f>
        <v>1.5700296438356154</v>
      </c>
      <c r="AU315" s="3">
        <f t="shared" ca="1" si="80"/>
        <v>-1.5700296438356154</v>
      </c>
      <c r="AV315" s="3">
        <f t="shared" ref="AV315" ca="1" si="94">IF(AQ315&lt;&gt;"", AU315*(1+$X$9/CompoundingRate)^-((AQ315-AQ$3)/(365/CompoundingRate)), "")</f>
        <v>-1.5700296438356154</v>
      </c>
    </row>
    <row r="316" spans="1:48" x14ac:dyDescent="0.2">
      <c r="A316" s="4">
        <v>45471</v>
      </c>
      <c r="B316" s="1" t="s">
        <v>103</v>
      </c>
      <c r="G316" s="3">
        <v>3565.66</v>
      </c>
      <c r="M316" s="3" t="str">
        <f t="shared" si="74"/>
        <v/>
      </c>
      <c r="N316" s="3"/>
      <c r="AA316" s="3">
        <f t="shared" si="75"/>
        <v>3450000</v>
      </c>
      <c r="AB316" s="3">
        <f t="shared" si="81"/>
        <v>3450000.0000000065</v>
      </c>
      <c r="AC316" s="3">
        <f t="shared" si="82"/>
        <v>778281.49999999988</v>
      </c>
      <c r="AD316" s="3">
        <f t="shared" si="83"/>
        <v>2671718.5000000065</v>
      </c>
      <c r="AE316" s="1">
        <f t="shared" ca="1" si="84"/>
        <v>0</v>
      </c>
      <c r="AG316" s="3">
        <f t="shared" si="85"/>
        <v>0</v>
      </c>
      <c r="AH316" s="1">
        <f t="shared" si="76"/>
        <v>1120</v>
      </c>
      <c r="AI316" s="3">
        <f t="shared" si="77"/>
        <v>0</v>
      </c>
      <c r="AL316" s="3">
        <f t="shared" ref="AL316:AL331" si="95">IF($A316&lt;&gt;"", AG316-IF(ISNUMBER(K316),K316*L316,0), "")</f>
        <v>0</v>
      </c>
      <c r="AM316" s="3">
        <f t="shared" si="78"/>
        <v>0</v>
      </c>
      <c r="AQ316" s="4">
        <f t="shared" ca="1" si="88"/>
        <v>44664</v>
      </c>
      <c r="AR316" s="3">
        <f t="shared" ca="1" si="92"/>
        <v>573060.8199999996</v>
      </c>
      <c r="AS316" s="63">
        <f ca="1">IF($AQ316&lt;&gt;"", INDEX(Inputs!$B$3:$B$101, MATCH($AQ316,Inputs!$A$3:$A$101,1)), "")</f>
        <v>1E-3</v>
      </c>
      <c r="AT316" s="48">
        <f t="shared" ref="AT316:AT331" ca="1" si="96">IF($AQ316&lt;&gt;"", AR316*AS316/365, "")</f>
        <v>1.5700296438356154</v>
      </c>
      <c r="AU316" s="3">
        <f t="shared" ca="1" si="80"/>
        <v>-1.5700296438356154</v>
      </c>
      <c r="AV316" s="3">
        <f t="shared" ref="AV316:AV331" ca="1" si="97">IF(AQ316&lt;&gt;"", AU316*(1+$X$9/CompoundingRate)^-((AQ316-AQ$3)/(365/CompoundingRate)), "")</f>
        <v>-1.5700296438356154</v>
      </c>
    </row>
    <row r="317" spans="1:48" x14ac:dyDescent="0.2">
      <c r="A317" s="4">
        <v>45471</v>
      </c>
      <c r="B317" s="1" t="s">
        <v>106</v>
      </c>
      <c r="G317" s="3">
        <v>208.38</v>
      </c>
      <c r="M317" s="3" t="str">
        <f t="shared" si="74"/>
        <v/>
      </c>
      <c r="N317" s="3"/>
      <c r="AA317" s="3">
        <f t="shared" si="75"/>
        <v>3450000</v>
      </c>
      <c r="AB317" s="3">
        <f t="shared" si="81"/>
        <v>3450000.0000000065</v>
      </c>
      <c r="AC317" s="3">
        <f t="shared" si="82"/>
        <v>778073.11999999988</v>
      </c>
      <c r="AD317" s="3">
        <f t="shared" si="83"/>
        <v>2671926.8800000064</v>
      </c>
      <c r="AE317" s="1">
        <f t="shared" ca="1" si="84"/>
        <v>17</v>
      </c>
      <c r="AG317" s="3">
        <f t="shared" si="85"/>
        <v>0</v>
      </c>
      <c r="AH317" s="1">
        <f t="shared" si="76"/>
        <v>1120</v>
      </c>
      <c r="AI317" s="3">
        <f t="shared" si="77"/>
        <v>0</v>
      </c>
      <c r="AL317" s="3">
        <f t="shared" si="95"/>
        <v>0</v>
      </c>
      <c r="AM317" s="3">
        <f t="shared" si="78"/>
        <v>0</v>
      </c>
      <c r="AQ317" s="4">
        <f t="shared" ca="1" si="88"/>
        <v>44665</v>
      </c>
      <c r="AR317" s="3">
        <f t="shared" ca="1" si="92"/>
        <v>573060.8199999996</v>
      </c>
      <c r="AS317" s="63">
        <f ca="1">IF($AQ317&lt;&gt;"", INDEX(Inputs!$B$3:$B$101, MATCH($AQ317,Inputs!$A$3:$A$101,1)), "")</f>
        <v>1E-3</v>
      </c>
      <c r="AT317" s="48">
        <f t="shared" ca="1" si="96"/>
        <v>1.5700296438356154</v>
      </c>
      <c r="AU317" s="3">
        <f t="shared" ca="1" si="80"/>
        <v>-1.5700296438356154</v>
      </c>
      <c r="AV317" s="3">
        <f t="shared" ca="1" si="97"/>
        <v>-1.5700296438356154</v>
      </c>
    </row>
    <row r="318" spans="1:48" x14ac:dyDescent="0.2">
      <c r="A318" s="4">
        <v>45488</v>
      </c>
      <c r="B318" s="1" t="s">
        <v>65</v>
      </c>
      <c r="H318" s="3">
        <v>594.15</v>
      </c>
      <c r="M318" s="3" t="str">
        <f t="shared" si="74"/>
        <v/>
      </c>
      <c r="N318" s="3"/>
      <c r="AA318" s="3">
        <f t="shared" si="75"/>
        <v>3450000</v>
      </c>
      <c r="AB318" s="3">
        <f t="shared" si="81"/>
        <v>3450000.0000000065</v>
      </c>
      <c r="AC318" s="3">
        <f t="shared" si="82"/>
        <v>778073.11999999988</v>
      </c>
      <c r="AD318" s="3">
        <f t="shared" si="83"/>
        <v>2671926.8800000064</v>
      </c>
      <c r="AE318" s="1">
        <f t="shared" ca="1" si="84"/>
        <v>1</v>
      </c>
      <c r="AG318" s="3">
        <f t="shared" si="85"/>
        <v>-594.15</v>
      </c>
      <c r="AH318" s="1">
        <f t="shared" si="76"/>
        <v>1137</v>
      </c>
      <c r="AI318" s="3">
        <f t="shared" si="77"/>
        <v>-594.15</v>
      </c>
      <c r="AL318" s="3">
        <f t="shared" si="95"/>
        <v>-594.15</v>
      </c>
      <c r="AM318" s="3">
        <f t="shared" si="78"/>
        <v>-594.15</v>
      </c>
      <c r="AQ318" s="4">
        <f t="shared" ca="1" si="88"/>
        <v>44666</v>
      </c>
      <c r="AR318" s="3">
        <f t="shared" ca="1" si="92"/>
        <v>573060.8199999996</v>
      </c>
      <c r="AS318" s="63">
        <f ca="1">IF($AQ318&lt;&gt;"", INDEX(Inputs!$B$3:$B$101, MATCH($AQ318,Inputs!$A$3:$A$101,1)), "")</f>
        <v>1E-3</v>
      </c>
      <c r="AT318" s="48">
        <f t="shared" ca="1" si="96"/>
        <v>1.5700296438356154</v>
      </c>
      <c r="AU318" s="3">
        <f t="shared" ca="1" si="80"/>
        <v>1898.4299703561644</v>
      </c>
      <c r="AV318" s="3">
        <f t="shared" ca="1" si="97"/>
        <v>1898.4299703561644</v>
      </c>
    </row>
    <row r="319" spans="1:48" x14ac:dyDescent="0.2">
      <c r="A319" s="4">
        <v>45489</v>
      </c>
      <c r="B319" s="1" t="s">
        <v>104</v>
      </c>
      <c r="F319" s="3">
        <v>9818.51</v>
      </c>
      <c r="M319" s="3" t="str">
        <f t="shared" si="74"/>
        <v/>
      </c>
      <c r="N319" s="3"/>
      <c r="AA319" s="3">
        <f t="shared" si="75"/>
        <v>3450000</v>
      </c>
      <c r="AB319" s="3">
        <f t="shared" si="81"/>
        <v>3450000.0000000065</v>
      </c>
      <c r="AC319" s="3">
        <f t="shared" si="82"/>
        <v>787891.62999999989</v>
      </c>
      <c r="AD319" s="3">
        <f t="shared" si="83"/>
        <v>2662108.3700000066</v>
      </c>
      <c r="AE319" s="1">
        <f t="shared" ca="1" si="84"/>
        <v>0</v>
      </c>
      <c r="AG319" s="3">
        <f t="shared" si="85"/>
        <v>-9818.51</v>
      </c>
      <c r="AH319" s="1">
        <f t="shared" si="76"/>
        <v>1138</v>
      </c>
      <c r="AI319" s="3">
        <f t="shared" si="77"/>
        <v>-9818.51</v>
      </c>
      <c r="AL319" s="3">
        <f t="shared" si="95"/>
        <v>-9818.51</v>
      </c>
      <c r="AM319" s="3">
        <f t="shared" si="78"/>
        <v>-9818.51</v>
      </c>
      <c r="AQ319" s="4">
        <f t="shared" ca="1" si="88"/>
        <v>44667</v>
      </c>
      <c r="AR319" s="3">
        <f t="shared" ca="1" si="92"/>
        <v>573060.8199999996</v>
      </c>
      <c r="AS319" s="63">
        <f ca="1">IF($AQ319&lt;&gt;"", INDEX(Inputs!$B$3:$B$101, MATCH($AQ319,Inputs!$A$3:$A$101,1)), "")</f>
        <v>1E-3</v>
      </c>
      <c r="AT319" s="48">
        <f t="shared" ca="1" si="96"/>
        <v>1.5700296438356154</v>
      </c>
      <c r="AU319" s="3">
        <f t="shared" ca="1" si="80"/>
        <v>-1.5700296438356154</v>
      </c>
      <c r="AV319" s="3">
        <f t="shared" ca="1" si="97"/>
        <v>-1.5700296438356154</v>
      </c>
    </row>
    <row r="320" spans="1:48" x14ac:dyDescent="0.2">
      <c r="A320" s="4">
        <v>45489</v>
      </c>
      <c r="B320" s="1" t="s">
        <v>105</v>
      </c>
      <c r="F320" s="3">
        <v>2978.24</v>
      </c>
      <c r="M320" s="3" t="str">
        <f t="shared" si="74"/>
        <v/>
      </c>
      <c r="N320" s="3"/>
      <c r="AA320" s="3">
        <f t="shared" si="75"/>
        <v>3450000</v>
      </c>
      <c r="AB320" s="3">
        <f t="shared" si="81"/>
        <v>3450000.0000000065</v>
      </c>
      <c r="AC320" s="3">
        <f t="shared" si="82"/>
        <v>790869.86999999988</v>
      </c>
      <c r="AD320" s="3">
        <f t="shared" si="83"/>
        <v>2659130.1300000064</v>
      </c>
      <c r="AE320" s="1">
        <f t="shared" ca="1" si="84"/>
        <v>0</v>
      </c>
      <c r="AG320" s="3">
        <f t="shared" si="85"/>
        <v>-2978.24</v>
      </c>
      <c r="AH320" s="1">
        <f t="shared" si="76"/>
        <v>1138</v>
      </c>
      <c r="AI320" s="3">
        <f t="shared" si="77"/>
        <v>-2978.24</v>
      </c>
      <c r="AL320" s="3">
        <f t="shared" si="95"/>
        <v>-2978.24</v>
      </c>
      <c r="AM320" s="3">
        <f t="shared" si="78"/>
        <v>-2978.24</v>
      </c>
      <c r="AQ320" s="4">
        <f t="shared" ca="1" si="88"/>
        <v>44668</v>
      </c>
      <c r="AR320" s="3">
        <f t="shared" ca="1" si="92"/>
        <v>573060.8199999996</v>
      </c>
      <c r="AS320" s="63">
        <f ca="1">IF($AQ320&lt;&gt;"", INDEX(Inputs!$B$3:$B$101, MATCH($AQ320,Inputs!$A$3:$A$101,1)), "")</f>
        <v>1E-3</v>
      </c>
      <c r="AT320" s="48">
        <f t="shared" ca="1" si="96"/>
        <v>1.5700296438356154</v>
      </c>
      <c r="AU320" s="3">
        <f t="shared" ca="1" si="80"/>
        <v>-1.5700296438356154</v>
      </c>
      <c r="AV320" s="3">
        <f t="shared" ca="1" si="97"/>
        <v>-1.5700296438356154</v>
      </c>
    </row>
    <row r="321" spans="1:48" x14ac:dyDescent="0.2">
      <c r="A321" s="4">
        <v>45489</v>
      </c>
      <c r="B321" s="1" t="s">
        <v>64</v>
      </c>
      <c r="H321" s="3">
        <v>395</v>
      </c>
      <c r="M321" s="3" t="str">
        <f t="shared" si="74"/>
        <v/>
      </c>
      <c r="N321" s="3"/>
      <c r="AA321" s="3">
        <f t="shared" si="75"/>
        <v>3450000</v>
      </c>
      <c r="AB321" s="3">
        <f t="shared" si="81"/>
        <v>3450000.0000000065</v>
      </c>
      <c r="AC321" s="3">
        <f t="shared" si="82"/>
        <v>790869.86999999988</v>
      </c>
      <c r="AD321" s="3">
        <f t="shared" si="83"/>
        <v>2659130.1300000064</v>
      </c>
      <c r="AE321" s="1">
        <f t="shared" ca="1" si="84"/>
        <v>15</v>
      </c>
      <c r="AG321" s="3">
        <f t="shared" si="85"/>
        <v>-395</v>
      </c>
      <c r="AH321" s="1">
        <f t="shared" si="76"/>
        <v>1138</v>
      </c>
      <c r="AI321" s="3">
        <f t="shared" si="77"/>
        <v>-395</v>
      </c>
      <c r="AL321" s="3">
        <f t="shared" si="95"/>
        <v>-395</v>
      </c>
      <c r="AM321" s="3">
        <f t="shared" si="78"/>
        <v>-395</v>
      </c>
      <c r="AQ321" s="4">
        <f t="shared" ca="1" si="88"/>
        <v>44669</v>
      </c>
      <c r="AR321" s="3">
        <f t="shared" ca="1" si="92"/>
        <v>573060.8199999996</v>
      </c>
      <c r="AS321" s="63">
        <f ca="1">IF($AQ321&lt;&gt;"", INDEX(Inputs!$B$3:$B$101, MATCH($AQ321,Inputs!$A$3:$A$101,1)), "")</f>
        <v>1E-3</v>
      </c>
      <c r="AT321" s="48">
        <f t="shared" ca="1" si="96"/>
        <v>1.5700296438356154</v>
      </c>
      <c r="AU321" s="3">
        <f t="shared" ca="1" si="80"/>
        <v>-1.5700296438356154</v>
      </c>
      <c r="AV321" s="3">
        <f t="shared" ca="1" si="97"/>
        <v>-1.5700296438356154</v>
      </c>
    </row>
    <row r="322" spans="1:48" x14ac:dyDescent="0.2">
      <c r="A322" s="4">
        <v>45504</v>
      </c>
      <c r="B322" s="1" t="s">
        <v>103</v>
      </c>
      <c r="G322" s="3">
        <v>7851.96</v>
      </c>
      <c r="M322" s="3" t="str">
        <f t="shared" si="74"/>
        <v/>
      </c>
      <c r="N322" s="3"/>
      <c r="AA322" s="3">
        <f t="shared" si="75"/>
        <v>3450000</v>
      </c>
      <c r="AB322" s="3">
        <f t="shared" si="81"/>
        <v>3450000.0000000065</v>
      </c>
      <c r="AC322" s="3">
        <f t="shared" si="82"/>
        <v>783017.90999999992</v>
      </c>
      <c r="AD322" s="3">
        <f t="shared" si="83"/>
        <v>2666982.0900000064</v>
      </c>
      <c r="AE322" s="1">
        <f t="shared" ca="1" si="84"/>
        <v>0</v>
      </c>
      <c r="AG322" s="3">
        <f t="shared" si="85"/>
        <v>0</v>
      </c>
      <c r="AH322" s="1">
        <f t="shared" si="76"/>
        <v>1153</v>
      </c>
      <c r="AI322" s="3">
        <f t="shared" si="77"/>
        <v>0</v>
      </c>
      <c r="AL322" s="3">
        <f t="shared" si="95"/>
        <v>0</v>
      </c>
      <c r="AM322" s="3">
        <f t="shared" si="78"/>
        <v>0</v>
      </c>
      <c r="AQ322" s="4">
        <f t="shared" ca="1" si="88"/>
        <v>44670</v>
      </c>
      <c r="AR322" s="3">
        <f t="shared" ca="1" si="92"/>
        <v>585111.76999999955</v>
      </c>
      <c r="AS322" s="63">
        <f ca="1">IF($AQ322&lt;&gt;"", INDEX(Inputs!$B$3:$B$101, MATCH($AQ322,Inputs!$A$3:$A$101,1)), "")</f>
        <v>1E-3</v>
      </c>
      <c r="AT322" s="48">
        <f t="shared" ca="1" si="96"/>
        <v>1.6030459452054782</v>
      </c>
      <c r="AU322" s="3">
        <f t="shared" ca="1" si="80"/>
        <v>-12052.553045945206</v>
      </c>
      <c r="AV322" s="3">
        <f t="shared" ca="1" si="97"/>
        <v>-12052.553045945206</v>
      </c>
    </row>
    <row r="323" spans="1:48" x14ac:dyDescent="0.2">
      <c r="A323" s="4">
        <v>45504</v>
      </c>
      <c r="B323" s="1" t="s">
        <v>106</v>
      </c>
      <c r="G323" s="3">
        <v>411.72</v>
      </c>
      <c r="M323" s="3" t="str">
        <f t="shared" ref="M323:M353" si="98">IF($A323&lt;&gt;"", IF(ISNUMBER(SEARCH("Debt Cost (est.)",B323)), SUMIFS(AT:AT, AQ:AQ, "&gt;="&amp;DATE("20"&amp;RIGHT(LEFT(B323,4),2)-1,7,1), AQ:AQ, "&lt;="&amp;DATE("20"&amp;RIGHT(LEFT(B323,4),2),6,30)), ""), "")</f>
        <v/>
      </c>
      <c r="N323" s="3"/>
      <c r="AA323" s="3">
        <f t="shared" ref="AA323:AA369" si="99">IF($A323&lt;&gt;"", MIN(AB323,$P$3), "")</f>
        <v>3450000</v>
      </c>
      <c r="AB323" s="3">
        <f t="shared" si="81"/>
        <v>3450000.0000000065</v>
      </c>
      <c r="AC323" s="3">
        <f t="shared" si="82"/>
        <v>782606.19</v>
      </c>
      <c r="AD323" s="3">
        <f t="shared" si="83"/>
        <v>2667393.8100000066</v>
      </c>
      <c r="AE323" s="1">
        <f t="shared" ca="1" si="84"/>
        <v>1</v>
      </c>
      <c r="AG323" s="3">
        <f t="shared" si="85"/>
        <v>0</v>
      </c>
      <c r="AH323" s="1">
        <f t="shared" ref="AH323:AH369" si="100">IF(A323&lt;&gt;"", A323-A$3, "")</f>
        <v>1153</v>
      </c>
      <c r="AI323" s="3">
        <f t="shared" ref="AI323:AI369" si="101">IF(A323&lt;&gt;"", AG323*(1+$X$3)^-(AH323/365), "")</f>
        <v>0</v>
      </c>
      <c r="AL323" s="3">
        <f t="shared" si="95"/>
        <v>0</v>
      </c>
      <c r="AM323" s="3">
        <f t="shared" ref="AM323:AM369" si="102">IF(A323&lt;&gt;"", AL323*(1+$X$6/CompoundingRate)^-(AH323/(365/CompoundingRate)), "")</f>
        <v>0</v>
      </c>
      <c r="AQ323" s="4">
        <f t="shared" ca="1" si="88"/>
        <v>44671</v>
      </c>
      <c r="AR323" s="3">
        <f t="shared" ca="1" si="92"/>
        <v>585111.76999999955</v>
      </c>
      <c r="AS323" s="63">
        <f ca="1">IF($AQ323&lt;&gt;"", INDEX(Inputs!$B$3:$B$101, MATCH($AQ323,Inputs!$A$3:$A$101,1)), "")</f>
        <v>1E-3</v>
      </c>
      <c r="AT323" s="48">
        <f t="shared" ca="1" si="96"/>
        <v>1.6030459452054782</v>
      </c>
      <c r="AU323" s="3">
        <f t="shared" ref="AU323:AU383" ca="1" si="103">IF($AQ323&lt;&gt;"", SUMIFS($AL$3:$AL$1054, $A$3:$A$1054,$AQ323) + SUMIFS($M$3:$M$1054, $A$3:$A$1054,$AQ323)*IFERROR(AVERAGEIFS($L$3:$L$1054, $A$3:$A$1054,$AQ323, $M$3:$M$1054,"&gt;0"),0) - AT323, "")</f>
        <v>-1.6030459452054782</v>
      </c>
      <c r="AV323" s="3">
        <f t="shared" ca="1" si="97"/>
        <v>-1.6030459452054782</v>
      </c>
    </row>
    <row r="324" spans="1:48" x14ac:dyDescent="0.2">
      <c r="A324" s="4">
        <v>45505</v>
      </c>
      <c r="B324" s="1" t="s">
        <v>66</v>
      </c>
      <c r="I324" s="3">
        <v>10400</v>
      </c>
      <c r="M324" s="3" t="str">
        <f t="shared" si="98"/>
        <v/>
      </c>
      <c r="N324" s="3"/>
      <c r="AA324" s="3">
        <f t="shared" si="99"/>
        <v>3450000</v>
      </c>
      <c r="AB324" s="3">
        <f t="shared" ref="AB324:AB332" si="104">IF($A324&lt;&gt;"", AC324+AD324, "")</f>
        <v>3450000.0000000065</v>
      </c>
      <c r="AC324" s="3">
        <f t="shared" ref="AC324:AC369" si="105">IF(A324&lt;&gt;"", AC323+D324+F324-G324, "")</f>
        <v>782606.19</v>
      </c>
      <c r="AD324" s="3">
        <f t="shared" ref="AD324:AD369" si="106">IF(A324&lt;&gt;"", AD323+C324-F324+G324, "")</f>
        <v>2667393.8100000066</v>
      </c>
      <c r="AE324" s="1">
        <f t="shared" ref="AE324:AE332" ca="1" si="107">IF(A325&lt;&gt;"", A325-A324, IF(A324&lt;&gt;"",IF(AC324&lt;&gt;0,TODAY()-A324,0), ""))</f>
        <v>0</v>
      </c>
      <c r="AG324" s="3">
        <f t="shared" ref="AG324:AG387" si="108">IF($A324&lt;&gt;"", I324+J324+E324-F324-H324, "")</f>
        <v>10400</v>
      </c>
      <c r="AH324" s="1">
        <f t="shared" si="100"/>
        <v>1154</v>
      </c>
      <c r="AI324" s="3">
        <f t="shared" si="101"/>
        <v>10400</v>
      </c>
      <c r="AL324" s="3">
        <f t="shared" si="95"/>
        <v>10400</v>
      </c>
      <c r="AM324" s="3">
        <f t="shared" si="102"/>
        <v>10400</v>
      </c>
      <c r="AQ324" s="4">
        <f t="shared" ca="1" si="88"/>
        <v>44672</v>
      </c>
      <c r="AR324" s="3">
        <f t="shared" ca="1" si="92"/>
        <v>585111.76999999955</v>
      </c>
      <c r="AS324" s="63">
        <f ca="1">IF($AQ324&lt;&gt;"", INDEX(Inputs!$B$3:$B$101, MATCH($AQ324,Inputs!$A$3:$A$101,1)), "")</f>
        <v>1E-3</v>
      </c>
      <c r="AT324" s="48">
        <f t="shared" ca="1" si="96"/>
        <v>1.6030459452054782</v>
      </c>
      <c r="AU324" s="3">
        <f t="shared" ca="1" si="103"/>
        <v>-1.6030459452054782</v>
      </c>
      <c r="AV324" s="3">
        <f t="shared" ca="1" si="97"/>
        <v>-1.6030459452054782</v>
      </c>
    </row>
    <row r="325" spans="1:48" x14ac:dyDescent="0.2">
      <c r="A325" s="4">
        <v>45505</v>
      </c>
      <c r="B325" s="1" t="s">
        <v>50</v>
      </c>
      <c r="H325" s="3">
        <v>3779.07</v>
      </c>
      <c r="M325" s="3" t="str">
        <f t="shared" si="98"/>
        <v/>
      </c>
      <c r="N325" s="3"/>
      <c r="AA325" s="3">
        <f t="shared" si="99"/>
        <v>3450000</v>
      </c>
      <c r="AB325" s="3">
        <f t="shared" si="104"/>
        <v>3450000.0000000065</v>
      </c>
      <c r="AC325" s="3">
        <f t="shared" si="105"/>
        <v>782606.19</v>
      </c>
      <c r="AD325" s="3">
        <f t="shared" si="106"/>
        <v>2667393.8100000066</v>
      </c>
      <c r="AE325" s="1">
        <f t="shared" ca="1" si="107"/>
        <v>4</v>
      </c>
      <c r="AG325" s="3">
        <f t="shared" si="108"/>
        <v>-3779.07</v>
      </c>
      <c r="AH325" s="1">
        <f t="shared" si="100"/>
        <v>1154</v>
      </c>
      <c r="AI325" s="3">
        <f t="shared" si="101"/>
        <v>-3779.07</v>
      </c>
      <c r="AL325" s="3">
        <f t="shared" si="95"/>
        <v>-3779.07</v>
      </c>
      <c r="AM325" s="3">
        <f t="shared" si="102"/>
        <v>-3779.07</v>
      </c>
      <c r="AQ325" s="4">
        <f t="shared" ca="1" si="88"/>
        <v>44673</v>
      </c>
      <c r="AR325" s="3">
        <f t="shared" ca="1" si="92"/>
        <v>585111.76999999955</v>
      </c>
      <c r="AS325" s="63">
        <f ca="1">IF($AQ325&lt;&gt;"", INDEX(Inputs!$B$3:$B$101, MATCH($AQ325,Inputs!$A$3:$A$101,1)), "")</f>
        <v>1E-3</v>
      </c>
      <c r="AT325" s="48">
        <f t="shared" ca="1" si="96"/>
        <v>1.6030459452054782</v>
      </c>
      <c r="AU325" s="3">
        <f t="shared" ca="1" si="103"/>
        <v>1898.3969540547946</v>
      </c>
      <c r="AV325" s="3">
        <f t="shared" ca="1" si="97"/>
        <v>1898.3969540547946</v>
      </c>
    </row>
    <row r="326" spans="1:48" x14ac:dyDescent="0.2">
      <c r="A326" s="4">
        <v>45509</v>
      </c>
      <c r="B326" s="1" t="s">
        <v>66</v>
      </c>
      <c r="I326" s="3">
        <v>10400</v>
      </c>
      <c r="M326" s="3" t="str">
        <f t="shared" si="98"/>
        <v/>
      </c>
      <c r="N326" s="3"/>
      <c r="AA326" s="3">
        <f t="shared" si="99"/>
        <v>3450000</v>
      </c>
      <c r="AB326" s="3">
        <f t="shared" si="104"/>
        <v>3450000.0000000065</v>
      </c>
      <c r="AC326" s="3">
        <f t="shared" si="105"/>
        <v>782606.19</v>
      </c>
      <c r="AD326" s="3">
        <f t="shared" si="106"/>
        <v>2667393.8100000066</v>
      </c>
      <c r="AE326" s="1">
        <f t="shared" ca="1" si="107"/>
        <v>11</v>
      </c>
      <c r="AG326" s="3">
        <f t="shared" si="108"/>
        <v>10400</v>
      </c>
      <c r="AH326" s="1">
        <f t="shared" si="100"/>
        <v>1158</v>
      </c>
      <c r="AI326" s="3">
        <f t="shared" si="101"/>
        <v>10400</v>
      </c>
      <c r="AL326" s="3">
        <f t="shared" si="95"/>
        <v>10400</v>
      </c>
      <c r="AM326" s="3">
        <f t="shared" si="102"/>
        <v>10400</v>
      </c>
      <c r="AQ326" s="4">
        <f t="shared" ca="1" si="88"/>
        <v>44674</v>
      </c>
      <c r="AR326" s="3">
        <f t="shared" ca="1" si="92"/>
        <v>585111.76999999955</v>
      </c>
      <c r="AS326" s="63">
        <f ca="1">IF($AQ326&lt;&gt;"", INDEX(Inputs!$B$3:$B$101, MATCH($AQ326,Inputs!$A$3:$A$101,1)), "")</f>
        <v>1E-3</v>
      </c>
      <c r="AT326" s="48">
        <f t="shared" ca="1" si="96"/>
        <v>1.6030459452054782</v>
      </c>
      <c r="AU326" s="3">
        <f t="shared" ca="1" si="103"/>
        <v>-1.6030459452054782</v>
      </c>
      <c r="AV326" s="3">
        <f t="shared" ca="1" si="97"/>
        <v>-1.6030459452054782</v>
      </c>
    </row>
    <row r="327" spans="1:48" x14ac:dyDescent="0.2">
      <c r="A327" s="4">
        <v>45520</v>
      </c>
      <c r="B327" s="1" t="s">
        <v>104</v>
      </c>
      <c r="F327" s="3">
        <v>17193.939999999999</v>
      </c>
      <c r="M327" s="3" t="str">
        <f t="shared" si="98"/>
        <v/>
      </c>
      <c r="N327" s="3"/>
      <c r="AA327" s="3">
        <f t="shared" si="99"/>
        <v>3450000</v>
      </c>
      <c r="AB327" s="3">
        <f t="shared" si="104"/>
        <v>3450000.0000000065</v>
      </c>
      <c r="AC327" s="3">
        <f t="shared" si="105"/>
        <v>799800.12999999989</v>
      </c>
      <c r="AD327" s="3">
        <f t="shared" si="106"/>
        <v>2650199.8700000066</v>
      </c>
      <c r="AE327" s="1">
        <f t="shared" ca="1" si="107"/>
        <v>0</v>
      </c>
      <c r="AG327" s="3">
        <f t="shared" si="108"/>
        <v>-17193.939999999999</v>
      </c>
      <c r="AH327" s="1">
        <f t="shared" si="100"/>
        <v>1169</v>
      </c>
      <c r="AI327" s="3">
        <f t="shared" si="101"/>
        <v>-17193.939999999999</v>
      </c>
      <c r="AL327" s="3">
        <f t="shared" si="95"/>
        <v>-17193.939999999999</v>
      </c>
      <c r="AM327" s="3">
        <f t="shared" si="102"/>
        <v>-17193.939999999999</v>
      </c>
      <c r="AQ327" s="4">
        <f t="shared" ca="1" si="88"/>
        <v>44675</v>
      </c>
      <c r="AR327" s="3">
        <f t="shared" ca="1" si="92"/>
        <v>585111.76999999955</v>
      </c>
      <c r="AS327" s="63">
        <f ca="1">IF($AQ327&lt;&gt;"", INDEX(Inputs!$B$3:$B$101, MATCH($AQ327,Inputs!$A$3:$A$101,1)), "")</f>
        <v>1E-3</v>
      </c>
      <c r="AT327" s="48">
        <f t="shared" ca="1" si="96"/>
        <v>1.6030459452054782</v>
      </c>
      <c r="AU327" s="3">
        <f t="shared" ca="1" si="103"/>
        <v>-1.6030459452054782</v>
      </c>
      <c r="AV327" s="3">
        <f t="shared" ca="1" si="97"/>
        <v>-1.6030459452054782</v>
      </c>
    </row>
    <row r="328" spans="1:48" x14ac:dyDescent="0.2">
      <c r="A328" s="4">
        <v>45520</v>
      </c>
      <c r="B328" s="1" t="s">
        <v>105</v>
      </c>
      <c r="F328" s="3">
        <v>2978.24</v>
      </c>
      <c r="M328" s="3" t="str">
        <f t="shared" si="98"/>
        <v/>
      </c>
      <c r="N328" s="3"/>
      <c r="AA328" s="3">
        <f t="shared" si="99"/>
        <v>3450000</v>
      </c>
      <c r="AB328" s="3">
        <f t="shared" si="104"/>
        <v>3450000.0000000065</v>
      </c>
      <c r="AC328" s="3">
        <f t="shared" si="105"/>
        <v>802778.36999999988</v>
      </c>
      <c r="AD328" s="3">
        <f t="shared" si="106"/>
        <v>2647221.6300000064</v>
      </c>
      <c r="AE328" s="1">
        <f t="shared" ca="1" si="107"/>
        <v>14</v>
      </c>
      <c r="AG328" s="3">
        <f t="shared" si="108"/>
        <v>-2978.24</v>
      </c>
      <c r="AH328" s="1">
        <f t="shared" si="100"/>
        <v>1169</v>
      </c>
      <c r="AI328" s="3">
        <f t="shared" si="101"/>
        <v>-2978.24</v>
      </c>
      <c r="AL328" s="3">
        <f t="shared" si="95"/>
        <v>-2978.24</v>
      </c>
      <c r="AM328" s="3">
        <f t="shared" si="102"/>
        <v>-2978.24</v>
      </c>
      <c r="AQ328" s="4">
        <f t="shared" ca="1" si="88"/>
        <v>44676</v>
      </c>
      <c r="AR328" s="3">
        <f t="shared" ca="1" si="92"/>
        <v>585111.76999999955</v>
      </c>
      <c r="AS328" s="63">
        <f ca="1">IF($AQ328&lt;&gt;"", INDEX(Inputs!$B$3:$B$101, MATCH($AQ328,Inputs!$A$3:$A$101,1)), "")</f>
        <v>1E-3</v>
      </c>
      <c r="AT328" s="48">
        <f t="shared" ca="1" si="96"/>
        <v>1.6030459452054782</v>
      </c>
      <c r="AU328" s="3">
        <f t="shared" ca="1" si="103"/>
        <v>-1.6030459452054782</v>
      </c>
      <c r="AV328" s="3">
        <f t="shared" ca="1" si="97"/>
        <v>-1.6030459452054782</v>
      </c>
    </row>
    <row r="329" spans="1:48" x14ac:dyDescent="0.2">
      <c r="A329" s="4">
        <v>45534</v>
      </c>
      <c r="B329" s="1" t="s">
        <v>103</v>
      </c>
      <c r="G329" s="3">
        <v>11123.56</v>
      </c>
      <c r="M329" s="3" t="str">
        <f t="shared" si="98"/>
        <v/>
      </c>
      <c r="N329" s="3"/>
      <c r="AA329" s="3">
        <f t="shared" si="99"/>
        <v>3450000</v>
      </c>
      <c r="AB329" s="3">
        <f t="shared" si="104"/>
        <v>3450000.0000000065</v>
      </c>
      <c r="AC329" s="3">
        <f t="shared" si="105"/>
        <v>791654.80999999982</v>
      </c>
      <c r="AD329" s="3">
        <f t="shared" si="106"/>
        <v>2658345.1900000065</v>
      </c>
      <c r="AE329" s="1">
        <f t="shared" ca="1" si="107"/>
        <v>0</v>
      </c>
      <c r="AG329" s="3">
        <f t="shared" si="108"/>
        <v>0</v>
      </c>
      <c r="AH329" s="1">
        <f t="shared" si="100"/>
        <v>1183</v>
      </c>
      <c r="AI329" s="3">
        <f t="shared" si="101"/>
        <v>0</v>
      </c>
      <c r="AL329" s="3">
        <f t="shared" si="95"/>
        <v>0</v>
      </c>
      <c r="AM329" s="3">
        <f t="shared" si="102"/>
        <v>0</v>
      </c>
      <c r="AQ329" s="4">
        <f t="shared" ca="1" si="88"/>
        <v>44677</v>
      </c>
      <c r="AR329" s="3">
        <f t="shared" ca="1" si="92"/>
        <v>585111.76999999955</v>
      </c>
      <c r="AS329" s="63">
        <f ca="1">IF($AQ329&lt;&gt;"", INDEX(Inputs!$B$3:$B$101, MATCH($AQ329,Inputs!$A$3:$A$101,1)), "")</f>
        <v>1E-3</v>
      </c>
      <c r="AT329" s="48">
        <f t="shared" ca="1" si="96"/>
        <v>1.6030459452054782</v>
      </c>
      <c r="AU329" s="3">
        <f t="shared" ca="1" si="103"/>
        <v>-1.6030459452054782</v>
      </c>
      <c r="AV329" s="3">
        <f t="shared" ca="1" si="97"/>
        <v>-1.6030459452054782</v>
      </c>
    </row>
    <row r="330" spans="1:48" x14ac:dyDescent="0.2">
      <c r="A330" s="4">
        <v>45534</v>
      </c>
      <c r="B330" s="1" t="s">
        <v>106</v>
      </c>
      <c r="G330" s="3">
        <v>554.98</v>
      </c>
      <c r="M330" s="3" t="str">
        <f t="shared" si="98"/>
        <v/>
      </c>
      <c r="N330" s="3"/>
      <c r="AA330" s="3">
        <f t="shared" si="99"/>
        <v>3450000</v>
      </c>
      <c r="AB330" s="3">
        <f t="shared" si="104"/>
        <v>3450000.0000000065</v>
      </c>
      <c r="AC330" s="3">
        <f t="shared" si="105"/>
        <v>791099.82999999984</v>
      </c>
      <c r="AD330" s="3">
        <f t="shared" si="106"/>
        <v>2658900.1700000064</v>
      </c>
      <c r="AE330" s="1">
        <f t="shared" ca="1" si="107"/>
        <v>3</v>
      </c>
      <c r="AG330" s="3">
        <f t="shared" si="108"/>
        <v>0</v>
      </c>
      <c r="AH330" s="1">
        <f t="shared" si="100"/>
        <v>1183</v>
      </c>
      <c r="AI330" s="3">
        <f t="shared" si="101"/>
        <v>0</v>
      </c>
      <c r="AL330" s="3">
        <f t="shared" si="95"/>
        <v>0</v>
      </c>
      <c r="AM330" s="3">
        <f t="shared" si="102"/>
        <v>0</v>
      </c>
      <c r="AQ330" s="4">
        <f t="shared" ca="1" si="88"/>
        <v>44678</v>
      </c>
      <c r="AR330" s="3">
        <f t="shared" ca="1" si="92"/>
        <v>585111.76999999955</v>
      </c>
      <c r="AS330" s="63">
        <f ca="1">IF($AQ330&lt;&gt;"", INDEX(Inputs!$B$3:$B$101, MATCH($AQ330,Inputs!$A$3:$A$101,1)), "")</f>
        <v>1E-3</v>
      </c>
      <c r="AT330" s="48">
        <f t="shared" ca="1" si="96"/>
        <v>1.6030459452054782</v>
      </c>
      <c r="AU330" s="3">
        <f t="shared" ca="1" si="103"/>
        <v>-1.6030459452054782</v>
      </c>
      <c r="AV330" s="3">
        <f t="shared" ca="1" si="97"/>
        <v>-1.6030459452054782</v>
      </c>
    </row>
    <row r="331" spans="1:48" x14ac:dyDescent="0.2">
      <c r="A331" s="4">
        <v>45537</v>
      </c>
      <c r="B331" s="1" t="s">
        <v>66</v>
      </c>
      <c r="I331" s="3">
        <v>10400</v>
      </c>
      <c r="M331" s="3" t="str">
        <f t="shared" si="98"/>
        <v/>
      </c>
      <c r="N331" s="3"/>
      <c r="AA331" s="3">
        <f t="shared" si="99"/>
        <v>3450000</v>
      </c>
      <c r="AB331" s="3">
        <f t="shared" si="104"/>
        <v>3450000.0000000065</v>
      </c>
      <c r="AC331" s="3">
        <f t="shared" si="105"/>
        <v>791099.82999999984</v>
      </c>
      <c r="AD331" s="3">
        <f t="shared" si="106"/>
        <v>2658900.1700000064</v>
      </c>
      <c r="AE331" s="1">
        <f t="shared" ca="1" si="107"/>
        <v>14</v>
      </c>
      <c r="AG331" s="3">
        <f t="shared" si="108"/>
        <v>10400</v>
      </c>
      <c r="AH331" s="1">
        <f t="shared" si="100"/>
        <v>1186</v>
      </c>
      <c r="AI331" s="3">
        <f t="shared" si="101"/>
        <v>10400</v>
      </c>
      <c r="AL331" s="3">
        <f t="shared" si="95"/>
        <v>10400</v>
      </c>
      <c r="AM331" s="3">
        <f t="shared" si="102"/>
        <v>10400</v>
      </c>
      <c r="AQ331" s="4">
        <f t="shared" ca="1" si="88"/>
        <v>44679</v>
      </c>
      <c r="AR331" s="3">
        <f t="shared" ca="1" si="92"/>
        <v>585111.76999999955</v>
      </c>
      <c r="AS331" s="63">
        <f ca="1">IF($AQ331&lt;&gt;"", INDEX(Inputs!$B$3:$B$101, MATCH($AQ331,Inputs!$A$3:$A$101,1)), "")</f>
        <v>1E-3</v>
      </c>
      <c r="AT331" s="48">
        <f t="shared" ca="1" si="96"/>
        <v>1.6030459452054782</v>
      </c>
      <c r="AU331" s="3">
        <f t="shared" ca="1" si="103"/>
        <v>-1.6030459452054782</v>
      </c>
      <c r="AV331" s="3">
        <f t="shared" ca="1" si="97"/>
        <v>-1.6030459452054782</v>
      </c>
    </row>
    <row r="332" spans="1:48" x14ac:dyDescent="0.2">
      <c r="A332" s="4">
        <v>45551</v>
      </c>
      <c r="B332" s="1" t="s">
        <v>104</v>
      </c>
      <c r="F332" s="3">
        <v>17193.939999999999</v>
      </c>
      <c r="M332" s="3" t="str">
        <f t="shared" si="98"/>
        <v/>
      </c>
      <c r="N332" s="3"/>
      <c r="AA332" s="3">
        <f t="shared" si="99"/>
        <v>3450000</v>
      </c>
      <c r="AB332" s="3">
        <f t="shared" si="104"/>
        <v>3450000.0000000065</v>
      </c>
      <c r="AC332" s="3">
        <f t="shared" si="105"/>
        <v>808293.76999999979</v>
      </c>
      <c r="AD332" s="3">
        <f t="shared" si="106"/>
        <v>2641706.2300000065</v>
      </c>
      <c r="AE332" s="1">
        <f t="shared" ca="1" si="107"/>
        <v>0</v>
      </c>
      <c r="AG332" s="3">
        <f t="shared" si="108"/>
        <v>-17193.939999999999</v>
      </c>
      <c r="AH332" s="1">
        <f t="shared" si="100"/>
        <v>1200</v>
      </c>
      <c r="AI332" s="3">
        <f t="shared" si="101"/>
        <v>-17193.939999999999</v>
      </c>
      <c r="AL332" s="3">
        <f t="shared" ref="AL332" si="109">IF($A332&lt;&gt;"", AG332-IF(ISNUMBER(K332),K332*L332,0), "")</f>
        <v>-17193.939999999999</v>
      </c>
      <c r="AM332" s="3">
        <f t="shared" si="102"/>
        <v>-17193.939999999999</v>
      </c>
      <c r="AQ332" s="4">
        <f t="shared" ref="AQ332:AQ368" ca="1" si="110">IF(AQ331&lt;$AP$3,AQ331+1,"")</f>
        <v>44680</v>
      </c>
      <c r="AR332" s="3">
        <f t="shared" ref="AR332:AR363" ca="1" si="111">IF($AQ332&lt;&gt;"", INDEX($AC$3:$AC$1055, MATCH($AQ332,$A$3:$A$1055,1)), "")</f>
        <v>580645.40999999957</v>
      </c>
      <c r="AS332" s="63">
        <f ca="1">IF($AQ332&lt;&gt;"", INDEX(Inputs!$B$3:$B$101, MATCH($AQ332,Inputs!$A$3:$A$101,1)), "")</f>
        <v>1E-3</v>
      </c>
      <c r="AT332" s="48">
        <f t="shared" ref="AT332" ca="1" si="112">IF($AQ332&lt;&gt;"", AR332*AS332/365, "")</f>
        <v>1.5908093424657523</v>
      </c>
      <c r="AU332" s="3">
        <f t="shared" ca="1" si="103"/>
        <v>-1225.5908093424657</v>
      </c>
      <c r="AV332" s="3">
        <f t="shared" ref="AV332" ca="1" si="113">IF(AQ332&lt;&gt;"", AU332*(1+$X$9/CompoundingRate)^-((AQ332-AQ$3)/(365/CompoundingRate)), "")</f>
        <v>-1225.5908093424657</v>
      </c>
    </row>
    <row r="333" spans="1:48" x14ac:dyDescent="0.2">
      <c r="A333" s="4">
        <v>45551</v>
      </c>
      <c r="B333" s="1" t="s">
        <v>105</v>
      </c>
      <c r="F333" s="3">
        <v>2978.24</v>
      </c>
      <c r="M333" s="3" t="str">
        <f t="shared" si="98"/>
        <v/>
      </c>
      <c r="N333" s="3"/>
      <c r="AA333" s="3">
        <f t="shared" ref="AA333:AA348" si="114">IF($A333&lt;&gt;"", MIN(AB333,$P$3), "")</f>
        <v>3450000</v>
      </c>
      <c r="AB333" s="3">
        <f t="shared" ref="AB333:AB348" si="115">IF($A333&lt;&gt;"", AC333+AD333, "")</f>
        <v>3450000.0000000061</v>
      </c>
      <c r="AC333" s="3">
        <f t="shared" ref="AC333:AC348" si="116">IF(A333&lt;&gt;"", AC332+D333+F333-G333, "")</f>
        <v>811272.00999999978</v>
      </c>
      <c r="AD333" s="3">
        <f t="shared" ref="AD333:AD348" si="117">IF(A333&lt;&gt;"", AD332+C333-F333+G333, "")</f>
        <v>2638727.9900000063</v>
      </c>
      <c r="AE333" s="1">
        <f t="shared" ref="AE333:AE348" ca="1" si="118">IF(A334&lt;&gt;"", A334-A333, IF(A333&lt;&gt;"",IF(AC333&lt;&gt;0,TODAY()-A333,0), ""))</f>
        <v>7</v>
      </c>
      <c r="AG333" s="3">
        <f t="shared" si="108"/>
        <v>-2978.24</v>
      </c>
      <c r="AH333" s="1">
        <f t="shared" ref="AH333:AH348" si="119">IF(A333&lt;&gt;"", A333-A$3, "")</f>
        <v>1200</v>
      </c>
      <c r="AI333" s="3">
        <f t="shared" ref="AI333:AI348" si="120">IF(A333&lt;&gt;"", AG333*(1+$X$3)^-(AH333/365), "")</f>
        <v>-2978.24</v>
      </c>
      <c r="AL333" s="3">
        <f t="shared" ref="AL333:AL348" si="121">IF($A333&lt;&gt;"", AG333-IF(ISNUMBER(K333),K333*L333,0), "")</f>
        <v>-2978.24</v>
      </c>
      <c r="AM333" s="3">
        <f t="shared" ref="AM333:AM348" si="122">IF(A333&lt;&gt;"", AL333*(1+$X$6/CompoundingRate)^-(AH333/(365/CompoundingRate)), "")</f>
        <v>-2978.24</v>
      </c>
      <c r="AQ333" s="4">
        <f t="shared" ca="1" si="110"/>
        <v>44681</v>
      </c>
      <c r="AR333" s="3">
        <f t="shared" ca="1" si="111"/>
        <v>580645.40999999957</v>
      </c>
      <c r="AS333" s="63">
        <f ca="1">IF($AQ333&lt;&gt;"", INDEX(Inputs!$B$3:$B$101, MATCH($AQ333,Inputs!$A$3:$A$101,1)), "")</f>
        <v>1E-3</v>
      </c>
      <c r="AT333" s="48">
        <f t="shared" ref="AT333:AT348" ca="1" si="123">IF($AQ333&lt;&gt;"", AR333*AS333/365, "")</f>
        <v>1.5908093424657523</v>
      </c>
      <c r="AU333" s="3">
        <f t="shared" ca="1" si="103"/>
        <v>-1.5908093424657523</v>
      </c>
      <c r="AV333" s="3">
        <f t="shared" ref="AV333:AV348" ca="1" si="124">IF(AQ333&lt;&gt;"", AU333*(1+$X$9/CompoundingRate)^-((AQ333-AQ$3)/(365/CompoundingRate)), "")</f>
        <v>-1.5908093424657523</v>
      </c>
    </row>
    <row r="334" spans="1:48" x14ac:dyDescent="0.2">
      <c r="A334" s="4">
        <v>45558</v>
      </c>
      <c r="B334" s="1" t="s">
        <v>80</v>
      </c>
      <c r="H334" s="3">
        <v>231.41</v>
      </c>
      <c r="M334" s="3" t="str">
        <f t="shared" si="98"/>
        <v/>
      </c>
      <c r="N334" s="3"/>
      <c r="AA334" s="3">
        <f t="shared" si="114"/>
        <v>3450000</v>
      </c>
      <c r="AB334" s="3">
        <f t="shared" si="115"/>
        <v>3450000.0000000061</v>
      </c>
      <c r="AC334" s="3">
        <f t="shared" si="116"/>
        <v>811272.00999999978</v>
      </c>
      <c r="AD334" s="3">
        <f t="shared" si="117"/>
        <v>2638727.9900000063</v>
      </c>
      <c r="AE334" s="1">
        <f t="shared" ca="1" si="118"/>
        <v>7</v>
      </c>
      <c r="AG334" s="3">
        <f t="shared" si="108"/>
        <v>-231.41</v>
      </c>
      <c r="AH334" s="1">
        <f t="shared" si="119"/>
        <v>1207</v>
      </c>
      <c r="AI334" s="3">
        <f t="shared" si="120"/>
        <v>-231.41</v>
      </c>
      <c r="AL334" s="3">
        <f t="shared" si="121"/>
        <v>-231.41</v>
      </c>
      <c r="AM334" s="3">
        <f t="shared" si="122"/>
        <v>-231.41</v>
      </c>
      <c r="AQ334" s="4">
        <f t="shared" ca="1" si="110"/>
        <v>44682</v>
      </c>
      <c r="AR334" s="3">
        <f t="shared" ca="1" si="111"/>
        <v>580645.40999999957</v>
      </c>
      <c r="AS334" s="63">
        <f ca="1">IF($AQ334&lt;&gt;"", INDEX(Inputs!$B$3:$B$101, MATCH($AQ334,Inputs!$A$3:$A$101,1)), "")</f>
        <v>1E-3</v>
      </c>
      <c r="AT334" s="48">
        <f t="shared" ca="1" si="123"/>
        <v>1.5908093424657523</v>
      </c>
      <c r="AU334" s="3">
        <f t="shared" ca="1" si="103"/>
        <v>-1.5908093424657523</v>
      </c>
      <c r="AV334" s="3">
        <f t="shared" ca="1" si="124"/>
        <v>-1.5908093424657523</v>
      </c>
    </row>
    <row r="335" spans="1:48" x14ac:dyDescent="0.2">
      <c r="A335" s="4">
        <v>45565</v>
      </c>
      <c r="B335" s="1" t="s">
        <v>103</v>
      </c>
      <c r="G335" s="3">
        <v>11464.28</v>
      </c>
      <c r="M335" s="3" t="str">
        <f t="shared" si="98"/>
        <v/>
      </c>
      <c r="N335" s="3"/>
      <c r="Z335" s="3"/>
      <c r="AA335" s="3">
        <f t="shared" si="114"/>
        <v>3450000</v>
      </c>
      <c r="AB335" s="3">
        <f t="shared" si="115"/>
        <v>3450000.0000000056</v>
      </c>
      <c r="AC335" s="3">
        <f t="shared" si="116"/>
        <v>799807.72999999975</v>
      </c>
      <c r="AD335" s="3">
        <f t="shared" si="117"/>
        <v>2650192.2700000061</v>
      </c>
      <c r="AE335" s="1">
        <f t="shared" ca="1" si="118"/>
        <v>0</v>
      </c>
      <c r="AG335" s="3">
        <f t="shared" si="108"/>
        <v>0</v>
      </c>
      <c r="AH335" s="1">
        <f t="shared" si="119"/>
        <v>1214</v>
      </c>
      <c r="AI335" s="3">
        <f t="shared" si="120"/>
        <v>0</v>
      </c>
      <c r="AL335" s="3">
        <f t="shared" si="121"/>
        <v>0</v>
      </c>
      <c r="AM335" s="3">
        <f t="shared" si="122"/>
        <v>0</v>
      </c>
      <c r="AQ335" s="4">
        <f t="shared" ca="1" si="110"/>
        <v>44683</v>
      </c>
      <c r="AR335" s="3">
        <f t="shared" ca="1" si="111"/>
        <v>580645.40999999957</v>
      </c>
      <c r="AS335" s="63">
        <f ca="1">IF($AQ335&lt;&gt;"", INDEX(Inputs!$B$3:$B$101, MATCH($AQ335,Inputs!$A$3:$A$101,1)), "")</f>
        <v>1E-3</v>
      </c>
      <c r="AT335" s="48">
        <f t="shared" ca="1" si="123"/>
        <v>1.5908093424657523</v>
      </c>
      <c r="AU335" s="3">
        <f t="shared" ca="1" si="103"/>
        <v>-1.5908093424657523</v>
      </c>
      <c r="AV335" s="3">
        <f t="shared" ca="1" si="124"/>
        <v>-1.5908093424657523</v>
      </c>
    </row>
    <row r="336" spans="1:48" x14ac:dyDescent="0.2">
      <c r="A336" s="4">
        <v>45565</v>
      </c>
      <c r="B336" s="1" t="s">
        <v>106</v>
      </c>
      <c r="G336" s="3">
        <v>291.79000000000002</v>
      </c>
      <c r="M336" s="3" t="str">
        <f t="shared" si="98"/>
        <v/>
      </c>
      <c r="N336" s="3"/>
      <c r="X336" s="3"/>
      <c r="AA336" s="3">
        <f t="shared" si="114"/>
        <v>3450000</v>
      </c>
      <c r="AB336" s="3">
        <f t="shared" si="115"/>
        <v>3450000.0000000056</v>
      </c>
      <c r="AC336" s="3">
        <f t="shared" si="116"/>
        <v>799515.93999999971</v>
      </c>
      <c r="AD336" s="3">
        <f t="shared" si="117"/>
        <v>2650484.0600000061</v>
      </c>
      <c r="AE336" s="1">
        <f t="shared" ca="1" si="118"/>
        <v>1</v>
      </c>
      <c r="AG336" s="3">
        <f t="shared" si="108"/>
        <v>0</v>
      </c>
      <c r="AH336" s="1">
        <f t="shared" si="119"/>
        <v>1214</v>
      </c>
      <c r="AI336" s="3">
        <f t="shared" si="120"/>
        <v>0</v>
      </c>
      <c r="AL336" s="3">
        <f t="shared" si="121"/>
        <v>0</v>
      </c>
      <c r="AM336" s="3">
        <f t="shared" si="122"/>
        <v>0</v>
      </c>
      <c r="AQ336" s="4">
        <f t="shared" ca="1" si="110"/>
        <v>44684</v>
      </c>
      <c r="AR336" s="3">
        <f t="shared" ca="1" si="111"/>
        <v>580645.40999999957</v>
      </c>
      <c r="AS336" s="63">
        <f ca="1">IF($AQ336&lt;&gt;"", INDEX(Inputs!$B$3:$B$101, MATCH($AQ336,Inputs!$A$3:$A$101,1)), "")</f>
        <v>1E-3</v>
      </c>
      <c r="AT336" s="48">
        <f t="shared" ca="1" si="123"/>
        <v>1.5908093424657523</v>
      </c>
      <c r="AU336" s="3">
        <f t="shared" ca="1" si="103"/>
        <v>-1.5908093424657523</v>
      </c>
      <c r="AV336" s="3">
        <f t="shared" ca="1" si="124"/>
        <v>-1.5908093424657523</v>
      </c>
    </row>
    <row r="337" spans="1:48" x14ac:dyDescent="0.2">
      <c r="A337" s="4">
        <v>45566</v>
      </c>
      <c r="B337" s="1" t="s">
        <v>50</v>
      </c>
      <c r="H337" s="3">
        <v>3080</v>
      </c>
      <c r="M337" s="3" t="str">
        <f t="shared" si="98"/>
        <v/>
      </c>
      <c r="N337" s="3"/>
      <c r="Y337" s="3"/>
      <c r="Z337" s="3"/>
      <c r="AA337" s="3">
        <f t="shared" si="114"/>
        <v>3450000</v>
      </c>
      <c r="AB337" s="3">
        <f t="shared" si="115"/>
        <v>3450000.0000000056</v>
      </c>
      <c r="AC337" s="3">
        <f t="shared" si="116"/>
        <v>799515.93999999971</v>
      </c>
      <c r="AD337" s="3">
        <f t="shared" si="117"/>
        <v>2650484.0600000061</v>
      </c>
      <c r="AE337" s="1">
        <f t="shared" ca="1" si="118"/>
        <v>0</v>
      </c>
      <c r="AG337" s="3">
        <f t="shared" si="108"/>
        <v>-3080</v>
      </c>
      <c r="AH337" s="1">
        <f t="shared" si="119"/>
        <v>1215</v>
      </c>
      <c r="AI337" s="3">
        <f t="shared" si="120"/>
        <v>-3080</v>
      </c>
      <c r="AL337" s="3">
        <f t="shared" si="121"/>
        <v>-3080</v>
      </c>
      <c r="AM337" s="3">
        <f t="shared" si="122"/>
        <v>-3080</v>
      </c>
      <c r="AQ337" s="4">
        <f t="shared" ca="1" si="110"/>
        <v>44685</v>
      </c>
      <c r="AR337" s="3">
        <f t="shared" ca="1" si="111"/>
        <v>580645.40999999957</v>
      </c>
      <c r="AS337" s="63">
        <f ca="1">IF($AQ337&lt;&gt;"", INDEX(Inputs!$B$3:$B$101, MATCH($AQ337,Inputs!$A$3:$A$101,1)), "")</f>
        <v>3.5000000000000001E-3</v>
      </c>
      <c r="AT337" s="48">
        <f t="shared" ca="1" si="123"/>
        <v>5.5678326986301325</v>
      </c>
      <c r="AU337" s="3">
        <f t="shared" ca="1" si="103"/>
        <v>-5.5678326986301325</v>
      </c>
      <c r="AV337" s="3">
        <f t="shared" ca="1" si="124"/>
        <v>-5.5678326986301325</v>
      </c>
    </row>
    <row r="338" spans="1:48" x14ac:dyDescent="0.2">
      <c r="A338" s="4">
        <v>45566</v>
      </c>
      <c r="B338" s="1" t="s">
        <v>103</v>
      </c>
      <c r="G338" s="3">
        <v>370.16</v>
      </c>
      <c r="M338" s="3" t="str">
        <f t="shared" si="98"/>
        <v/>
      </c>
      <c r="N338" s="3"/>
      <c r="AA338" s="3">
        <f t="shared" si="114"/>
        <v>3450000</v>
      </c>
      <c r="AB338" s="3">
        <f t="shared" si="115"/>
        <v>3450000.0000000061</v>
      </c>
      <c r="AC338" s="3">
        <f t="shared" si="116"/>
        <v>799145.77999999968</v>
      </c>
      <c r="AD338" s="3">
        <f t="shared" si="117"/>
        <v>2650854.2200000063</v>
      </c>
      <c r="AE338" s="1">
        <f t="shared" ca="1" si="118"/>
        <v>0</v>
      </c>
      <c r="AG338" s="3">
        <f t="shared" si="108"/>
        <v>0</v>
      </c>
      <c r="AH338" s="1">
        <f t="shared" si="119"/>
        <v>1215</v>
      </c>
      <c r="AI338" s="3">
        <f t="shared" si="120"/>
        <v>0</v>
      </c>
      <c r="AL338" s="3">
        <f t="shared" si="121"/>
        <v>0</v>
      </c>
      <c r="AM338" s="3">
        <f t="shared" si="122"/>
        <v>0</v>
      </c>
      <c r="AQ338" s="4">
        <f t="shared" ca="1" si="110"/>
        <v>44686</v>
      </c>
      <c r="AR338" s="3">
        <f t="shared" ca="1" si="111"/>
        <v>580645.40999999957</v>
      </c>
      <c r="AS338" s="63">
        <f ca="1">IF($AQ338&lt;&gt;"", INDEX(Inputs!$B$3:$B$101, MATCH($AQ338,Inputs!$A$3:$A$101,1)), "")</f>
        <v>3.5000000000000001E-3</v>
      </c>
      <c r="AT338" s="48">
        <f t="shared" ca="1" si="123"/>
        <v>5.5678326986301325</v>
      </c>
      <c r="AU338" s="3">
        <f t="shared" ca="1" si="103"/>
        <v>-5.5678326986301325</v>
      </c>
      <c r="AV338" s="3">
        <f t="shared" ca="1" si="124"/>
        <v>-5.5678326986301325</v>
      </c>
    </row>
    <row r="339" spans="1:48" x14ac:dyDescent="0.2">
      <c r="A339" s="4">
        <v>45566</v>
      </c>
      <c r="B339" s="1" t="s">
        <v>106</v>
      </c>
      <c r="G339" s="3">
        <v>16.84</v>
      </c>
      <c r="M339" s="3" t="str">
        <f t="shared" si="98"/>
        <v/>
      </c>
      <c r="N339" s="3"/>
      <c r="Z339" s="81"/>
      <c r="AA339" s="3">
        <f t="shared" si="114"/>
        <v>3450000</v>
      </c>
      <c r="AB339" s="3">
        <f t="shared" si="115"/>
        <v>3450000.0000000056</v>
      </c>
      <c r="AC339" s="3">
        <f t="shared" si="116"/>
        <v>799128.93999999971</v>
      </c>
      <c r="AD339" s="3">
        <f t="shared" si="117"/>
        <v>2650871.0600000061</v>
      </c>
      <c r="AE339" s="1">
        <f t="shared" ca="1" si="118"/>
        <v>0</v>
      </c>
      <c r="AG339" s="3">
        <f t="shared" si="108"/>
        <v>0</v>
      </c>
      <c r="AH339" s="1">
        <f t="shared" si="119"/>
        <v>1215</v>
      </c>
      <c r="AI339" s="3">
        <f t="shared" si="120"/>
        <v>0</v>
      </c>
      <c r="AL339" s="3">
        <f t="shared" si="121"/>
        <v>0</v>
      </c>
      <c r="AM339" s="3">
        <f t="shared" si="122"/>
        <v>0</v>
      </c>
      <c r="AQ339" s="4">
        <f t="shared" ca="1" si="110"/>
        <v>44687</v>
      </c>
      <c r="AR339" s="3">
        <f t="shared" ca="1" si="111"/>
        <v>580645.40999999957</v>
      </c>
      <c r="AS339" s="63">
        <f ca="1">IF($AQ339&lt;&gt;"", INDEX(Inputs!$B$3:$B$101, MATCH($AQ339,Inputs!$A$3:$A$101,1)), "")</f>
        <v>3.5000000000000001E-3</v>
      </c>
      <c r="AT339" s="48">
        <f t="shared" ca="1" si="123"/>
        <v>5.5678326986301325</v>
      </c>
      <c r="AU339" s="3">
        <f t="shared" ca="1" si="103"/>
        <v>1894.4321673013699</v>
      </c>
      <c r="AV339" s="3">
        <f t="shared" ca="1" si="124"/>
        <v>1894.4321673013699</v>
      </c>
    </row>
    <row r="340" spans="1:48" x14ac:dyDescent="0.2">
      <c r="A340" s="4">
        <v>45566</v>
      </c>
      <c r="B340" s="1" t="s">
        <v>109</v>
      </c>
      <c r="C340" s="3">
        <v>-2218870.36</v>
      </c>
      <c r="M340" s="3" t="str">
        <f t="shared" si="98"/>
        <v/>
      </c>
      <c r="AA340" s="3">
        <f t="shared" si="114"/>
        <v>1231129.640000006</v>
      </c>
      <c r="AB340" s="3">
        <f t="shared" si="115"/>
        <v>1231129.640000006</v>
      </c>
      <c r="AC340" s="3">
        <f t="shared" si="116"/>
        <v>799128.93999999971</v>
      </c>
      <c r="AD340" s="3">
        <f t="shared" si="117"/>
        <v>432000.70000000624</v>
      </c>
      <c r="AE340" s="1">
        <f t="shared" ca="1" si="118"/>
        <v>0</v>
      </c>
      <c r="AG340" s="3">
        <f t="shared" si="108"/>
        <v>0</v>
      </c>
      <c r="AH340" s="1">
        <f t="shared" si="119"/>
        <v>1215</v>
      </c>
      <c r="AI340" s="3">
        <f t="shared" si="120"/>
        <v>0</v>
      </c>
      <c r="AL340" s="3">
        <f t="shared" si="121"/>
        <v>0</v>
      </c>
      <c r="AM340" s="3">
        <f t="shared" si="122"/>
        <v>0</v>
      </c>
      <c r="AQ340" s="4">
        <f t="shared" ca="1" si="110"/>
        <v>44688</v>
      </c>
      <c r="AR340" s="3">
        <f t="shared" ca="1" si="111"/>
        <v>580645.40999999957</v>
      </c>
      <c r="AS340" s="63">
        <f ca="1">IF($AQ340&lt;&gt;"", INDEX(Inputs!$B$3:$B$101, MATCH($AQ340,Inputs!$A$3:$A$101,1)), "")</f>
        <v>3.5000000000000001E-3</v>
      </c>
      <c r="AT340" s="48">
        <f t="shared" ca="1" si="123"/>
        <v>5.5678326986301325</v>
      </c>
      <c r="AU340" s="3">
        <f t="shared" ca="1" si="103"/>
        <v>-5.5678326986301325</v>
      </c>
      <c r="AV340" s="3">
        <f t="shared" ca="1" si="124"/>
        <v>-5.5678326986301325</v>
      </c>
    </row>
    <row r="341" spans="1:48" x14ac:dyDescent="0.2">
      <c r="A341" s="4">
        <v>45566</v>
      </c>
      <c r="B341" s="1" t="s">
        <v>110</v>
      </c>
      <c r="C341" s="3">
        <v>-432000.7</v>
      </c>
      <c r="M341" s="3" t="str">
        <f t="shared" si="98"/>
        <v/>
      </c>
      <c r="N341" s="3"/>
      <c r="Z341" s="48"/>
      <c r="AA341" s="3">
        <f t="shared" si="114"/>
        <v>799128.940000006</v>
      </c>
      <c r="AB341" s="3">
        <f t="shared" si="115"/>
        <v>799128.940000006</v>
      </c>
      <c r="AC341" s="3">
        <f t="shared" si="116"/>
        <v>799128.93999999971</v>
      </c>
      <c r="AD341" s="3">
        <f t="shared" si="117"/>
        <v>6.2282197177410126E-9</v>
      </c>
      <c r="AE341" s="1">
        <f t="shared" ca="1" si="118"/>
        <v>0</v>
      </c>
      <c r="AG341" s="3">
        <f t="shared" si="108"/>
        <v>0</v>
      </c>
      <c r="AH341" s="1">
        <f t="shared" si="119"/>
        <v>1215</v>
      </c>
      <c r="AI341" s="3">
        <f t="shared" si="120"/>
        <v>0</v>
      </c>
      <c r="AL341" s="3">
        <f t="shared" si="121"/>
        <v>0</v>
      </c>
      <c r="AM341" s="3">
        <f t="shared" si="122"/>
        <v>0</v>
      </c>
      <c r="AQ341" s="4">
        <f t="shared" ca="1" si="110"/>
        <v>44689</v>
      </c>
      <c r="AR341" s="3">
        <f t="shared" ca="1" si="111"/>
        <v>580645.40999999957</v>
      </c>
      <c r="AS341" s="63">
        <f ca="1">IF($AQ341&lt;&gt;"", INDEX(Inputs!$B$3:$B$101, MATCH($AQ341,Inputs!$A$3:$A$101,1)), "")</f>
        <v>3.5000000000000001E-3</v>
      </c>
      <c r="AT341" s="48">
        <f t="shared" ca="1" si="123"/>
        <v>5.5678326986301325</v>
      </c>
      <c r="AU341" s="3">
        <f t="shared" ca="1" si="103"/>
        <v>-5.5678326986301325</v>
      </c>
      <c r="AV341" s="3">
        <f t="shared" ca="1" si="124"/>
        <v>-5.5678326986301325</v>
      </c>
    </row>
    <row r="342" spans="1:48" x14ac:dyDescent="0.2">
      <c r="A342" s="4">
        <v>45566</v>
      </c>
      <c r="B342" s="1" t="s">
        <v>111</v>
      </c>
      <c r="C342" s="3">
        <v>2680000</v>
      </c>
      <c r="M342" s="3" t="str">
        <f t="shared" si="98"/>
        <v/>
      </c>
      <c r="N342" s="3"/>
      <c r="Y342" s="3"/>
      <c r="Z342" s="3"/>
      <c r="AA342" s="3">
        <f t="shared" si="114"/>
        <v>3450000</v>
      </c>
      <c r="AB342" s="3">
        <f t="shared" si="115"/>
        <v>3479128.940000006</v>
      </c>
      <c r="AC342" s="3">
        <f t="shared" si="116"/>
        <v>799128.93999999971</v>
      </c>
      <c r="AD342" s="3">
        <f t="shared" si="117"/>
        <v>2680000.0000000061</v>
      </c>
      <c r="AE342" s="1">
        <f t="shared" ca="1" si="118"/>
        <v>0</v>
      </c>
      <c r="AG342" s="3">
        <f t="shared" si="108"/>
        <v>0</v>
      </c>
      <c r="AH342" s="1">
        <f t="shared" si="119"/>
        <v>1215</v>
      </c>
      <c r="AI342" s="3">
        <f t="shared" si="120"/>
        <v>0</v>
      </c>
      <c r="AL342" s="3">
        <f t="shared" si="121"/>
        <v>0</v>
      </c>
      <c r="AM342" s="3">
        <f t="shared" si="122"/>
        <v>0</v>
      </c>
      <c r="AQ342" s="4">
        <f t="shared" ca="1" si="110"/>
        <v>44690</v>
      </c>
      <c r="AR342" s="3">
        <f t="shared" ca="1" si="111"/>
        <v>580645.40999999957</v>
      </c>
      <c r="AS342" s="63">
        <f ca="1">IF($AQ342&lt;&gt;"", INDEX(Inputs!$B$3:$B$101, MATCH($AQ342,Inputs!$A$3:$A$101,1)), "")</f>
        <v>3.5000000000000001E-3</v>
      </c>
      <c r="AT342" s="48">
        <f t="shared" ca="1" si="123"/>
        <v>5.5678326986301325</v>
      </c>
      <c r="AU342" s="3">
        <f t="shared" ca="1" si="103"/>
        <v>-5.5678326986301325</v>
      </c>
      <c r="AV342" s="3">
        <f t="shared" ca="1" si="124"/>
        <v>-5.5678326986301325</v>
      </c>
    </row>
    <row r="343" spans="1:48" x14ac:dyDescent="0.2">
      <c r="A343" s="4">
        <v>45566</v>
      </c>
      <c r="B343" s="1" t="s">
        <v>112</v>
      </c>
      <c r="C343" s="3">
        <v>360000</v>
      </c>
      <c r="E343" s="3">
        <f>3800000-3450000</f>
        <v>350000</v>
      </c>
      <c r="M343" s="3" t="str">
        <f t="shared" si="98"/>
        <v/>
      </c>
      <c r="N343" s="3"/>
      <c r="Z343" s="3"/>
      <c r="AA343" s="3">
        <f t="shared" si="114"/>
        <v>3450000</v>
      </c>
      <c r="AB343" s="3">
        <f t="shared" si="115"/>
        <v>3839128.940000006</v>
      </c>
      <c r="AC343" s="3">
        <f t="shared" si="116"/>
        <v>799128.93999999971</v>
      </c>
      <c r="AD343" s="3">
        <f t="shared" si="117"/>
        <v>3040000.0000000061</v>
      </c>
      <c r="AE343" s="1">
        <f t="shared" ca="1" si="118"/>
        <v>0</v>
      </c>
      <c r="AG343" s="3">
        <f t="shared" si="108"/>
        <v>350000</v>
      </c>
      <c r="AH343" s="1">
        <f t="shared" si="119"/>
        <v>1215</v>
      </c>
      <c r="AI343" s="3">
        <f t="shared" si="120"/>
        <v>350000</v>
      </c>
      <c r="AL343" s="3">
        <f t="shared" si="121"/>
        <v>350000</v>
      </c>
      <c r="AM343" s="3">
        <f t="shared" si="122"/>
        <v>350000</v>
      </c>
      <c r="AQ343" s="4">
        <f t="shared" ca="1" si="110"/>
        <v>44691</v>
      </c>
      <c r="AR343" s="3">
        <f t="shared" ca="1" si="111"/>
        <v>580645.40999999957</v>
      </c>
      <c r="AS343" s="63">
        <f ca="1">IF($AQ343&lt;&gt;"", INDEX(Inputs!$B$3:$B$101, MATCH($AQ343,Inputs!$A$3:$A$101,1)), "")</f>
        <v>3.5000000000000001E-3</v>
      </c>
      <c r="AT343" s="48">
        <f t="shared" ca="1" si="123"/>
        <v>5.5678326986301325</v>
      </c>
      <c r="AU343" s="3">
        <f t="shared" ca="1" si="103"/>
        <v>-5.5678326986301325</v>
      </c>
      <c r="AV343" s="3">
        <f t="shared" ca="1" si="124"/>
        <v>-5.5678326986301325</v>
      </c>
    </row>
    <row r="344" spans="1:48" x14ac:dyDescent="0.2">
      <c r="A344" s="4">
        <v>45566</v>
      </c>
      <c r="B344" s="1" t="s">
        <v>140</v>
      </c>
      <c r="D344" s="3">
        <f>3800000*0.2-AC343</f>
        <v>-39128.939999999711</v>
      </c>
      <c r="E344" s="3">
        <f>-D344</f>
        <v>39128.939999999711</v>
      </c>
      <c r="M344" s="3" t="str">
        <f t="shared" si="98"/>
        <v/>
      </c>
      <c r="N344" s="3"/>
      <c r="Z344" s="3"/>
      <c r="AA344" s="3">
        <f t="shared" si="114"/>
        <v>3450000</v>
      </c>
      <c r="AB344" s="3">
        <f>IF($A344&lt;&gt;"", AC344+AD344, "")</f>
        <v>3800000.0000000061</v>
      </c>
      <c r="AC344" s="3">
        <f>IF(A344&lt;&gt;"", AC343+D344+F344-G344, "")</f>
        <v>760000</v>
      </c>
      <c r="AD344" s="3">
        <f t="shared" si="117"/>
        <v>3040000.0000000061</v>
      </c>
      <c r="AE344" s="1">
        <f t="shared" ca="1" si="118"/>
        <v>0</v>
      </c>
      <c r="AG344" s="3">
        <f t="shared" si="108"/>
        <v>39128.939999999711</v>
      </c>
      <c r="AH344" s="1">
        <f t="shared" si="119"/>
        <v>1215</v>
      </c>
      <c r="AI344" s="3">
        <f t="shared" si="120"/>
        <v>39128.939999999711</v>
      </c>
      <c r="AL344" s="3">
        <f t="shared" si="121"/>
        <v>39128.939999999711</v>
      </c>
      <c r="AM344" s="3">
        <f t="shared" si="122"/>
        <v>39128.939999999711</v>
      </c>
      <c r="AQ344" s="4">
        <f t="shared" ca="1" si="110"/>
        <v>44692</v>
      </c>
      <c r="AR344" s="3">
        <f t="shared" ca="1" si="111"/>
        <v>580645.40999999957</v>
      </c>
      <c r="AS344" s="63">
        <f ca="1">IF($AQ344&lt;&gt;"", INDEX(Inputs!$B$3:$B$101, MATCH($AQ344,Inputs!$A$3:$A$101,1)), "")</f>
        <v>3.5000000000000001E-3</v>
      </c>
      <c r="AT344" s="48">
        <f t="shared" ca="1" si="123"/>
        <v>5.5678326986301325</v>
      </c>
      <c r="AU344" s="3">
        <f t="shared" ca="1" si="103"/>
        <v>-5.5678326986301325</v>
      </c>
      <c r="AV344" s="3">
        <f t="shared" ca="1" si="124"/>
        <v>-5.5678326986301325</v>
      </c>
    </row>
    <row r="345" spans="1:48" x14ac:dyDescent="0.2">
      <c r="A345" s="4">
        <v>45566</v>
      </c>
      <c r="B345" s="1" t="s">
        <v>119</v>
      </c>
      <c r="H345" s="3">
        <v>-350</v>
      </c>
      <c r="M345" s="3" t="str">
        <f t="shared" si="98"/>
        <v/>
      </c>
      <c r="N345" s="3"/>
      <c r="Z345" s="3"/>
      <c r="AA345" s="3">
        <f t="shared" si="114"/>
        <v>3450000</v>
      </c>
      <c r="AB345" s="3">
        <f>IF($A345&lt;&gt;"", AC345+AD345, "")</f>
        <v>3800000.0000000061</v>
      </c>
      <c r="AC345" s="3">
        <f t="shared" si="116"/>
        <v>760000</v>
      </c>
      <c r="AD345" s="3">
        <f t="shared" si="117"/>
        <v>3040000.0000000061</v>
      </c>
      <c r="AE345" s="1">
        <f t="shared" ca="1" si="118"/>
        <v>0</v>
      </c>
      <c r="AG345" s="3">
        <f t="shared" si="108"/>
        <v>350</v>
      </c>
      <c r="AH345" s="1">
        <f t="shared" si="119"/>
        <v>1215</v>
      </c>
      <c r="AI345" s="3">
        <f t="shared" si="120"/>
        <v>350</v>
      </c>
      <c r="AL345" s="3">
        <f t="shared" si="121"/>
        <v>350</v>
      </c>
      <c r="AM345" s="3">
        <f t="shared" si="122"/>
        <v>350</v>
      </c>
      <c r="AQ345" s="4">
        <f t="shared" ca="1" si="110"/>
        <v>44693</v>
      </c>
      <c r="AR345" s="3">
        <f t="shared" ca="1" si="111"/>
        <v>580645.40999999957</v>
      </c>
      <c r="AS345" s="63">
        <f ca="1">IF($AQ345&lt;&gt;"", INDEX(Inputs!$B$3:$B$101, MATCH($AQ345,Inputs!$A$3:$A$101,1)), "")</f>
        <v>3.5000000000000001E-3</v>
      </c>
      <c r="AT345" s="48">
        <f t="shared" ca="1" si="123"/>
        <v>5.5678326986301325</v>
      </c>
      <c r="AU345" s="3">
        <f t="shared" ca="1" si="103"/>
        <v>-5.5678326986301325</v>
      </c>
      <c r="AV345" s="3">
        <f t="shared" ca="1" si="124"/>
        <v>-5.5678326986301325</v>
      </c>
    </row>
    <row r="346" spans="1:48" x14ac:dyDescent="0.2">
      <c r="A346" s="4">
        <v>45566</v>
      </c>
      <c r="B346" s="1" t="s">
        <v>121</v>
      </c>
      <c r="H346" s="3">
        <v>-171.7</v>
      </c>
      <c r="M346" s="3" t="str">
        <f t="shared" si="98"/>
        <v/>
      </c>
      <c r="N346" s="3"/>
      <c r="Z346" s="3"/>
      <c r="AA346" s="3">
        <f t="shared" si="114"/>
        <v>3450000</v>
      </c>
      <c r="AB346" s="3">
        <f t="shared" si="115"/>
        <v>3800000.0000000061</v>
      </c>
      <c r="AC346" s="3">
        <f t="shared" si="116"/>
        <v>760000</v>
      </c>
      <c r="AD346" s="3">
        <f t="shared" si="117"/>
        <v>3040000.0000000061</v>
      </c>
      <c r="AE346" s="1">
        <f t="shared" ca="1" si="118"/>
        <v>0</v>
      </c>
      <c r="AG346" s="3">
        <f t="shared" si="108"/>
        <v>171.7</v>
      </c>
      <c r="AH346" s="1">
        <f t="shared" si="119"/>
        <v>1215</v>
      </c>
      <c r="AI346" s="3">
        <f t="shared" si="120"/>
        <v>171.7</v>
      </c>
      <c r="AL346" s="3">
        <f t="shared" si="121"/>
        <v>171.7</v>
      </c>
      <c r="AM346" s="3">
        <f t="shared" si="122"/>
        <v>171.7</v>
      </c>
      <c r="AQ346" s="4">
        <f t="shared" ca="1" si="110"/>
        <v>44694</v>
      </c>
      <c r="AR346" s="3">
        <f t="shared" ca="1" si="111"/>
        <v>580645.40999999957</v>
      </c>
      <c r="AS346" s="63">
        <f ca="1">IF($AQ346&lt;&gt;"", INDEX(Inputs!$B$3:$B$101, MATCH($AQ346,Inputs!$A$3:$A$101,1)), "")</f>
        <v>3.5000000000000001E-3</v>
      </c>
      <c r="AT346" s="48">
        <f t="shared" ca="1" si="123"/>
        <v>5.5678326986301325</v>
      </c>
      <c r="AU346" s="3">
        <f t="shared" ca="1" si="103"/>
        <v>1894.4321673013699</v>
      </c>
      <c r="AV346" s="3">
        <f t="shared" ca="1" si="124"/>
        <v>1894.4321673013699</v>
      </c>
    </row>
    <row r="347" spans="1:48" x14ac:dyDescent="0.2">
      <c r="A347" s="4">
        <v>45566</v>
      </c>
      <c r="B347" s="1" t="s">
        <v>120</v>
      </c>
      <c r="H347" s="3">
        <v>-171.7</v>
      </c>
      <c r="M347" s="3" t="str">
        <f t="shared" si="98"/>
        <v/>
      </c>
      <c r="N347" s="3"/>
      <c r="Z347" s="3"/>
      <c r="AA347" s="3">
        <f t="shared" si="114"/>
        <v>3450000</v>
      </c>
      <c r="AB347" s="3">
        <f t="shared" si="115"/>
        <v>3800000.0000000061</v>
      </c>
      <c r="AC347" s="3">
        <f t="shared" si="116"/>
        <v>760000</v>
      </c>
      <c r="AD347" s="3">
        <f t="shared" si="117"/>
        <v>3040000.0000000061</v>
      </c>
      <c r="AE347" s="1">
        <f t="shared" ca="1" si="118"/>
        <v>0</v>
      </c>
      <c r="AG347" s="3">
        <f t="shared" si="108"/>
        <v>171.7</v>
      </c>
      <c r="AH347" s="1">
        <f t="shared" si="119"/>
        <v>1215</v>
      </c>
      <c r="AI347" s="3">
        <f t="shared" si="120"/>
        <v>171.7</v>
      </c>
      <c r="AL347" s="3">
        <f t="shared" si="121"/>
        <v>171.7</v>
      </c>
      <c r="AM347" s="3">
        <f t="shared" si="122"/>
        <v>171.7</v>
      </c>
      <c r="AQ347" s="4">
        <f t="shared" ca="1" si="110"/>
        <v>44695</v>
      </c>
      <c r="AR347" s="3">
        <f t="shared" ca="1" si="111"/>
        <v>580645.40999999957</v>
      </c>
      <c r="AS347" s="63">
        <f ca="1">IF($AQ347&lt;&gt;"", INDEX(Inputs!$B$3:$B$101, MATCH($AQ347,Inputs!$A$3:$A$101,1)), "")</f>
        <v>3.5000000000000001E-3</v>
      </c>
      <c r="AT347" s="48">
        <f t="shared" ca="1" si="123"/>
        <v>5.5678326986301325</v>
      </c>
      <c r="AU347" s="3">
        <f t="shared" ca="1" si="103"/>
        <v>-5.5678326986301325</v>
      </c>
      <c r="AV347" s="3">
        <f t="shared" ca="1" si="124"/>
        <v>-5.5678326986301325</v>
      </c>
    </row>
    <row r="348" spans="1:48" x14ac:dyDescent="0.2">
      <c r="A348" s="4">
        <v>45566</v>
      </c>
      <c r="B348" s="1" t="s">
        <v>122</v>
      </c>
      <c r="H348" s="3">
        <v>-17.600000000000001</v>
      </c>
      <c r="M348" s="3" t="str">
        <f t="shared" si="98"/>
        <v/>
      </c>
      <c r="N348" s="3"/>
      <c r="Z348" s="3"/>
      <c r="AA348" s="3">
        <f t="shared" si="114"/>
        <v>3450000</v>
      </c>
      <c r="AB348" s="3">
        <f t="shared" si="115"/>
        <v>3800000.0000000061</v>
      </c>
      <c r="AC348" s="3">
        <f t="shared" si="116"/>
        <v>760000</v>
      </c>
      <c r="AD348" s="3">
        <f t="shared" si="117"/>
        <v>3040000.0000000061</v>
      </c>
      <c r="AE348" s="1">
        <f t="shared" ca="1" si="118"/>
        <v>0</v>
      </c>
      <c r="AG348" s="3">
        <f t="shared" si="108"/>
        <v>17.600000000000001</v>
      </c>
      <c r="AH348" s="1">
        <f t="shared" si="119"/>
        <v>1215</v>
      </c>
      <c r="AI348" s="3">
        <f t="shared" si="120"/>
        <v>17.600000000000001</v>
      </c>
      <c r="AL348" s="3">
        <f t="shared" si="121"/>
        <v>17.600000000000001</v>
      </c>
      <c r="AM348" s="3">
        <f t="shared" si="122"/>
        <v>17.600000000000001</v>
      </c>
      <c r="AQ348" s="4">
        <f t="shared" ca="1" si="110"/>
        <v>44696</v>
      </c>
      <c r="AR348" s="3">
        <f t="shared" ca="1" si="111"/>
        <v>580645.40999999957</v>
      </c>
      <c r="AS348" s="63">
        <f ca="1">IF($AQ348&lt;&gt;"", INDEX(Inputs!$B$3:$B$101, MATCH($AQ348,Inputs!$A$3:$A$101,1)), "")</f>
        <v>3.5000000000000001E-3</v>
      </c>
      <c r="AT348" s="48">
        <f t="shared" ca="1" si="123"/>
        <v>5.5678326986301325</v>
      </c>
      <c r="AU348" s="3">
        <f t="shared" ca="1" si="103"/>
        <v>-5.5678326986301325</v>
      </c>
      <c r="AV348" s="3">
        <f t="shared" ca="1" si="124"/>
        <v>-5.5678326986301325</v>
      </c>
    </row>
    <row r="349" spans="1:48" x14ac:dyDescent="0.2">
      <c r="A349" s="4">
        <v>45566</v>
      </c>
      <c r="B349" s="1" t="s">
        <v>66</v>
      </c>
      <c r="I349" s="3">
        <v>10400</v>
      </c>
      <c r="M349" s="3" t="str">
        <f t="shared" si="98"/>
        <v/>
      </c>
      <c r="N349" s="3"/>
      <c r="AA349" s="3">
        <f t="shared" ref="AA349:AA353" si="125">IF($A349&lt;&gt;"", MIN(AB349,$P$3), "")</f>
        <v>3450000</v>
      </c>
      <c r="AB349" s="3">
        <f t="shared" ref="AB349:AB353" si="126">IF($A349&lt;&gt;"", AC349+AD349, "")</f>
        <v>3800000.0000000061</v>
      </c>
      <c r="AC349" s="3">
        <f t="shared" ref="AC349:AC353" si="127">IF(A349&lt;&gt;"", AC348+D349+F349-G349, "")</f>
        <v>760000</v>
      </c>
      <c r="AD349" s="3">
        <f t="shared" ref="AD349:AD353" si="128">IF(A349&lt;&gt;"", AD348+C349-F349+G349, "")</f>
        <v>3040000.0000000061</v>
      </c>
      <c r="AE349" s="1">
        <f t="shared" ref="AE349:AE353" ca="1" si="129">IF(A355&lt;&gt;"", A355-A349, IF(A349&lt;&gt;"",IF(AC349&lt;&gt;0,TODAY()-A349,0), ""))</f>
        <v>31</v>
      </c>
      <c r="AG349" s="3">
        <f t="shared" si="108"/>
        <v>10400</v>
      </c>
      <c r="AH349" s="1">
        <f t="shared" ref="AH349:AH353" si="130">IF(A349&lt;&gt;"", A349-A$3, "")</f>
        <v>1215</v>
      </c>
      <c r="AI349" s="3">
        <f t="shared" ref="AI349:AI353" si="131">IF(A349&lt;&gt;"", AG349*(1+$X$3)^-(AH349/365), "")</f>
        <v>10400</v>
      </c>
      <c r="AL349" s="3">
        <f t="shared" ref="AL349:AL353" si="132">IF($A349&lt;&gt;"", AG349-IF(ISNUMBER(K349),K349*L349,0), "")</f>
        <v>10400</v>
      </c>
      <c r="AM349" s="3">
        <f t="shared" ref="AM349:AM353" si="133">IF(A349&lt;&gt;"", AL349*(1+$X$6/CompoundingRate)^-(AH349/(365/CompoundingRate)), "")</f>
        <v>10400</v>
      </c>
      <c r="AQ349" s="4">
        <f t="shared" ca="1" si="110"/>
        <v>44697</v>
      </c>
      <c r="AR349" s="3">
        <f t="shared" ca="1" si="111"/>
        <v>592696.35999999952</v>
      </c>
      <c r="AS349" s="63">
        <f ca="1">IF($AQ349&lt;&gt;"", INDEX(Inputs!$B$3:$B$101, MATCH($AQ349,Inputs!$A$3:$A$101,1)), "")</f>
        <v>3.5000000000000001E-3</v>
      </c>
      <c r="AT349" s="48">
        <f t="shared" ref="AT349:AT353" ca="1" si="134">IF($AQ349&lt;&gt;"", AR349*AS349/365, "")</f>
        <v>5.6833897534246534</v>
      </c>
      <c r="AU349" s="3">
        <f t="shared" ca="1" si="103"/>
        <v>-12056.633389753426</v>
      </c>
      <c r="AV349" s="3">
        <f t="shared" ref="AV349:AV353" ca="1" si="135">IF(AQ349&lt;&gt;"", AU349*(1+$X$9/CompoundingRate)^-((AQ349-AQ$3)/(365/CompoundingRate)), "")</f>
        <v>-12056.633389753426</v>
      </c>
    </row>
    <row r="350" spans="1:48" x14ac:dyDescent="0.2">
      <c r="A350" s="4">
        <v>45596</v>
      </c>
      <c r="B350" s="1" t="s">
        <v>101</v>
      </c>
      <c r="H350" s="3">
        <v>510.88</v>
      </c>
      <c r="M350" s="3" t="str">
        <f t="shared" si="98"/>
        <v/>
      </c>
      <c r="N350" s="3" t="s">
        <v>102</v>
      </c>
      <c r="Z350" s="3"/>
      <c r="AA350" s="3">
        <f t="shared" si="125"/>
        <v>3450000</v>
      </c>
      <c r="AB350" s="3">
        <f t="shared" si="126"/>
        <v>3800000.0000000061</v>
      </c>
      <c r="AC350" s="3">
        <f t="shared" si="127"/>
        <v>760000</v>
      </c>
      <c r="AD350" s="3">
        <f t="shared" si="128"/>
        <v>3040000.0000000061</v>
      </c>
      <c r="AE350" s="1">
        <f t="shared" ca="1" si="129"/>
        <v>1</v>
      </c>
      <c r="AG350" s="3">
        <f t="shared" si="108"/>
        <v>-510.88</v>
      </c>
      <c r="AH350" s="1">
        <f t="shared" si="130"/>
        <v>1245</v>
      </c>
      <c r="AI350" s="3">
        <f t="shared" si="131"/>
        <v>-510.88</v>
      </c>
      <c r="AL350" s="3">
        <f t="shared" si="132"/>
        <v>-510.88</v>
      </c>
      <c r="AM350" s="3">
        <f t="shared" si="133"/>
        <v>-510.88</v>
      </c>
      <c r="AQ350" s="4">
        <f t="shared" ca="1" si="110"/>
        <v>44698</v>
      </c>
      <c r="AR350" s="3">
        <f t="shared" ca="1" si="111"/>
        <v>592696.35999999952</v>
      </c>
      <c r="AS350" s="63">
        <f ca="1">IF($AQ350&lt;&gt;"", INDEX(Inputs!$B$3:$B$101, MATCH($AQ350,Inputs!$A$3:$A$101,1)), "")</f>
        <v>3.5000000000000001E-3</v>
      </c>
      <c r="AT350" s="48">
        <f t="shared" ca="1" si="134"/>
        <v>5.6833897534246534</v>
      </c>
      <c r="AU350" s="3">
        <f t="shared" ca="1" si="103"/>
        <v>-5.6833897534246534</v>
      </c>
      <c r="AV350" s="3">
        <f t="shared" ca="1" si="135"/>
        <v>-5.6833897534246534</v>
      </c>
    </row>
    <row r="351" spans="1:48" x14ac:dyDescent="0.2">
      <c r="A351" s="4">
        <v>45597</v>
      </c>
      <c r="B351" s="1" t="s">
        <v>50</v>
      </c>
      <c r="H351" s="3">
        <v>3080</v>
      </c>
      <c r="M351" s="3" t="str">
        <f t="shared" si="98"/>
        <v/>
      </c>
      <c r="N351" s="3"/>
      <c r="AA351" s="3">
        <f t="shared" si="125"/>
        <v>3450000</v>
      </c>
      <c r="AB351" s="3">
        <f t="shared" si="126"/>
        <v>3800000.0000000061</v>
      </c>
      <c r="AC351" s="3">
        <f t="shared" si="127"/>
        <v>760000</v>
      </c>
      <c r="AD351" s="3">
        <f t="shared" si="128"/>
        <v>3040000.0000000061</v>
      </c>
      <c r="AE351" s="1">
        <f t="shared" ca="1" si="129"/>
        <v>6</v>
      </c>
      <c r="AG351" s="3">
        <f t="shared" si="108"/>
        <v>-3080</v>
      </c>
      <c r="AH351" s="1">
        <f t="shared" si="130"/>
        <v>1246</v>
      </c>
      <c r="AI351" s="3">
        <f t="shared" si="131"/>
        <v>-3080</v>
      </c>
      <c r="AL351" s="3">
        <f t="shared" si="132"/>
        <v>-3080</v>
      </c>
      <c r="AM351" s="3">
        <f t="shared" si="133"/>
        <v>-3080</v>
      </c>
      <c r="AQ351" s="4">
        <f t="shared" ca="1" si="110"/>
        <v>44699</v>
      </c>
      <c r="AR351" s="3">
        <f t="shared" ca="1" si="111"/>
        <v>592696.35999999952</v>
      </c>
      <c r="AS351" s="63">
        <f ca="1">IF($AQ351&lt;&gt;"", INDEX(Inputs!$B$3:$B$101, MATCH($AQ351,Inputs!$A$3:$A$101,1)), "")</f>
        <v>3.5000000000000001E-3</v>
      </c>
      <c r="AT351" s="48">
        <f t="shared" ca="1" si="134"/>
        <v>5.6833897534246534</v>
      </c>
      <c r="AU351" s="3">
        <f t="shared" ca="1" si="103"/>
        <v>-5.6833897534246534</v>
      </c>
      <c r="AV351" s="3">
        <f t="shared" ca="1" si="135"/>
        <v>-5.6833897534246534</v>
      </c>
    </row>
    <row r="352" spans="1:48" x14ac:dyDescent="0.2">
      <c r="A352" s="4">
        <v>45597</v>
      </c>
      <c r="B352" s="1" t="s">
        <v>66</v>
      </c>
      <c r="I352" s="3">
        <v>10400</v>
      </c>
      <c r="M352" s="3" t="str">
        <f t="shared" si="98"/>
        <v/>
      </c>
      <c r="N352" s="3" t="s">
        <v>113</v>
      </c>
      <c r="AA352" s="3">
        <f t="shared" si="125"/>
        <v>3450000</v>
      </c>
      <c r="AB352" s="3">
        <f t="shared" si="126"/>
        <v>3800000.0000000061</v>
      </c>
      <c r="AC352" s="3">
        <f t="shared" si="127"/>
        <v>760000</v>
      </c>
      <c r="AD352" s="3">
        <f t="shared" si="128"/>
        <v>3040000.0000000061</v>
      </c>
      <c r="AE352" s="1">
        <f t="shared" ca="1" si="129"/>
        <v>30</v>
      </c>
      <c r="AG352" s="3">
        <f t="shared" si="108"/>
        <v>10400</v>
      </c>
      <c r="AH352" s="1">
        <f t="shared" si="130"/>
        <v>1246</v>
      </c>
      <c r="AI352" s="3">
        <f t="shared" si="131"/>
        <v>10400</v>
      </c>
      <c r="AL352" s="3">
        <f t="shared" si="132"/>
        <v>10400</v>
      </c>
      <c r="AM352" s="3">
        <f t="shared" si="133"/>
        <v>10400</v>
      </c>
      <c r="AQ352" s="4">
        <f t="shared" ca="1" si="110"/>
        <v>44700</v>
      </c>
      <c r="AR352" s="3">
        <f t="shared" ca="1" si="111"/>
        <v>592696.35999999952</v>
      </c>
      <c r="AS352" s="63">
        <f ca="1">IF($AQ352&lt;&gt;"", INDEX(Inputs!$B$3:$B$101, MATCH($AQ352,Inputs!$A$3:$A$101,1)), "")</f>
        <v>3.5000000000000001E-3</v>
      </c>
      <c r="AT352" s="48">
        <f t="shared" ca="1" si="134"/>
        <v>5.6833897534246534</v>
      </c>
      <c r="AU352" s="3">
        <f t="shared" ca="1" si="103"/>
        <v>-5.6833897534246534</v>
      </c>
      <c r="AV352" s="3">
        <f t="shared" ca="1" si="135"/>
        <v>-5.6833897534246534</v>
      </c>
    </row>
    <row r="353" spans="1:48" x14ac:dyDescent="0.2">
      <c r="A353" s="4">
        <v>45597</v>
      </c>
      <c r="B353" s="1" t="s">
        <v>114</v>
      </c>
      <c r="G353" s="3">
        <v>10258.94</v>
      </c>
      <c r="M353" s="3" t="str">
        <f t="shared" si="98"/>
        <v/>
      </c>
      <c r="N353" s="3"/>
      <c r="AA353" s="3">
        <f t="shared" si="125"/>
        <v>3450000</v>
      </c>
      <c r="AB353" s="3">
        <f t="shared" si="126"/>
        <v>3800000.0000000061</v>
      </c>
      <c r="AC353" s="3">
        <f t="shared" si="127"/>
        <v>749741.06</v>
      </c>
      <c r="AD353" s="3">
        <f t="shared" si="128"/>
        <v>3050258.940000006</v>
      </c>
      <c r="AE353" s="1">
        <f t="shared" ca="1" si="129"/>
        <v>30</v>
      </c>
      <c r="AG353" s="3">
        <f t="shared" si="108"/>
        <v>0</v>
      </c>
      <c r="AH353" s="1">
        <f t="shared" si="130"/>
        <v>1246</v>
      </c>
      <c r="AI353" s="3">
        <f t="shared" si="131"/>
        <v>0</v>
      </c>
      <c r="AL353" s="3">
        <f t="shared" si="132"/>
        <v>0</v>
      </c>
      <c r="AM353" s="3">
        <f t="shared" si="133"/>
        <v>0</v>
      </c>
      <c r="AQ353" s="4">
        <f t="shared" ca="1" si="110"/>
        <v>44701</v>
      </c>
      <c r="AR353" s="3">
        <f t="shared" ca="1" si="111"/>
        <v>592696.35999999952</v>
      </c>
      <c r="AS353" s="63">
        <f ca="1">IF($AQ353&lt;&gt;"", INDEX(Inputs!$B$3:$B$101, MATCH($AQ353,Inputs!$A$3:$A$101,1)), "")</f>
        <v>3.5000000000000001E-3</v>
      </c>
      <c r="AT353" s="48">
        <f t="shared" ca="1" si="134"/>
        <v>5.6833897534246534</v>
      </c>
      <c r="AU353" s="3">
        <f t="shared" ca="1" si="103"/>
        <v>1894.3166102465752</v>
      </c>
      <c r="AV353" s="3">
        <f t="shared" ca="1" si="135"/>
        <v>1894.3166102465752</v>
      </c>
    </row>
    <row r="354" spans="1:48" x14ac:dyDescent="0.2">
      <c r="A354" s="4">
        <v>45597</v>
      </c>
      <c r="B354" s="1" t="s">
        <v>116</v>
      </c>
      <c r="G354" s="3">
        <v>1862.03</v>
      </c>
      <c r="N354" s="3"/>
      <c r="AA354" s="3">
        <f t="shared" si="99"/>
        <v>3450000</v>
      </c>
      <c r="AB354" s="3">
        <f t="shared" ref="AB354:AB361" si="136">IF($A354&lt;&gt;"", AC354+AD354, "")</f>
        <v>3800000.0000000056</v>
      </c>
      <c r="AC354" s="3">
        <f t="shared" si="105"/>
        <v>747879.03</v>
      </c>
      <c r="AD354" s="3">
        <f t="shared" si="106"/>
        <v>3052120.9700000058</v>
      </c>
      <c r="AE354" s="1">
        <f t="shared" ref="AE354:AE369" ca="1" si="137">IF(A355&lt;&gt;"", A355-A354, IF(A354&lt;&gt;"",IF(AC354&lt;&gt;0,TODAY()-A354,0), ""))</f>
        <v>0</v>
      </c>
      <c r="AG354" s="3">
        <f t="shared" si="108"/>
        <v>0</v>
      </c>
      <c r="AH354" s="1">
        <f t="shared" si="100"/>
        <v>1246</v>
      </c>
      <c r="AI354" s="3">
        <f t="shared" si="101"/>
        <v>0</v>
      </c>
      <c r="AL354" s="3">
        <f t="shared" ref="AL354:AL361" si="138">IF($A354&lt;&gt;"", AG354-IF(ISNUMBER(K354),K354*L354,0), "")</f>
        <v>0</v>
      </c>
      <c r="AM354" s="3">
        <f t="shared" si="102"/>
        <v>0</v>
      </c>
      <c r="AQ354" s="4">
        <f t="shared" ca="1" si="110"/>
        <v>44702</v>
      </c>
      <c r="AR354" s="3">
        <f t="shared" ca="1" si="111"/>
        <v>592696.35999999952</v>
      </c>
      <c r="AS354" s="63">
        <f ca="1">IF($AQ354&lt;&gt;"", INDEX(Inputs!$B$3:$B$101, MATCH($AQ354,Inputs!$A$3:$A$101,1)), "")</f>
        <v>3.5000000000000001E-3</v>
      </c>
      <c r="AT354" s="48">
        <f t="shared" ref="AT354:AT369" ca="1" si="139">IF($AQ354&lt;&gt;"", AR354*AS354/365, "")</f>
        <v>5.6833897534246534</v>
      </c>
      <c r="AU354" s="3">
        <f t="shared" ca="1" si="103"/>
        <v>-5.6833897534246534</v>
      </c>
      <c r="AV354" s="3">
        <f t="shared" ref="AV354:AV369" ca="1" si="140">IF(AQ354&lt;&gt;"", AU354*(1+$X$9/CompoundingRate)^-((AQ354-AQ$3)/(365/CompoundingRate)), "")</f>
        <v>-5.6833897534246534</v>
      </c>
    </row>
    <row r="355" spans="1:48" x14ac:dyDescent="0.2">
      <c r="A355" s="4">
        <v>45597</v>
      </c>
      <c r="B355" s="1" t="s">
        <v>115</v>
      </c>
      <c r="F355" s="3">
        <v>16231.21</v>
      </c>
      <c r="N355" s="3"/>
      <c r="AA355" s="3">
        <f t="shared" si="99"/>
        <v>3450000</v>
      </c>
      <c r="AB355" s="3">
        <f t="shared" si="136"/>
        <v>3800000.0000000056</v>
      </c>
      <c r="AC355" s="3">
        <f t="shared" si="105"/>
        <v>764110.24</v>
      </c>
      <c r="AD355" s="3">
        <f t="shared" si="106"/>
        <v>3035889.7600000058</v>
      </c>
      <c r="AE355" s="1">
        <f t="shared" ca="1" si="137"/>
        <v>0</v>
      </c>
      <c r="AG355" s="3">
        <f t="shared" si="108"/>
        <v>-16231.21</v>
      </c>
      <c r="AH355" s="1">
        <f t="shared" si="100"/>
        <v>1246</v>
      </c>
      <c r="AI355" s="3">
        <f t="shared" si="101"/>
        <v>-16231.21</v>
      </c>
      <c r="AL355" s="3">
        <f t="shared" si="138"/>
        <v>-16231.21</v>
      </c>
      <c r="AM355" s="3">
        <f t="shared" si="102"/>
        <v>-16231.21</v>
      </c>
      <c r="AQ355" s="4">
        <f t="shared" ca="1" si="110"/>
        <v>44703</v>
      </c>
      <c r="AR355" s="3">
        <f t="shared" ca="1" si="111"/>
        <v>592696.35999999952</v>
      </c>
      <c r="AS355" s="63">
        <f ca="1">IF($AQ355&lt;&gt;"", INDEX(Inputs!$B$3:$B$101, MATCH($AQ355,Inputs!$A$3:$A$101,1)), "")</f>
        <v>3.5000000000000001E-3</v>
      </c>
      <c r="AT355" s="48">
        <f t="shared" ca="1" si="139"/>
        <v>5.6833897534246534</v>
      </c>
      <c r="AU355" s="3">
        <f t="shared" ca="1" si="103"/>
        <v>-5.6833897534246534</v>
      </c>
      <c r="AV355" s="3">
        <f t="shared" ca="1" si="140"/>
        <v>-5.6833897534246534</v>
      </c>
    </row>
    <row r="356" spans="1:48" x14ac:dyDescent="0.2">
      <c r="A356" s="4">
        <v>45597</v>
      </c>
      <c r="B356" s="1" t="s">
        <v>117</v>
      </c>
      <c r="F356" s="3">
        <v>2180.3200000000002</v>
      </c>
      <c r="N356" s="3"/>
      <c r="AA356" s="3">
        <f t="shared" si="99"/>
        <v>3450000</v>
      </c>
      <c r="AB356" s="3">
        <f t="shared" si="136"/>
        <v>3800000.0000000061</v>
      </c>
      <c r="AC356" s="3">
        <f t="shared" si="105"/>
        <v>766290.55999999994</v>
      </c>
      <c r="AD356" s="3">
        <f t="shared" si="106"/>
        <v>3033709.440000006</v>
      </c>
      <c r="AE356" s="1">
        <f t="shared" ca="1" si="137"/>
        <v>6</v>
      </c>
      <c r="AG356" s="3">
        <f t="shared" si="108"/>
        <v>-2180.3200000000002</v>
      </c>
      <c r="AH356" s="1">
        <f t="shared" si="100"/>
        <v>1246</v>
      </c>
      <c r="AI356" s="3">
        <f t="shared" si="101"/>
        <v>-2180.3200000000002</v>
      </c>
      <c r="AL356" s="3">
        <f t="shared" si="138"/>
        <v>-2180.3200000000002</v>
      </c>
      <c r="AM356" s="3">
        <f t="shared" si="102"/>
        <v>-2180.3200000000002</v>
      </c>
      <c r="AQ356" s="4">
        <f t="shared" ca="1" si="110"/>
        <v>44704</v>
      </c>
      <c r="AR356" s="3">
        <f t="shared" ca="1" si="111"/>
        <v>592696.35999999952</v>
      </c>
      <c r="AS356" s="63">
        <f ca="1">IF($AQ356&lt;&gt;"", INDEX(Inputs!$B$3:$B$101, MATCH($AQ356,Inputs!$A$3:$A$101,1)), "")</f>
        <v>3.5000000000000001E-3</v>
      </c>
      <c r="AT356" s="48">
        <f t="shared" ca="1" si="139"/>
        <v>5.6833897534246534</v>
      </c>
      <c r="AU356" s="3">
        <f t="shared" ca="1" si="103"/>
        <v>-5.6833897534246534</v>
      </c>
      <c r="AV356" s="3">
        <f t="shared" ca="1" si="140"/>
        <v>-5.6833897534246534</v>
      </c>
    </row>
    <row r="357" spans="1:48" x14ac:dyDescent="0.2">
      <c r="A357" s="4">
        <v>45603</v>
      </c>
      <c r="B357" s="1" t="s">
        <v>118</v>
      </c>
      <c r="H357" s="3">
        <v>713.2</v>
      </c>
      <c r="M357" s="3" t="str">
        <f t="shared" ref="M357:M389" si="141">IF($A357&lt;&gt;"", IF(ISNUMBER(SEARCH("Debt Cost (est.)",B357)), SUMIFS(AT:AT, AQ:AQ, "&gt;="&amp;DATE("20"&amp;RIGHT(LEFT(B357,4),2)-1,7,1), AQ:AQ, "&lt;="&amp;DATE("20"&amp;RIGHT(LEFT(B357,4),2),6,30)), ""), "")</f>
        <v/>
      </c>
      <c r="N357" s="3" t="s">
        <v>102</v>
      </c>
      <c r="Z357" s="3"/>
      <c r="AA357" s="3">
        <f t="shared" si="99"/>
        <v>3450000</v>
      </c>
      <c r="AB357" s="3">
        <f t="shared" si="136"/>
        <v>3800000.0000000061</v>
      </c>
      <c r="AC357" s="3">
        <f t="shared" si="105"/>
        <v>766290.55999999994</v>
      </c>
      <c r="AD357" s="3">
        <f t="shared" si="106"/>
        <v>3033709.440000006</v>
      </c>
      <c r="AE357" s="1">
        <f t="shared" ca="1" si="137"/>
        <v>24</v>
      </c>
      <c r="AG357" s="3">
        <f t="shared" si="108"/>
        <v>-713.2</v>
      </c>
      <c r="AH357" s="1">
        <f t="shared" si="100"/>
        <v>1252</v>
      </c>
      <c r="AI357" s="3">
        <f t="shared" si="101"/>
        <v>-713.2</v>
      </c>
      <c r="AL357" s="3">
        <f t="shared" si="138"/>
        <v>-713.2</v>
      </c>
      <c r="AM357" s="3">
        <f t="shared" si="102"/>
        <v>-713.2</v>
      </c>
      <c r="AQ357" s="4">
        <f t="shared" ca="1" si="110"/>
        <v>44705</v>
      </c>
      <c r="AR357" s="3">
        <f t="shared" ca="1" si="111"/>
        <v>592696.35999999952</v>
      </c>
      <c r="AS357" s="63">
        <f ca="1">IF($AQ357&lt;&gt;"", INDEX(Inputs!$B$3:$B$101, MATCH($AQ357,Inputs!$A$3:$A$101,1)), "")</f>
        <v>3.5000000000000001E-3</v>
      </c>
      <c r="AT357" s="48">
        <f t="shared" ca="1" si="139"/>
        <v>5.6833897534246534</v>
      </c>
      <c r="AU357" s="3">
        <f t="shared" ca="1" si="103"/>
        <v>-5.6833897534246534</v>
      </c>
      <c r="AV357" s="3">
        <f t="shared" ca="1" si="140"/>
        <v>-5.6833897534246534</v>
      </c>
    </row>
    <row r="358" spans="1:48" x14ac:dyDescent="0.2">
      <c r="A358" s="4">
        <v>45627</v>
      </c>
      <c r="B358" s="1" t="s">
        <v>50</v>
      </c>
      <c r="H358" s="3">
        <v>4172.5200000000004</v>
      </c>
      <c r="M358" s="3" t="str">
        <f t="shared" si="141"/>
        <v/>
      </c>
      <c r="N358" s="3"/>
      <c r="AA358" s="3">
        <f t="shared" si="99"/>
        <v>3450000</v>
      </c>
      <c r="AB358" s="3">
        <f t="shared" si="136"/>
        <v>3800000.0000000061</v>
      </c>
      <c r="AC358" s="3">
        <f t="shared" si="105"/>
        <v>766290.55999999994</v>
      </c>
      <c r="AD358" s="3">
        <f t="shared" si="106"/>
        <v>3033709.440000006</v>
      </c>
      <c r="AE358" s="1">
        <f t="shared" ca="1" si="137"/>
        <v>0</v>
      </c>
      <c r="AG358" s="3">
        <f t="shared" si="108"/>
        <v>-4172.5200000000004</v>
      </c>
      <c r="AH358" s="1">
        <f t="shared" si="100"/>
        <v>1276</v>
      </c>
      <c r="AI358" s="3">
        <f t="shared" si="101"/>
        <v>-4172.5200000000004</v>
      </c>
      <c r="AL358" s="3">
        <f t="shared" si="138"/>
        <v>-4172.5200000000004</v>
      </c>
      <c r="AM358" s="3">
        <f t="shared" si="102"/>
        <v>-4172.5200000000004</v>
      </c>
      <c r="AQ358" s="4">
        <f t="shared" ca="1" si="110"/>
        <v>44706</v>
      </c>
      <c r="AR358" s="3">
        <f t="shared" ca="1" si="111"/>
        <v>592696.35999999952</v>
      </c>
      <c r="AS358" s="63">
        <f ca="1">IF($AQ358&lt;&gt;"", INDEX(Inputs!$B$3:$B$101, MATCH($AQ358,Inputs!$A$3:$A$101,1)), "")</f>
        <v>3.5000000000000001E-3</v>
      </c>
      <c r="AT358" s="48">
        <f t="shared" ca="1" si="139"/>
        <v>5.6833897534246534</v>
      </c>
      <c r="AU358" s="3">
        <f t="shared" ca="1" si="103"/>
        <v>-5.6833897534246534</v>
      </c>
      <c r="AV358" s="3">
        <f t="shared" ca="1" si="140"/>
        <v>-5.6833897534246534</v>
      </c>
    </row>
    <row r="359" spans="1:48" x14ac:dyDescent="0.2">
      <c r="A359" s="4">
        <v>45627</v>
      </c>
      <c r="B359" s="1" t="s">
        <v>66</v>
      </c>
      <c r="I359" s="3">
        <v>10400</v>
      </c>
      <c r="M359" s="3" t="str">
        <f t="shared" si="141"/>
        <v/>
      </c>
      <c r="N359" s="3" t="s">
        <v>123</v>
      </c>
      <c r="AA359" s="3">
        <f t="shared" si="99"/>
        <v>3450000</v>
      </c>
      <c r="AB359" s="3">
        <f t="shared" si="136"/>
        <v>3800000.0000000061</v>
      </c>
      <c r="AC359" s="3">
        <f t="shared" si="105"/>
        <v>766290.55999999994</v>
      </c>
      <c r="AD359" s="3">
        <f t="shared" si="106"/>
        <v>3033709.440000006</v>
      </c>
      <c r="AE359" s="1">
        <f t="shared" ca="1" si="137"/>
        <v>1</v>
      </c>
      <c r="AG359" s="3">
        <f t="shared" si="108"/>
        <v>10400</v>
      </c>
      <c r="AH359" s="1">
        <f t="shared" si="100"/>
        <v>1276</v>
      </c>
      <c r="AI359" s="3">
        <f t="shared" si="101"/>
        <v>10400</v>
      </c>
      <c r="AL359" s="3">
        <f t="shared" si="138"/>
        <v>10400</v>
      </c>
      <c r="AM359" s="3">
        <f t="shared" si="102"/>
        <v>10400</v>
      </c>
      <c r="AQ359" s="4">
        <f t="shared" ca="1" si="110"/>
        <v>44707</v>
      </c>
      <c r="AR359" s="3">
        <f t="shared" ca="1" si="111"/>
        <v>592696.35999999952</v>
      </c>
      <c r="AS359" s="63">
        <f ca="1">IF($AQ359&lt;&gt;"", INDEX(Inputs!$B$3:$B$101, MATCH($AQ359,Inputs!$A$3:$A$101,1)), "")</f>
        <v>3.5000000000000001E-3</v>
      </c>
      <c r="AT359" s="48">
        <f t="shared" ca="1" si="139"/>
        <v>5.6833897534246534</v>
      </c>
      <c r="AU359" s="3">
        <f t="shared" ca="1" si="103"/>
        <v>-5.6833897534246534</v>
      </c>
      <c r="AV359" s="3">
        <f t="shared" ca="1" si="140"/>
        <v>-5.6833897534246534</v>
      </c>
    </row>
    <row r="360" spans="1:48" x14ac:dyDescent="0.2">
      <c r="A360" s="4">
        <v>45628</v>
      </c>
      <c r="B360" s="1" t="s">
        <v>114</v>
      </c>
      <c r="G360" s="3">
        <v>9084.5400000000009</v>
      </c>
      <c r="M360" s="3" t="str">
        <f t="shared" si="141"/>
        <v/>
      </c>
      <c r="N360" s="3"/>
      <c r="AA360" s="3">
        <f t="shared" si="99"/>
        <v>3450000</v>
      </c>
      <c r="AB360" s="3">
        <f t="shared" si="136"/>
        <v>3800000.0000000061</v>
      </c>
      <c r="AC360" s="3">
        <f t="shared" si="105"/>
        <v>757206.0199999999</v>
      </c>
      <c r="AD360" s="3">
        <f t="shared" si="106"/>
        <v>3042793.980000006</v>
      </c>
      <c r="AE360" s="1">
        <f t="shared" ca="1" si="137"/>
        <v>0</v>
      </c>
      <c r="AG360" s="3">
        <f t="shared" si="108"/>
        <v>0</v>
      </c>
      <c r="AH360" s="1">
        <f t="shared" si="100"/>
        <v>1277</v>
      </c>
      <c r="AI360" s="3">
        <f t="shared" si="101"/>
        <v>0</v>
      </c>
      <c r="AL360" s="3">
        <f t="shared" si="138"/>
        <v>0</v>
      </c>
      <c r="AM360" s="3">
        <f t="shared" si="102"/>
        <v>0</v>
      </c>
      <c r="AQ360" s="4">
        <f t="shared" ca="1" si="110"/>
        <v>44708</v>
      </c>
      <c r="AR360" s="3">
        <f t="shared" ca="1" si="111"/>
        <v>592696.35999999952</v>
      </c>
      <c r="AS360" s="63">
        <f ca="1">IF($AQ360&lt;&gt;"", INDEX(Inputs!$B$3:$B$101, MATCH($AQ360,Inputs!$A$3:$A$101,1)), "")</f>
        <v>3.5000000000000001E-3</v>
      </c>
      <c r="AT360" s="48">
        <f t="shared" ca="1" si="139"/>
        <v>5.6833897534246534</v>
      </c>
      <c r="AU360" s="3">
        <f t="shared" ca="1" si="103"/>
        <v>1894.3166102465752</v>
      </c>
      <c r="AV360" s="3">
        <f t="shared" ca="1" si="140"/>
        <v>1894.3166102465752</v>
      </c>
    </row>
    <row r="361" spans="1:48" x14ac:dyDescent="0.2">
      <c r="A361" s="4">
        <v>45628</v>
      </c>
      <c r="B361" s="1" t="s">
        <v>116</v>
      </c>
      <c r="G361" s="3">
        <v>1800.38</v>
      </c>
      <c r="M361" s="3" t="str">
        <f t="shared" si="141"/>
        <v/>
      </c>
      <c r="N361" s="3"/>
      <c r="AA361" s="3">
        <f t="shared" si="99"/>
        <v>3450000</v>
      </c>
      <c r="AB361" s="3">
        <f t="shared" si="136"/>
        <v>3800000.0000000056</v>
      </c>
      <c r="AC361" s="3">
        <f t="shared" si="105"/>
        <v>755405.6399999999</v>
      </c>
      <c r="AD361" s="3">
        <f t="shared" si="106"/>
        <v>3044594.3600000059</v>
      </c>
      <c r="AE361" s="1">
        <f t="shared" ca="1" si="137"/>
        <v>0</v>
      </c>
      <c r="AG361" s="3">
        <f t="shared" si="108"/>
        <v>0</v>
      </c>
      <c r="AH361" s="1">
        <f t="shared" si="100"/>
        <v>1277</v>
      </c>
      <c r="AI361" s="3">
        <f t="shared" si="101"/>
        <v>0</v>
      </c>
      <c r="AL361" s="3">
        <f t="shared" si="138"/>
        <v>0</v>
      </c>
      <c r="AM361" s="3">
        <f t="shared" si="102"/>
        <v>0</v>
      </c>
      <c r="AQ361" s="4">
        <f t="shared" ca="1" si="110"/>
        <v>44709</v>
      </c>
      <c r="AR361" s="3">
        <f t="shared" ca="1" si="111"/>
        <v>592696.35999999952</v>
      </c>
      <c r="AS361" s="63">
        <f ca="1">IF($AQ361&lt;&gt;"", INDEX(Inputs!$B$3:$B$101, MATCH($AQ361,Inputs!$A$3:$A$101,1)), "")</f>
        <v>3.5000000000000001E-3</v>
      </c>
      <c r="AT361" s="48">
        <f t="shared" ca="1" si="139"/>
        <v>5.6833897534246534</v>
      </c>
      <c r="AU361" s="3">
        <f t="shared" ca="1" si="103"/>
        <v>-5.6833897534246534</v>
      </c>
      <c r="AV361" s="3">
        <f t="shared" ca="1" si="140"/>
        <v>-5.6833897534246534</v>
      </c>
    </row>
    <row r="362" spans="1:48" x14ac:dyDescent="0.2">
      <c r="A362" s="4">
        <v>45628</v>
      </c>
      <c r="B362" s="1" t="s">
        <v>115</v>
      </c>
      <c r="F362" s="3">
        <v>16231.21</v>
      </c>
      <c r="M362" s="3" t="str">
        <f t="shared" si="141"/>
        <v/>
      </c>
      <c r="N362" s="3"/>
      <c r="AA362" s="3">
        <f t="shared" si="99"/>
        <v>3450000</v>
      </c>
      <c r="AB362" s="3">
        <f t="shared" ref="AB362:AB369" si="142">IF($A362&lt;&gt;"", AC362+AD362, "")</f>
        <v>3800000.0000000056</v>
      </c>
      <c r="AC362" s="3">
        <f t="shared" si="105"/>
        <v>771636.84999999986</v>
      </c>
      <c r="AD362" s="3">
        <f t="shared" si="106"/>
        <v>3028363.150000006</v>
      </c>
      <c r="AE362" s="1">
        <f t="shared" ca="1" si="137"/>
        <v>0</v>
      </c>
      <c r="AG362" s="3">
        <f t="shared" si="108"/>
        <v>-16231.21</v>
      </c>
      <c r="AH362" s="1">
        <f t="shared" si="100"/>
        <v>1277</v>
      </c>
      <c r="AI362" s="3">
        <f t="shared" si="101"/>
        <v>-16231.21</v>
      </c>
      <c r="AL362" s="3">
        <f t="shared" ref="AL362:AL369" si="143">IF($A362&lt;&gt;"", AG362-IF(ISNUMBER(K362),K362*L362,0), "")</f>
        <v>-16231.21</v>
      </c>
      <c r="AM362" s="3">
        <f t="shared" si="102"/>
        <v>-16231.21</v>
      </c>
      <c r="AQ362" s="4">
        <f t="shared" ca="1" si="110"/>
        <v>44710</v>
      </c>
      <c r="AR362" s="3">
        <f t="shared" ca="1" si="111"/>
        <v>592696.35999999952</v>
      </c>
      <c r="AS362" s="63">
        <f ca="1">IF($AQ362&lt;&gt;"", INDEX(Inputs!$B$3:$B$101, MATCH($AQ362,Inputs!$A$3:$A$101,1)), "")</f>
        <v>3.5000000000000001E-3</v>
      </c>
      <c r="AT362" s="48">
        <f t="shared" ca="1" si="139"/>
        <v>5.6833897534246534</v>
      </c>
      <c r="AU362" s="3">
        <f t="shared" ca="1" si="103"/>
        <v>-5.6833897534246534</v>
      </c>
      <c r="AV362" s="3">
        <f t="shared" ca="1" si="140"/>
        <v>-5.6833897534246534</v>
      </c>
    </row>
    <row r="363" spans="1:48" x14ac:dyDescent="0.2">
      <c r="A363" s="4">
        <v>45628</v>
      </c>
      <c r="B363" s="1" t="s">
        <v>117</v>
      </c>
      <c r="F363" s="3">
        <v>2180.3200000000002</v>
      </c>
      <c r="M363" s="3" t="str">
        <f t="shared" si="141"/>
        <v/>
      </c>
      <c r="N363" s="3"/>
      <c r="AA363" s="3">
        <f t="shared" si="99"/>
        <v>3450000</v>
      </c>
      <c r="AB363" s="3">
        <f t="shared" si="142"/>
        <v>3800000.0000000061</v>
      </c>
      <c r="AC363" s="3">
        <f t="shared" si="105"/>
        <v>773817.16999999981</v>
      </c>
      <c r="AD363" s="3">
        <f t="shared" si="106"/>
        <v>3026182.8300000061</v>
      </c>
      <c r="AE363" s="1">
        <f t="shared" ca="1" si="137"/>
        <v>31</v>
      </c>
      <c r="AG363" s="3">
        <f t="shared" si="108"/>
        <v>-2180.3200000000002</v>
      </c>
      <c r="AH363" s="1">
        <f t="shared" si="100"/>
        <v>1277</v>
      </c>
      <c r="AI363" s="3">
        <f t="shared" si="101"/>
        <v>-2180.3200000000002</v>
      </c>
      <c r="AL363" s="3">
        <f t="shared" si="143"/>
        <v>-2180.3200000000002</v>
      </c>
      <c r="AM363" s="3">
        <f t="shared" si="102"/>
        <v>-2180.3200000000002</v>
      </c>
      <c r="AQ363" s="4">
        <f t="shared" ca="1" si="110"/>
        <v>44711</v>
      </c>
      <c r="AR363" s="3">
        <f t="shared" ca="1" si="111"/>
        <v>592696.35999999952</v>
      </c>
      <c r="AS363" s="63">
        <f ca="1">IF($AQ363&lt;&gt;"", INDEX(Inputs!$B$3:$B$101, MATCH($AQ363,Inputs!$A$3:$A$101,1)), "")</f>
        <v>3.5000000000000001E-3</v>
      </c>
      <c r="AT363" s="48">
        <f t="shared" ca="1" si="139"/>
        <v>5.6833897534246534</v>
      </c>
      <c r="AU363" s="3">
        <f t="shared" ca="1" si="103"/>
        <v>-5.6833897534246534</v>
      </c>
      <c r="AV363" s="3">
        <f t="shared" ca="1" si="140"/>
        <v>-5.6833897534246534</v>
      </c>
    </row>
    <row r="364" spans="1:48" x14ac:dyDescent="0.2">
      <c r="A364" s="4">
        <v>45659</v>
      </c>
      <c r="B364" s="1" t="s">
        <v>80</v>
      </c>
      <c r="H364" s="3">
        <v>239.57</v>
      </c>
      <c r="M364" s="3" t="str">
        <f t="shared" si="141"/>
        <v/>
      </c>
      <c r="N364" s="3"/>
      <c r="AA364" s="3">
        <f t="shared" si="99"/>
        <v>3450000</v>
      </c>
      <c r="AB364" s="3">
        <f t="shared" si="142"/>
        <v>3800000.0000000061</v>
      </c>
      <c r="AC364" s="3">
        <f t="shared" si="105"/>
        <v>773817.16999999981</v>
      </c>
      <c r="AD364" s="3">
        <f t="shared" si="106"/>
        <v>3026182.8300000061</v>
      </c>
      <c r="AE364" s="1">
        <f t="shared" ca="1" si="137"/>
        <v>0</v>
      </c>
      <c r="AG364" s="3">
        <f t="shared" si="108"/>
        <v>-239.57</v>
      </c>
      <c r="AH364" s="1">
        <f t="shared" si="100"/>
        <v>1308</v>
      </c>
      <c r="AI364" s="3">
        <f t="shared" si="101"/>
        <v>-239.57</v>
      </c>
      <c r="AL364" s="3">
        <f t="shared" si="143"/>
        <v>-239.57</v>
      </c>
      <c r="AM364" s="3">
        <f t="shared" si="102"/>
        <v>-239.57</v>
      </c>
      <c r="AQ364" s="4">
        <f t="shared" ca="1" si="110"/>
        <v>44712</v>
      </c>
      <c r="AR364" s="3">
        <f t="shared" ref="AR364:AR383" ca="1" si="144">IF($AQ364&lt;&gt;"", INDEX($AC$3:$AC$1055, MATCH($AQ364,$A$3:$A$1055,1)), "")</f>
        <v>587289.25999999954</v>
      </c>
      <c r="AS364" s="63">
        <f ca="1">IF($AQ364&lt;&gt;"", INDEX(Inputs!$B$3:$B$101, MATCH($AQ364,Inputs!$A$3:$A$101,1)), "")</f>
        <v>3.5000000000000001E-3</v>
      </c>
      <c r="AT364" s="48">
        <f t="shared" ca="1" si="139"/>
        <v>5.6315408493150638</v>
      </c>
      <c r="AU364" s="3">
        <f t="shared" ca="1" si="103"/>
        <v>-5.6315408493150638</v>
      </c>
      <c r="AV364" s="3">
        <f t="shared" ca="1" si="140"/>
        <v>-5.6315408493150638</v>
      </c>
    </row>
    <row r="365" spans="1:48" x14ac:dyDescent="0.2">
      <c r="A365" s="4">
        <v>45659</v>
      </c>
      <c r="B365" s="1" t="s">
        <v>66</v>
      </c>
      <c r="I365" s="3">
        <v>10400</v>
      </c>
      <c r="M365" s="3" t="str">
        <f t="shared" si="141"/>
        <v/>
      </c>
      <c r="N365" s="3"/>
      <c r="AA365" s="3">
        <f t="shared" si="99"/>
        <v>3450000</v>
      </c>
      <c r="AB365" s="3">
        <f t="shared" si="142"/>
        <v>3800000.0000000061</v>
      </c>
      <c r="AC365" s="3">
        <f t="shared" si="105"/>
        <v>773817.16999999981</v>
      </c>
      <c r="AD365" s="3">
        <f t="shared" si="106"/>
        <v>3026182.8300000061</v>
      </c>
      <c r="AE365" s="1">
        <f t="shared" ca="1" si="137"/>
        <v>1</v>
      </c>
      <c r="AG365" s="3">
        <f t="shared" si="108"/>
        <v>10400</v>
      </c>
      <c r="AH365" s="1">
        <f t="shared" si="100"/>
        <v>1308</v>
      </c>
      <c r="AI365" s="3">
        <f t="shared" si="101"/>
        <v>10400</v>
      </c>
      <c r="AL365" s="3">
        <f t="shared" si="143"/>
        <v>10400</v>
      </c>
      <c r="AM365" s="3">
        <f t="shared" si="102"/>
        <v>10400</v>
      </c>
      <c r="AQ365" s="4">
        <f t="shared" ca="1" si="110"/>
        <v>44713</v>
      </c>
      <c r="AR365" s="3">
        <f t="shared" ca="1" si="144"/>
        <v>587289.25999999954</v>
      </c>
      <c r="AS365" s="63">
        <f ca="1">IF($AQ365&lt;&gt;"", INDEX(Inputs!$B$3:$B$101, MATCH($AQ365,Inputs!$A$3:$A$101,1)), "")</f>
        <v>3.5000000000000001E-3</v>
      </c>
      <c r="AT365" s="48">
        <f t="shared" ca="1" si="139"/>
        <v>5.6315408493150638</v>
      </c>
      <c r="AU365" s="3">
        <f t="shared" ca="1" si="103"/>
        <v>-5.6315408493150638</v>
      </c>
      <c r="AV365" s="3">
        <f t="shared" ca="1" si="140"/>
        <v>-5.6315408493150638</v>
      </c>
    </row>
    <row r="366" spans="1:48" x14ac:dyDescent="0.2">
      <c r="A366" s="4">
        <v>45660</v>
      </c>
      <c r="B366" s="1" t="s">
        <v>114</v>
      </c>
      <c r="G366" s="3">
        <v>10240.280000000001</v>
      </c>
      <c r="M366" s="3" t="str">
        <f t="shared" si="141"/>
        <v/>
      </c>
      <c r="N366" s="3"/>
      <c r="AA366" s="3">
        <f t="shared" si="99"/>
        <v>3450000</v>
      </c>
      <c r="AB366" s="3">
        <f t="shared" si="142"/>
        <v>3800000.0000000056</v>
      </c>
      <c r="AC366" s="3">
        <f t="shared" si="105"/>
        <v>763576.88999999978</v>
      </c>
      <c r="AD366" s="3">
        <f t="shared" si="106"/>
        <v>3036423.1100000059</v>
      </c>
      <c r="AE366" s="1">
        <f t="shared" ca="1" si="137"/>
        <v>0</v>
      </c>
      <c r="AG366" s="3">
        <f t="shared" si="108"/>
        <v>0</v>
      </c>
      <c r="AH366" s="1">
        <f t="shared" si="100"/>
        <v>1309</v>
      </c>
      <c r="AI366" s="3">
        <f t="shared" si="101"/>
        <v>0</v>
      </c>
      <c r="AL366" s="3">
        <f t="shared" si="143"/>
        <v>0</v>
      </c>
      <c r="AM366" s="3">
        <f t="shared" si="102"/>
        <v>0</v>
      </c>
      <c r="AQ366" s="4">
        <f t="shared" ca="1" si="110"/>
        <v>44714</v>
      </c>
      <c r="AR366" s="3">
        <f t="shared" ca="1" si="144"/>
        <v>587289.25999999954</v>
      </c>
      <c r="AS366" s="63">
        <f ca="1">IF($AQ366&lt;&gt;"", INDEX(Inputs!$B$3:$B$101, MATCH($AQ366,Inputs!$A$3:$A$101,1)), "")</f>
        <v>3.5000000000000001E-3</v>
      </c>
      <c r="AT366" s="48">
        <f t="shared" ca="1" si="139"/>
        <v>5.6315408493150638</v>
      </c>
      <c r="AU366" s="3">
        <f t="shared" ca="1" si="103"/>
        <v>-5.6315408493150638</v>
      </c>
      <c r="AV366" s="3">
        <f t="shared" ca="1" si="140"/>
        <v>-5.6315408493150638</v>
      </c>
    </row>
    <row r="367" spans="1:48" x14ac:dyDescent="0.2">
      <c r="A367" s="4">
        <v>45660</v>
      </c>
      <c r="B367" s="1" t="s">
        <v>116</v>
      </c>
      <c r="G367" s="3">
        <v>1858.79</v>
      </c>
      <c r="M367" s="3" t="str">
        <f t="shared" si="141"/>
        <v/>
      </c>
      <c r="N367" s="3"/>
      <c r="AA367" s="3">
        <f t="shared" si="99"/>
        <v>3450000</v>
      </c>
      <c r="AB367" s="3">
        <f t="shared" si="142"/>
        <v>3800000.0000000056</v>
      </c>
      <c r="AC367" s="3">
        <f t="shared" si="105"/>
        <v>761718.09999999974</v>
      </c>
      <c r="AD367" s="3">
        <f t="shared" si="106"/>
        <v>3038281.900000006</v>
      </c>
      <c r="AE367" s="1">
        <f t="shared" ca="1" si="137"/>
        <v>0</v>
      </c>
      <c r="AG367" s="3">
        <f t="shared" si="108"/>
        <v>0</v>
      </c>
      <c r="AH367" s="1">
        <f t="shared" si="100"/>
        <v>1309</v>
      </c>
      <c r="AI367" s="3">
        <f t="shared" si="101"/>
        <v>0</v>
      </c>
      <c r="AL367" s="3">
        <f t="shared" si="143"/>
        <v>0</v>
      </c>
      <c r="AM367" s="3">
        <f t="shared" si="102"/>
        <v>0</v>
      </c>
      <c r="AQ367" s="4">
        <f t="shared" ca="1" si="110"/>
        <v>44715</v>
      </c>
      <c r="AR367" s="3">
        <f t="shared" ca="1" si="144"/>
        <v>587289.25999999954</v>
      </c>
      <c r="AS367" s="63">
        <f ca="1">IF($AQ367&lt;&gt;"", INDEX(Inputs!$B$3:$B$101, MATCH($AQ367,Inputs!$A$3:$A$101,1)), "")</f>
        <v>3.5000000000000001E-3</v>
      </c>
      <c r="AT367" s="48">
        <f t="shared" ca="1" si="139"/>
        <v>5.6315408493150638</v>
      </c>
      <c r="AU367" s="3">
        <f t="shared" ca="1" si="103"/>
        <v>1894.3684591506849</v>
      </c>
      <c r="AV367" s="3">
        <f t="shared" ca="1" si="140"/>
        <v>1894.3684591506849</v>
      </c>
    </row>
    <row r="368" spans="1:48" x14ac:dyDescent="0.2">
      <c r="A368" s="4">
        <v>45660</v>
      </c>
      <c r="B368" s="1" t="s">
        <v>115</v>
      </c>
      <c r="F368" s="3">
        <v>16231.21</v>
      </c>
      <c r="M368" s="3" t="str">
        <f t="shared" si="141"/>
        <v/>
      </c>
      <c r="N368" s="3"/>
      <c r="AA368" s="3">
        <f t="shared" si="99"/>
        <v>3450000</v>
      </c>
      <c r="AB368" s="3">
        <f t="shared" si="142"/>
        <v>3800000.0000000056</v>
      </c>
      <c r="AC368" s="3">
        <f t="shared" si="105"/>
        <v>777949.30999999971</v>
      </c>
      <c r="AD368" s="3">
        <f t="shared" si="106"/>
        <v>3022050.690000006</v>
      </c>
      <c r="AE368" s="1">
        <f t="shared" ca="1" si="137"/>
        <v>0</v>
      </c>
      <c r="AG368" s="3">
        <f t="shared" si="108"/>
        <v>-16231.21</v>
      </c>
      <c r="AH368" s="1">
        <f t="shared" si="100"/>
        <v>1309</v>
      </c>
      <c r="AI368" s="3">
        <f t="shared" si="101"/>
        <v>-16231.21</v>
      </c>
      <c r="AL368" s="3">
        <f t="shared" si="143"/>
        <v>-16231.21</v>
      </c>
      <c r="AM368" s="3">
        <f t="shared" si="102"/>
        <v>-16231.21</v>
      </c>
      <c r="AQ368" s="4">
        <f t="shared" ca="1" si="110"/>
        <v>44716</v>
      </c>
      <c r="AR368" s="3">
        <f t="shared" ca="1" si="144"/>
        <v>587289.25999999954</v>
      </c>
      <c r="AS368" s="63">
        <f ca="1">IF($AQ368&lt;&gt;"", INDEX(Inputs!$B$3:$B$101, MATCH($AQ368,Inputs!$A$3:$A$101,1)), "")</f>
        <v>3.5000000000000001E-3</v>
      </c>
      <c r="AT368" s="48">
        <f t="shared" ca="1" si="139"/>
        <v>5.6315408493150638</v>
      </c>
      <c r="AU368" s="3">
        <f t="shared" ca="1" si="103"/>
        <v>-5.6315408493150638</v>
      </c>
      <c r="AV368" s="3">
        <f t="shared" ca="1" si="140"/>
        <v>-5.6315408493150638</v>
      </c>
    </row>
    <row r="369" spans="1:48" x14ac:dyDescent="0.2">
      <c r="A369" s="4">
        <v>45660</v>
      </c>
      <c r="B369" s="1" t="s">
        <v>117</v>
      </c>
      <c r="F369" s="3">
        <v>2180.3200000000002</v>
      </c>
      <c r="M369" s="3" t="str">
        <f t="shared" si="141"/>
        <v/>
      </c>
      <c r="N369" s="3"/>
      <c r="AA369" s="3">
        <f t="shared" si="99"/>
        <v>3450000</v>
      </c>
      <c r="AB369" s="3">
        <f t="shared" si="142"/>
        <v>3800000.0000000056</v>
      </c>
      <c r="AC369" s="3">
        <f t="shared" si="105"/>
        <v>780129.62999999966</v>
      </c>
      <c r="AD369" s="3">
        <f t="shared" si="106"/>
        <v>3019870.3700000062</v>
      </c>
      <c r="AE369" s="1">
        <f t="shared" ca="1" si="137"/>
        <v>13</v>
      </c>
      <c r="AG369" s="3">
        <f t="shared" si="108"/>
        <v>-2180.3200000000002</v>
      </c>
      <c r="AH369" s="1">
        <f t="shared" si="100"/>
        <v>1309</v>
      </c>
      <c r="AI369" s="3">
        <f t="shared" si="101"/>
        <v>-2180.3200000000002</v>
      </c>
      <c r="AL369" s="3">
        <f t="shared" si="143"/>
        <v>-2180.3200000000002</v>
      </c>
      <c r="AM369" s="3">
        <f t="shared" si="102"/>
        <v>-2180.3200000000002</v>
      </c>
      <c r="AQ369" s="4">
        <f t="shared" ref="AQ369:AQ400" ca="1" si="145">IF(AQ368&lt;$AP$3,AQ368+1,"")</f>
        <v>44717</v>
      </c>
      <c r="AR369" s="3">
        <f t="shared" ca="1" si="144"/>
        <v>587289.25999999954</v>
      </c>
      <c r="AS369" s="63">
        <f ca="1">IF($AQ369&lt;&gt;"", INDEX(Inputs!$B$3:$B$101, MATCH($AQ369,Inputs!$A$3:$A$101,1)), "")</f>
        <v>3.5000000000000001E-3</v>
      </c>
      <c r="AT369" s="48">
        <f t="shared" ca="1" si="139"/>
        <v>5.6315408493150638</v>
      </c>
      <c r="AU369" s="3">
        <f t="shared" ca="1" si="103"/>
        <v>-5.6315408493150638</v>
      </c>
      <c r="AV369" s="3">
        <f t="shared" ca="1" si="140"/>
        <v>-5.6315408493150638</v>
      </c>
    </row>
    <row r="370" spans="1:48" x14ac:dyDescent="0.2">
      <c r="A370" s="4">
        <v>45673</v>
      </c>
      <c r="B370" s="1" t="s">
        <v>124</v>
      </c>
      <c r="H370" s="3">
        <v>462</v>
      </c>
      <c r="M370" s="3" t="str">
        <f t="shared" si="141"/>
        <v/>
      </c>
      <c r="N370" s="3"/>
      <c r="AA370" s="3">
        <f t="shared" ref="AA370:AA381" si="146">IF($A370&lt;&gt;"", MIN(AB370,$P$3), "")</f>
        <v>3450000</v>
      </c>
      <c r="AB370" s="3">
        <f t="shared" ref="AB370:AB381" si="147">IF($A370&lt;&gt;"", AC370+AD370, "")</f>
        <v>3800000.0000000056</v>
      </c>
      <c r="AC370" s="3">
        <f t="shared" ref="AC370:AC381" si="148">IF(A370&lt;&gt;"", AC369+D370+F370-G370, "")</f>
        <v>780129.62999999966</v>
      </c>
      <c r="AD370" s="3">
        <f t="shared" ref="AD370:AD381" si="149">IF(A370&lt;&gt;"", AD369+C370-F370+G370, "")</f>
        <v>3019870.3700000062</v>
      </c>
      <c r="AE370" s="1">
        <f t="shared" ref="AE370:AE381" ca="1" si="150">IF(A371&lt;&gt;"", A371-A370, IF(A370&lt;&gt;"",IF(AC370&lt;&gt;0,TODAY()-A370,0), ""))</f>
        <v>16</v>
      </c>
      <c r="AG370" s="3">
        <f t="shared" si="108"/>
        <v>-462</v>
      </c>
      <c r="AH370" s="1">
        <f t="shared" ref="AH370:AH381" si="151">IF(A370&lt;&gt;"", A370-A$3, "")</f>
        <v>1322</v>
      </c>
      <c r="AI370" s="3">
        <f t="shared" ref="AI370:AI381" si="152">IF(A370&lt;&gt;"", AG370*(1+$X$3)^-(AH370/365), "")</f>
        <v>-462</v>
      </c>
      <c r="AL370" s="3">
        <f t="shared" ref="AL370:AL381" si="153">IF($A370&lt;&gt;"", AG370-IF(ISNUMBER(K370),K370*L370,0), "")</f>
        <v>-462</v>
      </c>
      <c r="AM370" s="3">
        <f t="shared" ref="AM370:AM381" si="154">IF(A370&lt;&gt;"", AL370*(1+$X$6/CompoundingRate)^-(AH370/(365/CompoundingRate)), "")</f>
        <v>-462</v>
      </c>
      <c r="AQ370" s="4">
        <f t="shared" ca="1" si="145"/>
        <v>44718</v>
      </c>
      <c r="AR370" s="3">
        <f t="shared" ca="1" si="144"/>
        <v>587289.25999999954</v>
      </c>
      <c r="AS370" s="63">
        <f ca="1">IF($AQ370&lt;&gt;"", INDEX(Inputs!$B$3:$B$101, MATCH($AQ370,Inputs!$A$3:$A$101,1)), "")</f>
        <v>3.5000000000000001E-3</v>
      </c>
      <c r="AT370" s="48">
        <f t="shared" ref="AT370:AT381" ca="1" si="155">IF($AQ370&lt;&gt;"", AR370*AS370/365, "")</f>
        <v>5.6315408493150638</v>
      </c>
      <c r="AU370" s="3">
        <f t="shared" ca="1" si="103"/>
        <v>-5.6315408493150638</v>
      </c>
      <c r="AV370" s="3">
        <f t="shared" ref="AV370:AV381" ca="1" si="156">IF(AQ370&lt;&gt;"", AU370*(1+$X$9/CompoundingRate)^-((AQ370-AQ$3)/(365/CompoundingRate)), "")</f>
        <v>-5.6315408493150638</v>
      </c>
    </row>
    <row r="371" spans="1:48" x14ac:dyDescent="0.2">
      <c r="A371" s="4">
        <v>45689</v>
      </c>
      <c r="B371" s="1" t="s">
        <v>50</v>
      </c>
      <c r="H371" s="3">
        <v>4172.5200000000004</v>
      </c>
      <c r="M371" s="3" t="str">
        <f t="shared" si="141"/>
        <v/>
      </c>
      <c r="N371" s="3"/>
      <c r="AA371" s="3">
        <f t="shared" si="146"/>
        <v>3450000</v>
      </c>
      <c r="AB371" s="3">
        <f t="shared" si="147"/>
        <v>3800000.0000000056</v>
      </c>
      <c r="AC371" s="3">
        <f t="shared" si="148"/>
        <v>780129.62999999966</v>
      </c>
      <c r="AD371" s="3">
        <f t="shared" si="149"/>
        <v>3019870.3700000062</v>
      </c>
      <c r="AE371" s="1">
        <f t="shared" ca="1" si="150"/>
        <v>2</v>
      </c>
      <c r="AG371" s="3">
        <f t="shared" si="108"/>
        <v>-4172.5200000000004</v>
      </c>
      <c r="AH371" s="1">
        <f t="shared" si="151"/>
        <v>1338</v>
      </c>
      <c r="AI371" s="3">
        <f t="shared" si="152"/>
        <v>-4172.5200000000004</v>
      </c>
      <c r="AL371" s="3">
        <f t="shared" si="153"/>
        <v>-4172.5200000000004</v>
      </c>
      <c r="AM371" s="3">
        <f t="shared" si="154"/>
        <v>-4172.5200000000004</v>
      </c>
      <c r="AQ371" s="4">
        <f t="shared" ca="1" si="145"/>
        <v>44719</v>
      </c>
      <c r="AR371" s="3">
        <f t="shared" ca="1" si="144"/>
        <v>587289.25999999954</v>
      </c>
      <c r="AS371" s="63">
        <f ca="1">IF($AQ371&lt;&gt;"", INDEX(Inputs!$B$3:$B$101, MATCH($AQ371,Inputs!$A$3:$A$101,1)), "")</f>
        <v>3.5000000000000001E-3</v>
      </c>
      <c r="AT371" s="48">
        <f t="shared" ca="1" si="155"/>
        <v>5.6315408493150638</v>
      </c>
      <c r="AU371" s="3">
        <f t="shared" ca="1" si="103"/>
        <v>-5.6315408493150638</v>
      </c>
      <c r="AV371" s="3">
        <f t="shared" ca="1" si="156"/>
        <v>-5.6315408493150638</v>
      </c>
    </row>
    <row r="372" spans="1:48" x14ac:dyDescent="0.2">
      <c r="A372" s="4">
        <v>45691</v>
      </c>
      <c r="B372" s="1" t="s">
        <v>66</v>
      </c>
      <c r="I372" s="3">
        <v>10400</v>
      </c>
      <c r="M372" s="3" t="str">
        <f t="shared" si="141"/>
        <v/>
      </c>
      <c r="N372" s="85" t="s">
        <v>138</v>
      </c>
      <c r="AA372" s="3">
        <f t="shared" si="146"/>
        <v>3450000</v>
      </c>
      <c r="AB372" s="3">
        <f t="shared" si="147"/>
        <v>3800000.0000000056</v>
      </c>
      <c r="AC372" s="3">
        <f t="shared" si="148"/>
        <v>780129.62999999966</v>
      </c>
      <c r="AD372" s="3">
        <f t="shared" si="149"/>
        <v>3019870.3700000062</v>
      </c>
      <c r="AE372" s="1">
        <f t="shared" ca="1" si="150"/>
        <v>0</v>
      </c>
      <c r="AG372" s="3">
        <f t="shared" si="108"/>
        <v>10400</v>
      </c>
      <c r="AH372" s="1">
        <f t="shared" si="151"/>
        <v>1340</v>
      </c>
      <c r="AI372" s="3">
        <f t="shared" si="152"/>
        <v>10400</v>
      </c>
      <c r="AL372" s="3">
        <f t="shared" si="153"/>
        <v>10400</v>
      </c>
      <c r="AM372" s="3">
        <f t="shared" si="154"/>
        <v>10400</v>
      </c>
      <c r="AQ372" s="4">
        <f t="shared" ca="1" si="145"/>
        <v>44720</v>
      </c>
      <c r="AR372" s="3">
        <f t="shared" ca="1" si="144"/>
        <v>587289.25999999954</v>
      </c>
      <c r="AS372" s="63">
        <f ca="1">IF($AQ372&lt;&gt;"", INDEX(Inputs!$B$3:$B$101, MATCH($AQ372,Inputs!$A$3:$A$101,1)), "")</f>
        <v>8.5000000000000006E-3</v>
      </c>
      <c r="AT372" s="48">
        <f t="shared" ca="1" si="155"/>
        <v>13.676599205479441</v>
      </c>
      <c r="AU372" s="3">
        <f t="shared" ca="1" si="103"/>
        <v>-13.676599205479441</v>
      </c>
      <c r="AV372" s="3">
        <f t="shared" ca="1" si="156"/>
        <v>-13.676599205479441</v>
      </c>
    </row>
    <row r="373" spans="1:48" x14ac:dyDescent="0.2">
      <c r="A373" s="4">
        <v>45691</v>
      </c>
      <c r="B373" s="1" t="s">
        <v>114</v>
      </c>
      <c r="G373" s="3">
        <v>12895.38</v>
      </c>
      <c r="M373" s="3" t="str">
        <f t="shared" si="141"/>
        <v/>
      </c>
      <c r="N373" s="3"/>
      <c r="AA373" s="3">
        <f t="shared" si="146"/>
        <v>3450000</v>
      </c>
      <c r="AB373" s="3">
        <f t="shared" si="147"/>
        <v>3800000.0000000056</v>
      </c>
      <c r="AC373" s="3">
        <f t="shared" si="148"/>
        <v>767234.24999999965</v>
      </c>
      <c r="AD373" s="3">
        <f t="shared" si="149"/>
        <v>3032765.7500000061</v>
      </c>
      <c r="AE373" s="1">
        <f t="shared" ca="1" si="150"/>
        <v>0</v>
      </c>
      <c r="AG373" s="3">
        <f t="shared" si="108"/>
        <v>0</v>
      </c>
      <c r="AH373" s="1">
        <f t="shared" si="151"/>
        <v>1340</v>
      </c>
      <c r="AI373" s="3">
        <f t="shared" si="152"/>
        <v>0</v>
      </c>
      <c r="AL373" s="3">
        <f t="shared" si="153"/>
        <v>0</v>
      </c>
      <c r="AM373" s="3">
        <f t="shared" si="154"/>
        <v>0</v>
      </c>
      <c r="AQ373" s="4">
        <f t="shared" ca="1" si="145"/>
        <v>44721</v>
      </c>
      <c r="AR373" s="3">
        <f t="shared" ca="1" si="144"/>
        <v>587289.25999999954</v>
      </c>
      <c r="AS373" s="63">
        <f ca="1">IF($AQ373&lt;&gt;"", INDEX(Inputs!$B$3:$B$101, MATCH($AQ373,Inputs!$A$3:$A$101,1)), "")</f>
        <v>8.5000000000000006E-3</v>
      </c>
      <c r="AT373" s="48">
        <f t="shared" ca="1" si="155"/>
        <v>13.676599205479441</v>
      </c>
      <c r="AU373" s="3">
        <f t="shared" ca="1" si="103"/>
        <v>-13.676599205479441</v>
      </c>
      <c r="AV373" s="3">
        <f t="shared" ca="1" si="156"/>
        <v>-13.676599205479441</v>
      </c>
    </row>
    <row r="374" spans="1:48" x14ac:dyDescent="0.2">
      <c r="A374" s="4">
        <v>45691</v>
      </c>
      <c r="B374" s="1" t="s">
        <v>116</v>
      </c>
      <c r="G374" s="3">
        <v>1857.13</v>
      </c>
      <c r="M374" s="3" t="str">
        <f t="shared" si="141"/>
        <v/>
      </c>
      <c r="N374" s="3"/>
      <c r="AA374" s="3">
        <f t="shared" si="146"/>
        <v>3450000</v>
      </c>
      <c r="AB374" s="3">
        <f t="shared" si="147"/>
        <v>3800000.0000000056</v>
      </c>
      <c r="AC374" s="3">
        <f t="shared" si="148"/>
        <v>765377.11999999965</v>
      </c>
      <c r="AD374" s="3">
        <f t="shared" si="149"/>
        <v>3034622.8800000059</v>
      </c>
      <c r="AE374" s="1">
        <f t="shared" ca="1" si="150"/>
        <v>0</v>
      </c>
      <c r="AG374" s="3">
        <f t="shared" si="108"/>
        <v>0</v>
      </c>
      <c r="AH374" s="1">
        <f t="shared" si="151"/>
        <v>1340</v>
      </c>
      <c r="AI374" s="3">
        <f t="shared" si="152"/>
        <v>0</v>
      </c>
      <c r="AL374" s="3">
        <f t="shared" si="153"/>
        <v>0</v>
      </c>
      <c r="AM374" s="3">
        <f t="shared" si="154"/>
        <v>0</v>
      </c>
      <c r="AQ374" s="4">
        <f t="shared" ca="1" si="145"/>
        <v>44722</v>
      </c>
      <c r="AR374" s="3">
        <f t="shared" ca="1" si="144"/>
        <v>587289.25999999954</v>
      </c>
      <c r="AS374" s="63">
        <f ca="1">IF($AQ374&lt;&gt;"", INDEX(Inputs!$B$3:$B$101, MATCH($AQ374,Inputs!$A$3:$A$101,1)), "")</f>
        <v>8.5000000000000006E-3</v>
      </c>
      <c r="AT374" s="48">
        <f t="shared" ca="1" si="155"/>
        <v>13.676599205479441</v>
      </c>
      <c r="AU374" s="3">
        <f t="shared" ca="1" si="103"/>
        <v>1886.3234007945205</v>
      </c>
      <c r="AV374" s="3">
        <f t="shared" ca="1" si="156"/>
        <v>1886.3234007945205</v>
      </c>
    </row>
    <row r="375" spans="1:48" x14ac:dyDescent="0.2">
      <c r="A375" s="4">
        <v>45691</v>
      </c>
      <c r="B375" s="1" t="s">
        <v>115</v>
      </c>
      <c r="F375" s="3">
        <v>16231.21</v>
      </c>
      <c r="M375" s="3" t="str">
        <f t="shared" si="141"/>
        <v/>
      </c>
      <c r="N375" s="3"/>
      <c r="AA375" s="3">
        <f t="shared" si="146"/>
        <v>3450000</v>
      </c>
      <c r="AB375" s="3">
        <f t="shared" si="147"/>
        <v>3800000.0000000056</v>
      </c>
      <c r="AC375" s="3">
        <f t="shared" si="148"/>
        <v>781608.32999999961</v>
      </c>
      <c r="AD375" s="3">
        <f t="shared" si="149"/>
        <v>3018391.670000006</v>
      </c>
      <c r="AE375" s="1">
        <f t="shared" ca="1" si="150"/>
        <v>0</v>
      </c>
      <c r="AG375" s="3">
        <f t="shared" si="108"/>
        <v>-16231.21</v>
      </c>
      <c r="AH375" s="1">
        <f t="shared" si="151"/>
        <v>1340</v>
      </c>
      <c r="AI375" s="3">
        <f t="shared" si="152"/>
        <v>-16231.21</v>
      </c>
      <c r="AL375" s="3">
        <f t="shared" si="153"/>
        <v>-16231.21</v>
      </c>
      <c r="AM375" s="3">
        <f t="shared" si="154"/>
        <v>-16231.21</v>
      </c>
      <c r="AQ375" s="4">
        <f t="shared" ca="1" si="145"/>
        <v>44723</v>
      </c>
      <c r="AR375" s="3">
        <f t="shared" ca="1" si="144"/>
        <v>587289.25999999954</v>
      </c>
      <c r="AS375" s="63">
        <f ca="1">IF($AQ375&lt;&gt;"", INDEX(Inputs!$B$3:$B$101, MATCH($AQ375,Inputs!$A$3:$A$101,1)), "")</f>
        <v>8.5000000000000006E-3</v>
      </c>
      <c r="AT375" s="48">
        <f t="shared" ca="1" si="155"/>
        <v>13.676599205479441</v>
      </c>
      <c r="AU375" s="3">
        <f t="shared" ca="1" si="103"/>
        <v>-13.676599205479441</v>
      </c>
      <c r="AV375" s="3">
        <f t="shared" ca="1" si="156"/>
        <v>-13.676599205479441</v>
      </c>
    </row>
    <row r="376" spans="1:48" x14ac:dyDescent="0.2">
      <c r="A376" s="4">
        <v>45691</v>
      </c>
      <c r="B376" s="1" t="s">
        <v>117</v>
      </c>
      <c r="F376" s="3">
        <v>2180.3200000000002</v>
      </c>
      <c r="M376" s="3" t="str">
        <f t="shared" si="141"/>
        <v/>
      </c>
      <c r="N376" s="3"/>
      <c r="AA376" s="3">
        <f t="shared" si="146"/>
        <v>3450000</v>
      </c>
      <c r="AB376" s="3">
        <f t="shared" si="147"/>
        <v>3800000.0000000056</v>
      </c>
      <c r="AC376" s="3">
        <f t="shared" si="148"/>
        <v>783788.64999999956</v>
      </c>
      <c r="AD376" s="3">
        <f t="shared" si="149"/>
        <v>3016211.3500000061</v>
      </c>
      <c r="AE376" s="1">
        <f t="shared" ca="1" si="150"/>
        <v>9</v>
      </c>
      <c r="AG376" s="3">
        <f t="shared" si="108"/>
        <v>-2180.3200000000002</v>
      </c>
      <c r="AH376" s="1">
        <f t="shared" si="151"/>
        <v>1340</v>
      </c>
      <c r="AI376" s="3">
        <f t="shared" si="152"/>
        <v>-2180.3200000000002</v>
      </c>
      <c r="AL376" s="3">
        <f t="shared" si="153"/>
        <v>-2180.3200000000002</v>
      </c>
      <c r="AM376" s="3">
        <f t="shared" si="154"/>
        <v>-2180.3200000000002</v>
      </c>
      <c r="AQ376" s="4">
        <f t="shared" ca="1" si="145"/>
        <v>44724</v>
      </c>
      <c r="AR376" s="3">
        <f t="shared" ca="1" si="144"/>
        <v>587289.25999999954</v>
      </c>
      <c r="AS376" s="63">
        <f ca="1">IF($AQ376&lt;&gt;"", INDEX(Inputs!$B$3:$B$101, MATCH($AQ376,Inputs!$A$3:$A$101,1)), "")</f>
        <v>8.5000000000000006E-3</v>
      </c>
      <c r="AT376" s="48">
        <f t="shared" ca="1" si="155"/>
        <v>13.676599205479441</v>
      </c>
      <c r="AU376" s="3">
        <f t="shared" ca="1" si="103"/>
        <v>-13.676599205479441</v>
      </c>
      <c r="AV376" s="3">
        <f t="shared" ca="1" si="156"/>
        <v>-13.676599205479441</v>
      </c>
    </row>
    <row r="377" spans="1:48" x14ac:dyDescent="0.2">
      <c r="A377" s="4">
        <v>45700</v>
      </c>
      <c r="B377" s="1" t="s">
        <v>139</v>
      </c>
      <c r="C377" s="3">
        <f>542611.43+17.6</f>
        <v>542629.03</v>
      </c>
      <c r="E377" s="3">
        <f>C377</f>
        <v>542629.03</v>
      </c>
      <c r="M377" s="3" t="str">
        <f t="shared" si="141"/>
        <v/>
      </c>
      <c r="N377" s="3"/>
      <c r="AA377" s="3">
        <f t="shared" si="146"/>
        <v>3450000</v>
      </c>
      <c r="AB377" s="3">
        <f t="shared" si="147"/>
        <v>4342629.0300000058</v>
      </c>
      <c r="AC377" s="3">
        <f t="shared" si="148"/>
        <v>783788.64999999956</v>
      </c>
      <c r="AD377" s="3">
        <f t="shared" si="149"/>
        <v>3558840.3800000064</v>
      </c>
      <c r="AE377" s="1">
        <f t="shared" ca="1" si="150"/>
        <v>0</v>
      </c>
      <c r="AG377" s="3">
        <f t="shared" si="108"/>
        <v>542629.03</v>
      </c>
      <c r="AH377" s="1">
        <f t="shared" si="151"/>
        <v>1349</v>
      </c>
      <c r="AI377" s="3">
        <f t="shared" si="152"/>
        <v>542629.03</v>
      </c>
      <c r="AL377" s="3">
        <f t="shared" si="153"/>
        <v>542629.03</v>
      </c>
      <c r="AM377" s="3">
        <f t="shared" si="154"/>
        <v>542629.03</v>
      </c>
      <c r="AQ377" s="4">
        <f t="shared" ca="1" si="145"/>
        <v>44725</v>
      </c>
      <c r="AR377" s="3">
        <f t="shared" ca="1" si="144"/>
        <v>587289.25999999954</v>
      </c>
      <c r="AS377" s="63">
        <f ca="1">IF($AQ377&lt;&gt;"", INDEX(Inputs!$B$3:$B$101, MATCH($AQ377,Inputs!$A$3:$A$101,1)), "")</f>
        <v>8.5000000000000006E-3</v>
      </c>
      <c r="AT377" s="48">
        <f t="shared" ca="1" si="155"/>
        <v>13.676599205479441</v>
      </c>
      <c r="AU377" s="3">
        <f t="shared" ca="1" si="103"/>
        <v>-13.676599205479441</v>
      </c>
      <c r="AV377" s="3">
        <f t="shared" ca="1" si="156"/>
        <v>-13.676599205479441</v>
      </c>
    </row>
    <row r="378" spans="1:48" x14ac:dyDescent="0.2">
      <c r="A378" s="4">
        <v>45700</v>
      </c>
      <c r="B378" s="1" t="s">
        <v>141</v>
      </c>
      <c r="D378" s="3">
        <f>-C377-50000</f>
        <v>-592629.03</v>
      </c>
      <c r="M378" s="3" t="str">
        <f t="shared" si="141"/>
        <v/>
      </c>
      <c r="N378" s="3"/>
      <c r="AA378" s="3">
        <f t="shared" si="146"/>
        <v>3450000</v>
      </c>
      <c r="AB378" s="3">
        <f>IF($A378&lt;&gt;"", AC378+AD378, "")</f>
        <v>3750000.0000000061</v>
      </c>
      <c r="AC378" s="3">
        <f t="shared" si="148"/>
        <v>191159.61999999953</v>
      </c>
      <c r="AD378" s="3">
        <f>IF(A378&lt;&gt;"", AD377+C378-F378+G378, "")</f>
        <v>3558840.3800000064</v>
      </c>
      <c r="AE378" s="1">
        <f t="shared" ca="1" si="150"/>
        <v>0</v>
      </c>
      <c r="AG378" s="3">
        <f t="shared" si="108"/>
        <v>0</v>
      </c>
      <c r="AH378" s="1">
        <f t="shared" si="151"/>
        <v>1349</v>
      </c>
      <c r="AI378" s="3">
        <f t="shared" si="152"/>
        <v>0</v>
      </c>
      <c r="AL378" s="3">
        <f t="shared" si="153"/>
        <v>0</v>
      </c>
      <c r="AM378" s="3">
        <f t="shared" si="154"/>
        <v>0</v>
      </c>
      <c r="AQ378" s="4">
        <f t="shared" ca="1" si="145"/>
        <v>44726</v>
      </c>
      <c r="AR378" s="3">
        <f t="shared" ca="1" si="144"/>
        <v>587289.25999999954</v>
      </c>
      <c r="AS378" s="63">
        <f ca="1">IF($AQ378&lt;&gt;"", INDEX(Inputs!$B$3:$B$101, MATCH($AQ378,Inputs!$A$3:$A$101,1)), "")</f>
        <v>8.5000000000000006E-3</v>
      </c>
      <c r="AT378" s="48">
        <f t="shared" ca="1" si="155"/>
        <v>13.676599205479441</v>
      </c>
      <c r="AU378" s="3">
        <f t="shared" ca="1" si="103"/>
        <v>-13.676599205479441</v>
      </c>
      <c r="AV378" s="3">
        <f t="shared" ca="1" si="156"/>
        <v>-13.676599205479441</v>
      </c>
    </row>
    <row r="379" spans="1:48" x14ac:dyDescent="0.2">
      <c r="A379" s="4">
        <v>45700</v>
      </c>
      <c r="B379" s="1" t="s">
        <v>142</v>
      </c>
      <c r="H379" s="3">
        <v>17.600000000000001</v>
      </c>
      <c r="M379" s="3" t="str">
        <f t="shared" si="141"/>
        <v/>
      </c>
      <c r="N379" s="3"/>
      <c r="AA379" s="3">
        <f t="shared" si="146"/>
        <v>3450000</v>
      </c>
      <c r="AB379" s="3">
        <f t="shared" si="147"/>
        <v>3750000.0000000061</v>
      </c>
      <c r="AC379" s="3">
        <f t="shared" si="148"/>
        <v>191159.61999999953</v>
      </c>
      <c r="AD379" s="3">
        <f t="shared" si="149"/>
        <v>3558840.3800000064</v>
      </c>
      <c r="AE379" s="1">
        <f t="shared" ca="1" si="150"/>
        <v>19</v>
      </c>
      <c r="AG379" s="3">
        <f t="shared" si="108"/>
        <v>-17.600000000000001</v>
      </c>
      <c r="AH379" s="1">
        <f t="shared" si="151"/>
        <v>1349</v>
      </c>
      <c r="AI379" s="3">
        <f t="shared" si="152"/>
        <v>-17.600000000000001</v>
      </c>
      <c r="AL379" s="3">
        <f t="shared" si="153"/>
        <v>-17.600000000000001</v>
      </c>
      <c r="AM379" s="3">
        <f t="shared" si="154"/>
        <v>-17.600000000000001</v>
      </c>
      <c r="AQ379" s="4">
        <f t="shared" ca="1" si="145"/>
        <v>44727</v>
      </c>
      <c r="AR379" s="3">
        <f t="shared" ca="1" si="144"/>
        <v>587289.25999999954</v>
      </c>
      <c r="AS379" s="63">
        <f ca="1">IF($AQ379&lt;&gt;"", INDEX(Inputs!$B$3:$B$101, MATCH($AQ379,Inputs!$A$3:$A$101,1)), "")</f>
        <v>8.5000000000000006E-3</v>
      </c>
      <c r="AT379" s="48">
        <f t="shared" ca="1" si="155"/>
        <v>13.676599205479441</v>
      </c>
      <c r="AU379" s="3">
        <f t="shared" ca="1" si="103"/>
        <v>-13.676599205479441</v>
      </c>
      <c r="AV379" s="3">
        <f t="shared" ca="1" si="156"/>
        <v>-13.676599205479441</v>
      </c>
    </row>
    <row r="380" spans="1:48" x14ac:dyDescent="0.2">
      <c r="A380" s="4">
        <v>45719</v>
      </c>
      <c r="B380" s="1" t="s">
        <v>66</v>
      </c>
      <c r="I380" s="3">
        <v>9938</v>
      </c>
      <c r="M380" s="3" t="str">
        <f t="shared" si="141"/>
        <v/>
      </c>
      <c r="N380" s="85" t="s">
        <v>145</v>
      </c>
      <c r="AA380" s="3">
        <f t="shared" si="146"/>
        <v>3450000</v>
      </c>
      <c r="AB380" s="3">
        <f t="shared" si="147"/>
        <v>3750000.0000000061</v>
      </c>
      <c r="AC380" s="3">
        <f t="shared" si="148"/>
        <v>191159.61999999953</v>
      </c>
      <c r="AD380" s="3">
        <f t="shared" si="149"/>
        <v>3558840.3800000064</v>
      </c>
      <c r="AE380" s="1">
        <f t="shared" ca="1" si="150"/>
        <v>0</v>
      </c>
      <c r="AG380" s="3">
        <f t="shared" si="108"/>
        <v>9938</v>
      </c>
      <c r="AH380" s="1">
        <f t="shared" si="151"/>
        <v>1368</v>
      </c>
      <c r="AI380" s="3">
        <f t="shared" si="152"/>
        <v>9938</v>
      </c>
      <c r="AL380" s="3">
        <f t="shared" si="153"/>
        <v>9938</v>
      </c>
      <c r="AM380" s="3">
        <f t="shared" si="154"/>
        <v>9938</v>
      </c>
      <c r="AQ380" s="4">
        <f t="shared" ca="1" si="145"/>
        <v>44728</v>
      </c>
      <c r="AR380" s="3">
        <f t="shared" ca="1" si="144"/>
        <v>599340.2099999995</v>
      </c>
      <c r="AS380" s="63">
        <f ca="1">IF($AQ380&lt;&gt;"", INDEX(Inputs!$B$3:$B$101, MATCH($AQ380,Inputs!$A$3:$A$101,1)), "")</f>
        <v>8.5000000000000006E-3</v>
      </c>
      <c r="AT380" s="48">
        <f t="shared" ca="1" si="155"/>
        <v>13.957237767123278</v>
      </c>
      <c r="AU380" s="3">
        <f t="shared" ca="1" si="103"/>
        <v>-12064.907237767124</v>
      </c>
      <c r="AV380" s="3">
        <f t="shared" ca="1" si="156"/>
        <v>-12064.907237767124</v>
      </c>
    </row>
    <row r="381" spans="1:48" x14ac:dyDescent="0.2">
      <c r="A381" s="4">
        <v>45719</v>
      </c>
      <c r="B381" s="1" t="s">
        <v>114</v>
      </c>
      <c r="G381" s="3">
        <v>10892.57</v>
      </c>
      <c r="M381" s="3" t="str">
        <f t="shared" si="141"/>
        <v/>
      </c>
      <c r="N381" s="3"/>
      <c r="AA381" s="3">
        <f t="shared" si="146"/>
        <v>3450000</v>
      </c>
      <c r="AB381" s="3">
        <f t="shared" si="147"/>
        <v>3750000.0000000056</v>
      </c>
      <c r="AC381" s="3">
        <f t="shared" si="148"/>
        <v>180267.04999999952</v>
      </c>
      <c r="AD381" s="3">
        <f t="shared" si="149"/>
        <v>3569732.9500000062</v>
      </c>
      <c r="AE381" s="1">
        <f t="shared" ca="1" si="150"/>
        <v>0</v>
      </c>
      <c r="AG381" s="3">
        <f t="shared" si="108"/>
        <v>0</v>
      </c>
      <c r="AH381" s="1">
        <f t="shared" si="151"/>
        <v>1368</v>
      </c>
      <c r="AI381" s="3">
        <f t="shared" si="152"/>
        <v>0</v>
      </c>
      <c r="AL381" s="3">
        <f t="shared" si="153"/>
        <v>0</v>
      </c>
      <c r="AM381" s="3">
        <f t="shared" si="154"/>
        <v>0</v>
      </c>
      <c r="AQ381" s="4">
        <f t="shared" ca="1" si="145"/>
        <v>44729</v>
      </c>
      <c r="AR381" s="3">
        <f t="shared" ca="1" si="144"/>
        <v>599340.2099999995</v>
      </c>
      <c r="AS381" s="63">
        <f ca="1">IF($AQ381&lt;&gt;"", INDEX(Inputs!$B$3:$B$101, MATCH($AQ381,Inputs!$A$3:$A$101,1)), "")</f>
        <v>8.5000000000000006E-3</v>
      </c>
      <c r="AT381" s="48">
        <f t="shared" ca="1" si="155"/>
        <v>13.957237767123278</v>
      </c>
      <c r="AU381" s="3">
        <f t="shared" ca="1" si="103"/>
        <v>1886.0427622328766</v>
      </c>
      <c r="AV381" s="3">
        <f t="shared" ca="1" si="156"/>
        <v>1886.0427622328766</v>
      </c>
    </row>
    <row r="382" spans="1:48" x14ac:dyDescent="0.2">
      <c r="A382" s="4">
        <v>45719</v>
      </c>
      <c r="B382" s="1" t="s">
        <v>116</v>
      </c>
      <c r="G382" s="3">
        <v>1673.84</v>
      </c>
      <c r="M382" s="3" t="str">
        <f t="shared" si="141"/>
        <v/>
      </c>
      <c r="N382" s="3"/>
      <c r="AA382" s="3">
        <f t="shared" ref="AA382:AA383" si="157">IF($A382&lt;&gt;"", MIN(AB382,$P$3), "")</f>
        <v>3450000</v>
      </c>
      <c r="AB382" s="3">
        <f t="shared" ref="AB382:AB383" si="158">IF($A382&lt;&gt;"", AC382+AD382, "")</f>
        <v>3750000.0000000056</v>
      </c>
      <c r="AC382" s="3">
        <f t="shared" ref="AC382:AC383" si="159">IF(A382&lt;&gt;"", AC381+D382+F382-G382, "")</f>
        <v>178593.20999999953</v>
      </c>
      <c r="AD382" s="3">
        <f t="shared" ref="AD382:AD383" si="160">IF(A382&lt;&gt;"", AD381+C382-F382+G382, "")</f>
        <v>3571406.7900000061</v>
      </c>
      <c r="AE382" s="1">
        <f t="shared" ref="AE382:AE383" ca="1" si="161">IF(A383&lt;&gt;"", A383-A382, IF(A382&lt;&gt;"",IF(AC382&lt;&gt;0,TODAY()-A382,0), ""))</f>
        <v>0</v>
      </c>
      <c r="AG382" s="3">
        <f t="shared" si="108"/>
        <v>0</v>
      </c>
      <c r="AH382" s="1">
        <f t="shared" ref="AH382:AH383" si="162">IF(A382&lt;&gt;"", A382-A$3, "")</f>
        <v>1368</v>
      </c>
      <c r="AI382" s="3">
        <f t="shared" ref="AI382:AI383" si="163">IF(A382&lt;&gt;"", AG382*(1+$X$3)^-(AH382/365), "")</f>
        <v>0</v>
      </c>
      <c r="AL382" s="3">
        <f t="shared" ref="AL382:AL383" si="164">IF($A382&lt;&gt;"", AG382-IF(ISNUMBER(K382),K382*L382,0), "")</f>
        <v>0</v>
      </c>
      <c r="AM382" s="3">
        <f t="shared" ref="AM382:AM383" si="165">IF(A382&lt;&gt;"", AL382*(1+$X$6/CompoundingRate)^-(AH382/(365/CompoundingRate)), "")</f>
        <v>0</v>
      </c>
      <c r="AQ382" s="4">
        <f t="shared" ca="1" si="145"/>
        <v>44730</v>
      </c>
      <c r="AR382" s="3">
        <f t="shared" ca="1" si="144"/>
        <v>599340.2099999995</v>
      </c>
      <c r="AS382" s="63">
        <f ca="1">IF($AQ382&lt;&gt;"", INDEX(Inputs!$B$3:$B$101, MATCH($AQ382,Inputs!$A$3:$A$101,1)), "")</f>
        <v>8.5000000000000006E-3</v>
      </c>
      <c r="AT382" s="48">
        <f t="shared" ref="AT382:AT383" ca="1" si="166">IF($AQ382&lt;&gt;"", AR382*AS382/365, "")</f>
        <v>13.957237767123278</v>
      </c>
      <c r="AU382" s="3">
        <f t="shared" ca="1" si="103"/>
        <v>-13.957237767123278</v>
      </c>
      <c r="AV382" s="3">
        <f t="shared" ref="AV382:AV383" ca="1" si="167">IF(AQ382&lt;&gt;"", AU382*(1+$X$9/CompoundingRate)^-((AQ382-AQ$3)/(365/CompoundingRate)), "")</f>
        <v>-13.957237767123278</v>
      </c>
    </row>
    <row r="383" spans="1:48" x14ac:dyDescent="0.2">
      <c r="A383" s="4">
        <v>45719</v>
      </c>
      <c r="B383" s="1" t="s">
        <v>115</v>
      </c>
      <c r="F383" s="3">
        <v>16231.21</v>
      </c>
      <c r="M383" s="3" t="str">
        <f t="shared" si="141"/>
        <v/>
      </c>
      <c r="N383" s="3"/>
      <c r="AA383" s="3">
        <f t="shared" si="157"/>
        <v>3450000</v>
      </c>
      <c r="AB383" s="3">
        <f t="shared" si="158"/>
        <v>3750000.0000000056</v>
      </c>
      <c r="AC383" s="3">
        <f t="shared" si="159"/>
        <v>194824.41999999952</v>
      </c>
      <c r="AD383" s="3">
        <f t="shared" si="160"/>
        <v>3555175.5800000061</v>
      </c>
      <c r="AE383" s="1">
        <f t="shared" ca="1" si="161"/>
        <v>0</v>
      </c>
      <c r="AG383" s="3">
        <f t="shared" si="108"/>
        <v>-16231.21</v>
      </c>
      <c r="AH383" s="1">
        <f t="shared" si="162"/>
        <v>1368</v>
      </c>
      <c r="AI383" s="3">
        <f t="shared" si="163"/>
        <v>-16231.21</v>
      </c>
      <c r="AL383" s="3">
        <f t="shared" si="164"/>
        <v>-16231.21</v>
      </c>
      <c r="AM383" s="3">
        <f t="shared" si="165"/>
        <v>-16231.21</v>
      </c>
      <c r="AQ383" s="4">
        <f t="shared" ca="1" si="145"/>
        <v>44731</v>
      </c>
      <c r="AR383" s="3">
        <f t="shared" ca="1" si="144"/>
        <v>599340.2099999995</v>
      </c>
      <c r="AS383" s="63">
        <f ca="1">IF($AQ383&lt;&gt;"", INDEX(Inputs!$B$3:$B$101, MATCH($AQ383,Inputs!$A$3:$A$101,1)), "")</f>
        <v>8.5000000000000006E-3</v>
      </c>
      <c r="AT383" s="48">
        <f t="shared" ca="1" si="166"/>
        <v>13.957237767123278</v>
      </c>
      <c r="AU383" s="3">
        <f t="shared" ca="1" si="103"/>
        <v>-13.957237767123278</v>
      </c>
      <c r="AV383" s="3">
        <f t="shared" ca="1" si="167"/>
        <v>-13.957237767123278</v>
      </c>
    </row>
    <row r="384" spans="1:48" x14ac:dyDescent="0.2">
      <c r="A384" s="4">
        <v>45719</v>
      </c>
      <c r="B384" s="1" t="s">
        <v>117</v>
      </c>
      <c r="F384" s="3">
        <v>2180.3200000000002</v>
      </c>
      <c r="M384" s="3" t="str">
        <f t="shared" si="141"/>
        <v/>
      </c>
      <c r="N384" s="3"/>
      <c r="AA384" s="3">
        <f t="shared" ref="AA384:AA409" si="168">IF($A384&lt;&gt;"", MIN(AB384,$P$3), "")</f>
        <v>3450000</v>
      </c>
      <c r="AB384" s="3">
        <f t="shared" ref="AB384:AB406" si="169">IF($A384&lt;&gt;"", AC384+AD384, "")</f>
        <v>3750000.0000000056</v>
      </c>
      <c r="AC384" s="3">
        <f t="shared" ref="AC384:AC409" si="170">IF(A384&lt;&gt;"", AC383+D384+F384-G384, "")</f>
        <v>197004.73999999953</v>
      </c>
      <c r="AD384" s="3">
        <f t="shared" ref="AD384:AD409" si="171">IF(A384&lt;&gt;"", AD383+C384-F384+G384, "")</f>
        <v>3552995.2600000063</v>
      </c>
      <c r="AE384" s="1">
        <f t="shared" ref="AE384:AE409" ca="1" si="172">IF(A385&lt;&gt;"", A385-A384, IF(A384&lt;&gt;"",IF(AC384&lt;&gt;0,TODAY()-A384,0), ""))</f>
        <v>1</v>
      </c>
      <c r="AG384" s="3">
        <f t="shared" si="108"/>
        <v>-2180.3200000000002</v>
      </c>
      <c r="AH384" s="1">
        <f t="shared" ref="AH384:AH409" si="173">IF(A384&lt;&gt;"", A384-A$3, "")</f>
        <v>1368</v>
      </c>
      <c r="AI384" s="3">
        <f t="shared" ref="AI384:AI409" si="174">IF(A384&lt;&gt;"", AG384*(1+$X$3)^-(AH384/365), "")</f>
        <v>-2180.3200000000002</v>
      </c>
      <c r="AL384" s="3">
        <f t="shared" ref="AL384:AL406" si="175">IF($A384&lt;&gt;"", AG384-IF(ISNUMBER(K384),K384*L384,0), "")</f>
        <v>-2180.3200000000002</v>
      </c>
      <c r="AM384" s="3">
        <f t="shared" ref="AM384:AM409" si="176">IF(A384&lt;&gt;"", AL384*(1+$X$6/CompoundingRate)^-(AH384/(365/CompoundingRate)), "")</f>
        <v>-2180.3200000000002</v>
      </c>
      <c r="AQ384" s="4">
        <f t="shared" ca="1" si="145"/>
        <v>44732</v>
      </c>
      <c r="AR384" s="3">
        <f t="shared" ref="AR384:AR415" ca="1" si="177">IF($AQ384&lt;&gt;"", INDEX($AC$3:$AC$1055, MATCH($AQ384,$A$3:$A$1055,1)), "")</f>
        <v>599340.2099999995</v>
      </c>
      <c r="AS384" s="63">
        <f ca="1">IF($AQ384&lt;&gt;"", INDEX(Inputs!$B$3:$B$101, MATCH($AQ384,Inputs!$A$3:$A$101,1)), "")</f>
        <v>8.5000000000000006E-3</v>
      </c>
      <c r="AT384" s="48">
        <f t="shared" ref="AT384:AT409" ca="1" si="178">IF($AQ384&lt;&gt;"", AR384*AS384/365, "")</f>
        <v>13.957237767123278</v>
      </c>
      <c r="AU384" s="3">
        <f t="shared" ref="AU384:AU409" ca="1" si="179">IF($AQ384&lt;&gt;"", SUMIFS($AL$3:$AL$1054, $A$3:$A$1054,$AQ384) + SUMIFS($M$3:$M$1054, $A$3:$A$1054,$AQ384)*IFERROR(AVERAGEIFS($L$3:$L$1054, $A$3:$A$1054,$AQ384, $M$3:$M$1054,"&gt;0"),0) - AT384, "")</f>
        <v>-13.957237767123278</v>
      </c>
      <c r="AV384" s="3">
        <f t="shared" ref="AV384:AV409" ca="1" si="180">IF(AQ384&lt;&gt;"", AU384*(1+$X$9/CompoundingRate)^-((AQ384-AQ$3)/(365/CompoundingRate)), "")</f>
        <v>-13.957237767123278</v>
      </c>
    </row>
    <row r="385" spans="1:48" x14ac:dyDescent="0.2">
      <c r="A385" s="4">
        <v>45720</v>
      </c>
      <c r="B385" s="1" t="s">
        <v>114</v>
      </c>
      <c r="G385" s="3">
        <v>0.13</v>
      </c>
      <c r="M385" s="3" t="str">
        <f t="shared" si="141"/>
        <v/>
      </c>
      <c r="N385" s="3"/>
      <c r="AA385" s="3">
        <f t="shared" si="168"/>
        <v>3450000</v>
      </c>
      <c r="AB385" s="3">
        <f t="shared" si="169"/>
        <v>3750000.0000000056</v>
      </c>
      <c r="AC385" s="3">
        <f t="shared" si="170"/>
        <v>197004.60999999952</v>
      </c>
      <c r="AD385" s="3">
        <f t="shared" si="171"/>
        <v>3552995.3900000062</v>
      </c>
      <c r="AE385" s="1">
        <f t="shared" ca="1" si="172"/>
        <v>8</v>
      </c>
      <c r="AG385" s="3">
        <f t="shared" si="108"/>
        <v>0</v>
      </c>
      <c r="AH385" s="1">
        <f t="shared" si="173"/>
        <v>1369</v>
      </c>
      <c r="AI385" s="3">
        <f t="shared" si="174"/>
        <v>0</v>
      </c>
      <c r="AL385" s="3">
        <f t="shared" si="175"/>
        <v>0</v>
      </c>
      <c r="AM385" s="3">
        <f t="shared" si="176"/>
        <v>0</v>
      </c>
      <c r="AQ385" s="4">
        <f t="shared" ca="1" si="145"/>
        <v>44733</v>
      </c>
      <c r="AR385" s="3">
        <f t="shared" ca="1" si="177"/>
        <v>599340.2099999995</v>
      </c>
      <c r="AS385" s="63">
        <f ca="1">IF($AQ385&lt;&gt;"", INDEX(Inputs!$B$3:$B$101, MATCH($AQ385,Inputs!$A$3:$A$101,1)), "")</f>
        <v>8.5000000000000006E-3</v>
      </c>
      <c r="AT385" s="48">
        <f t="shared" ca="1" si="178"/>
        <v>13.957237767123278</v>
      </c>
      <c r="AU385" s="3">
        <f t="shared" ca="1" si="179"/>
        <v>-13.957237767123278</v>
      </c>
      <c r="AV385" s="3">
        <f t="shared" ca="1" si="180"/>
        <v>-13.957237767123278</v>
      </c>
    </row>
    <row r="386" spans="1:48" x14ac:dyDescent="0.2">
      <c r="A386" s="4">
        <v>45728</v>
      </c>
      <c r="B386" s="1" t="s">
        <v>143</v>
      </c>
      <c r="G386" s="3">
        <v>2711.06</v>
      </c>
      <c r="M386" s="3" t="str">
        <f t="shared" si="141"/>
        <v/>
      </c>
      <c r="N386" s="3"/>
      <c r="O386" s="3">
        <f>C377+G386-F387</f>
        <v>541866.49000000011</v>
      </c>
      <c r="AA386" s="3">
        <f t="shared" si="168"/>
        <v>3450000</v>
      </c>
      <c r="AB386" s="3">
        <f t="shared" si="169"/>
        <v>3750000.0000000056</v>
      </c>
      <c r="AC386" s="3">
        <f t="shared" si="170"/>
        <v>194293.54999999952</v>
      </c>
      <c r="AD386" s="3">
        <f t="shared" si="171"/>
        <v>3555706.4500000062</v>
      </c>
      <c r="AE386" s="1">
        <f t="shared" ca="1" si="172"/>
        <v>0</v>
      </c>
      <c r="AG386" s="3">
        <f t="shared" si="108"/>
        <v>0</v>
      </c>
      <c r="AH386" s="1">
        <f t="shared" si="173"/>
        <v>1377</v>
      </c>
      <c r="AI386" s="3">
        <f t="shared" si="174"/>
        <v>0</v>
      </c>
      <c r="AL386" s="3">
        <f t="shared" si="175"/>
        <v>0</v>
      </c>
      <c r="AM386" s="3">
        <f t="shared" si="176"/>
        <v>0</v>
      </c>
      <c r="AQ386" s="4">
        <f t="shared" ca="1" si="145"/>
        <v>44734</v>
      </c>
      <c r="AR386" s="3">
        <f t="shared" ca="1" si="177"/>
        <v>599340.2099999995</v>
      </c>
      <c r="AS386" s="63">
        <f ca="1">IF($AQ386&lt;&gt;"", INDEX(Inputs!$B$3:$B$101, MATCH($AQ386,Inputs!$A$3:$A$101,1)), "")</f>
        <v>8.5000000000000006E-3</v>
      </c>
      <c r="AT386" s="48">
        <f t="shared" ca="1" si="178"/>
        <v>13.957237767123278</v>
      </c>
      <c r="AU386" s="3">
        <f t="shared" ca="1" si="179"/>
        <v>-13.957237767123278</v>
      </c>
      <c r="AV386" s="3">
        <f t="shared" ca="1" si="180"/>
        <v>-13.957237767123278</v>
      </c>
    </row>
    <row r="387" spans="1:48" x14ac:dyDescent="0.2">
      <c r="A387" s="4">
        <v>45728</v>
      </c>
      <c r="B387" s="1" t="s">
        <v>144</v>
      </c>
      <c r="F387" s="3">
        <v>3473.6</v>
      </c>
      <c r="M387" s="3" t="str">
        <f t="shared" si="141"/>
        <v/>
      </c>
      <c r="N387" s="3"/>
      <c r="O387" s="3">
        <f>C342+G353+G360+G366+G373+G381+G385-F355-F362-F368-F375-F383</f>
        <v>2652215.7899999996</v>
      </c>
      <c r="AA387" s="3">
        <f t="shared" si="168"/>
        <v>3450000</v>
      </c>
      <c r="AB387" s="3">
        <f t="shared" si="169"/>
        <v>3750000.0000000056</v>
      </c>
      <c r="AC387" s="3">
        <f t="shared" si="170"/>
        <v>197767.14999999953</v>
      </c>
      <c r="AD387" s="3">
        <f t="shared" si="171"/>
        <v>3552232.8500000061</v>
      </c>
      <c r="AE387" s="1">
        <f t="shared" ca="1" si="172"/>
        <v>16</v>
      </c>
      <c r="AG387" s="3">
        <f t="shared" si="108"/>
        <v>-3473.6</v>
      </c>
      <c r="AH387" s="1">
        <f t="shared" si="173"/>
        <v>1377</v>
      </c>
      <c r="AI387" s="3">
        <f t="shared" si="174"/>
        <v>-3473.6</v>
      </c>
      <c r="AL387" s="3">
        <f t="shared" si="175"/>
        <v>-3473.6</v>
      </c>
      <c r="AM387" s="3">
        <f t="shared" si="176"/>
        <v>-3473.6</v>
      </c>
      <c r="AQ387" s="4">
        <f t="shared" ca="1" si="145"/>
        <v>44735</v>
      </c>
      <c r="AR387" s="3">
        <f t="shared" ca="1" si="177"/>
        <v>599340.2099999995</v>
      </c>
      <c r="AS387" s="63">
        <f ca="1">IF($AQ387&lt;&gt;"", INDEX(Inputs!$B$3:$B$101, MATCH($AQ387,Inputs!$A$3:$A$101,1)), "")</f>
        <v>8.5000000000000006E-3</v>
      </c>
      <c r="AT387" s="48">
        <f t="shared" ca="1" si="178"/>
        <v>13.957237767123278</v>
      </c>
      <c r="AU387" s="3">
        <f t="shared" ca="1" si="179"/>
        <v>-13.957237767123278</v>
      </c>
      <c r="AV387" s="3">
        <f t="shared" ca="1" si="180"/>
        <v>-13.957237767123278</v>
      </c>
    </row>
    <row r="388" spans="1:48" x14ac:dyDescent="0.2">
      <c r="A388" s="4">
        <v>45744</v>
      </c>
      <c r="B388" s="1" t="s">
        <v>80</v>
      </c>
      <c r="H388" s="3">
        <v>224.04</v>
      </c>
      <c r="M388" s="3" t="str">
        <f t="shared" si="141"/>
        <v/>
      </c>
      <c r="N388" s="3"/>
      <c r="O388" s="3">
        <f>C343+G354+G361+G367+G374+G382-F356-F363-F369-F376-F384</f>
        <v>358150.57</v>
      </c>
      <c r="P388" s="3">
        <f>SUM(O386:O388)</f>
        <v>3552232.8499999996</v>
      </c>
      <c r="AA388" s="3">
        <f t="shared" si="168"/>
        <v>3450000</v>
      </c>
      <c r="AB388" s="3">
        <f t="shared" si="169"/>
        <v>3750000.0000000056</v>
      </c>
      <c r="AC388" s="3">
        <f t="shared" si="170"/>
        <v>197767.14999999953</v>
      </c>
      <c r="AD388" s="3">
        <f t="shared" si="171"/>
        <v>3552232.8500000061</v>
      </c>
      <c r="AE388" s="1">
        <f t="shared" ca="1" si="172"/>
        <v>4</v>
      </c>
      <c r="AG388" s="3">
        <f t="shared" ref="AG388:AG451" si="181">IF($A388&lt;&gt;"", I388+J388+E388-F388-H388, "")</f>
        <v>-224.04</v>
      </c>
      <c r="AH388" s="1">
        <f t="shared" si="173"/>
        <v>1393</v>
      </c>
      <c r="AI388" s="3">
        <f t="shared" si="174"/>
        <v>-224.04</v>
      </c>
      <c r="AL388" s="3">
        <f t="shared" si="175"/>
        <v>-224.04</v>
      </c>
      <c r="AM388" s="3">
        <f t="shared" si="176"/>
        <v>-224.04</v>
      </c>
      <c r="AQ388" s="4">
        <f t="shared" ca="1" si="145"/>
        <v>44736</v>
      </c>
      <c r="AR388" s="3">
        <f t="shared" ca="1" si="177"/>
        <v>599340.2099999995</v>
      </c>
      <c r="AS388" s="63">
        <f ca="1">IF($AQ388&lt;&gt;"", INDEX(Inputs!$B$3:$B$101, MATCH($AQ388,Inputs!$A$3:$A$101,1)), "")</f>
        <v>8.5000000000000006E-3</v>
      </c>
      <c r="AT388" s="48">
        <f t="shared" ca="1" si="178"/>
        <v>13.957237767123278</v>
      </c>
      <c r="AU388" s="3">
        <f t="shared" ca="1" si="179"/>
        <v>1886.0427622328766</v>
      </c>
      <c r="AV388" s="3">
        <f t="shared" ca="1" si="180"/>
        <v>1886.0427622328766</v>
      </c>
    </row>
    <row r="389" spans="1:48" x14ac:dyDescent="0.2">
      <c r="A389" s="4">
        <v>45748</v>
      </c>
      <c r="B389" s="1" t="s">
        <v>66</v>
      </c>
      <c r="I389" s="3">
        <v>10862</v>
      </c>
      <c r="M389" s="3" t="str">
        <f t="shared" si="141"/>
        <v/>
      </c>
      <c r="N389" s="3"/>
      <c r="AA389" s="3">
        <f t="shared" si="168"/>
        <v>3450000</v>
      </c>
      <c r="AB389" s="3">
        <f t="shared" si="169"/>
        <v>3750000.0000000056</v>
      </c>
      <c r="AC389" s="3">
        <f t="shared" si="170"/>
        <v>197767.14999999953</v>
      </c>
      <c r="AD389" s="3">
        <f t="shared" si="171"/>
        <v>3552232.8500000061</v>
      </c>
      <c r="AE389" s="1">
        <f t="shared" ca="1" si="172"/>
        <v>0</v>
      </c>
      <c r="AG389" s="3">
        <f t="shared" si="181"/>
        <v>10862</v>
      </c>
      <c r="AH389" s="1">
        <f t="shared" si="173"/>
        <v>1397</v>
      </c>
      <c r="AI389" s="3">
        <f t="shared" si="174"/>
        <v>10862</v>
      </c>
      <c r="AL389" s="3">
        <f t="shared" si="175"/>
        <v>10862</v>
      </c>
      <c r="AM389" s="3">
        <f t="shared" si="176"/>
        <v>10862</v>
      </c>
      <c r="AQ389" s="4">
        <f t="shared" ca="1" si="145"/>
        <v>44737</v>
      </c>
      <c r="AR389" s="3">
        <f t="shared" ca="1" si="177"/>
        <v>599340.2099999995</v>
      </c>
      <c r="AS389" s="63">
        <f ca="1">IF($AQ389&lt;&gt;"", INDEX(Inputs!$B$3:$B$101, MATCH($AQ389,Inputs!$A$3:$A$101,1)), "")</f>
        <v>8.5000000000000006E-3</v>
      </c>
      <c r="AT389" s="48">
        <f t="shared" ca="1" si="178"/>
        <v>13.957237767123278</v>
      </c>
      <c r="AU389" s="3">
        <f t="shared" ca="1" si="179"/>
        <v>-13.957237767123278</v>
      </c>
      <c r="AV389" s="3">
        <f t="shared" ca="1" si="180"/>
        <v>-13.957237767123278</v>
      </c>
    </row>
    <row r="390" spans="1:48" x14ac:dyDescent="0.2">
      <c r="A390" s="4">
        <v>45748</v>
      </c>
      <c r="B390" s="1" t="s">
        <v>114</v>
      </c>
      <c r="G390" s="3">
        <v>12516.15</v>
      </c>
      <c r="N390" s="3"/>
      <c r="AA390" s="3">
        <f t="shared" si="168"/>
        <v>3450000</v>
      </c>
      <c r="AB390" s="3">
        <f t="shared" si="169"/>
        <v>3750000.0000000056</v>
      </c>
      <c r="AC390" s="3">
        <f t="shared" si="170"/>
        <v>185250.99999999953</v>
      </c>
      <c r="AD390" s="3">
        <f t="shared" si="171"/>
        <v>3564749.0000000061</v>
      </c>
      <c r="AE390" s="1">
        <f t="shared" ca="1" si="172"/>
        <v>0</v>
      </c>
      <c r="AG390" s="3">
        <f t="shared" si="181"/>
        <v>0</v>
      </c>
      <c r="AH390" s="1">
        <f t="shared" si="173"/>
        <v>1397</v>
      </c>
      <c r="AI390" s="3">
        <f t="shared" si="174"/>
        <v>0</v>
      </c>
      <c r="AL390" s="3">
        <f t="shared" si="175"/>
        <v>0</v>
      </c>
      <c r="AM390" s="3">
        <f t="shared" si="176"/>
        <v>0</v>
      </c>
      <c r="AQ390" s="4">
        <f t="shared" ca="1" si="145"/>
        <v>44738</v>
      </c>
      <c r="AR390" s="3">
        <f t="shared" ca="1" si="177"/>
        <v>599340.2099999995</v>
      </c>
      <c r="AS390" s="63">
        <f ca="1">IF($AQ390&lt;&gt;"", INDEX(Inputs!$B$3:$B$101, MATCH($AQ390,Inputs!$A$3:$A$101,1)), "")</f>
        <v>8.5000000000000006E-3</v>
      </c>
      <c r="AT390" s="48">
        <f t="shared" ca="1" si="178"/>
        <v>13.957237767123278</v>
      </c>
      <c r="AU390" s="3">
        <f t="shared" ca="1" si="179"/>
        <v>-13.957237767123278</v>
      </c>
      <c r="AV390" s="3">
        <f t="shared" ca="1" si="180"/>
        <v>-13.957237767123278</v>
      </c>
    </row>
    <row r="391" spans="1:48" x14ac:dyDescent="0.2">
      <c r="A391" s="4">
        <v>45748</v>
      </c>
      <c r="B391" s="1" t="s">
        <v>116</v>
      </c>
      <c r="G391" s="3">
        <v>1777.12</v>
      </c>
      <c r="N391" s="3"/>
      <c r="AA391" s="3">
        <f t="shared" si="168"/>
        <v>3450000</v>
      </c>
      <c r="AB391" s="3">
        <f t="shared" si="169"/>
        <v>3750000.0000000056</v>
      </c>
      <c r="AC391" s="3">
        <f t="shared" si="170"/>
        <v>183473.87999999954</v>
      </c>
      <c r="AD391" s="3">
        <f t="shared" si="171"/>
        <v>3566526.1200000062</v>
      </c>
      <c r="AE391" s="1">
        <f t="shared" ca="1" si="172"/>
        <v>0</v>
      </c>
      <c r="AG391" s="3">
        <f t="shared" si="181"/>
        <v>0</v>
      </c>
      <c r="AH391" s="1">
        <f t="shared" si="173"/>
        <v>1397</v>
      </c>
      <c r="AI391" s="3">
        <f t="shared" si="174"/>
        <v>0</v>
      </c>
      <c r="AL391" s="3">
        <f t="shared" si="175"/>
        <v>0</v>
      </c>
      <c r="AM391" s="3">
        <f t="shared" si="176"/>
        <v>0</v>
      </c>
      <c r="AQ391" s="4">
        <f t="shared" ca="1" si="145"/>
        <v>44739</v>
      </c>
      <c r="AR391" s="3">
        <f t="shared" ca="1" si="177"/>
        <v>599340.2099999995</v>
      </c>
      <c r="AS391" s="63">
        <f ca="1">IF($AQ391&lt;&gt;"", INDEX(Inputs!$B$3:$B$101, MATCH($AQ391,Inputs!$A$3:$A$101,1)), "")</f>
        <v>8.5000000000000006E-3</v>
      </c>
      <c r="AT391" s="48">
        <f t="shared" ca="1" si="178"/>
        <v>13.957237767123278</v>
      </c>
      <c r="AU391" s="3">
        <f t="shared" ca="1" si="179"/>
        <v>-13.957237767123278</v>
      </c>
      <c r="AV391" s="3">
        <f t="shared" ca="1" si="180"/>
        <v>-13.957237767123278</v>
      </c>
    </row>
    <row r="392" spans="1:48" x14ac:dyDescent="0.2">
      <c r="A392" s="4">
        <v>45748</v>
      </c>
      <c r="B392" s="1" t="s">
        <v>115</v>
      </c>
      <c r="F392" s="3">
        <v>16231.21</v>
      </c>
      <c r="N392" s="3"/>
      <c r="AA392" s="3">
        <f t="shared" si="168"/>
        <v>3450000</v>
      </c>
      <c r="AB392" s="3">
        <f t="shared" si="169"/>
        <v>3750000.0000000056</v>
      </c>
      <c r="AC392" s="3">
        <f t="shared" si="170"/>
        <v>199705.08999999953</v>
      </c>
      <c r="AD392" s="3">
        <f t="shared" si="171"/>
        <v>3550294.9100000062</v>
      </c>
      <c r="AE392" s="1">
        <f t="shared" ca="1" si="172"/>
        <v>0</v>
      </c>
      <c r="AG392" s="3">
        <f t="shared" si="181"/>
        <v>-16231.21</v>
      </c>
      <c r="AH392" s="1">
        <f t="shared" si="173"/>
        <v>1397</v>
      </c>
      <c r="AI392" s="3">
        <f t="shared" si="174"/>
        <v>-16231.21</v>
      </c>
      <c r="AL392" s="3">
        <f t="shared" si="175"/>
        <v>-16231.21</v>
      </c>
      <c r="AM392" s="3">
        <f t="shared" si="176"/>
        <v>-16231.21</v>
      </c>
      <c r="AQ392" s="4">
        <f t="shared" ca="1" si="145"/>
        <v>44740</v>
      </c>
      <c r="AR392" s="3">
        <f t="shared" ca="1" si="177"/>
        <v>599340.2099999995</v>
      </c>
      <c r="AS392" s="63">
        <f ca="1">IF($AQ392&lt;&gt;"", INDEX(Inputs!$B$3:$B$101, MATCH($AQ392,Inputs!$A$3:$A$101,1)), "")</f>
        <v>8.5000000000000006E-3</v>
      </c>
      <c r="AT392" s="48">
        <f t="shared" ca="1" si="178"/>
        <v>13.957237767123278</v>
      </c>
      <c r="AU392" s="3">
        <f t="shared" ca="1" si="179"/>
        <v>-13.957237767123278</v>
      </c>
      <c r="AV392" s="3">
        <f t="shared" ca="1" si="180"/>
        <v>-13.957237767123278</v>
      </c>
    </row>
    <row r="393" spans="1:48" x14ac:dyDescent="0.2">
      <c r="A393" s="4">
        <v>45748</v>
      </c>
      <c r="B393" s="1" t="s">
        <v>117</v>
      </c>
      <c r="F393" s="3">
        <v>2180.3200000000002</v>
      </c>
      <c r="N393" s="3"/>
      <c r="AA393" s="3">
        <f t="shared" si="168"/>
        <v>3450000</v>
      </c>
      <c r="AB393" s="3">
        <f t="shared" si="169"/>
        <v>3750000.0000000061</v>
      </c>
      <c r="AC393" s="3">
        <f t="shared" si="170"/>
        <v>201885.40999999954</v>
      </c>
      <c r="AD393" s="3">
        <f t="shared" si="171"/>
        <v>3548114.5900000064</v>
      </c>
      <c r="AE393" s="1">
        <f t="shared" ca="1" si="172"/>
        <v>13</v>
      </c>
      <c r="AG393" s="3">
        <f t="shared" si="181"/>
        <v>-2180.3200000000002</v>
      </c>
      <c r="AH393" s="1">
        <f t="shared" si="173"/>
        <v>1397</v>
      </c>
      <c r="AI393" s="3">
        <f t="shared" si="174"/>
        <v>-2180.3200000000002</v>
      </c>
      <c r="AL393" s="3">
        <f t="shared" si="175"/>
        <v>-2180.3200000000002</v>
      </c>
      <c r="AM393" s="3">
        <f t="shared" si="176"/>
        <v>-2180.3200000000002</v>
      </c>
      <c r="AQ393" s="4">
        <f t="shared" ca="1" si="145"/>
        <v>44741</v>
      </c>
      <c r="AR393" s="3">
        <f t="shared" ca="1" si="177"/>
        <v>599340.2099999995</v>
      </c>
      <c r="AS393" s="63">
        <f ca="1">IF($AQ393&lt;&gt;"", INDEX(Inputs!$B$3:$B$101, MATCH($AQ393,Inputs!$A$3:$A$101,1)), "")</f>
        <v>8.5000000000000006E-3</v>
      </c>
      <c r="AT393" s="48">
        <f t="shared" ca="1" si="178"/>
        <v>13.957237767123278</v>
      </c>
      <c r="AU393" s="3">
        <f t="shared" ca="1" si="179"/>
        <v>-13.957237767123278</v>
      </c>
      <c r="AV393" s="3">
        <f t="shared" ca="1" si="180"/>
        <v>-13.957237767123278</v>
      </c>
    </row>
    <row r="394" spans="1:48" x14ac:dyDescent="0.2">
      <c r="A394" s="4">
        <v>45761</v>
      </c>
      <c r="B394" s="1" t="s">
        <v>143</v>
      </c>
      <c r="G394" s="3">
        <v>2790.21</v>
      </c>
      <c r="N394" s="3"/>
      <c r="AA394" s="3">
        <f t="shared" si="168"/>
        <v>3450000</v>
      </c>
      <c r="AB394" s="3">
        <f t="shared" si="169"/>
        <v>3750000.0000000061</v>
      </c>
      <c r="AC394" s="3">
        <f t="shared" si="170"/>
        <v>199095.19999999955</v>
      </c>
      <c r="AD394" s="3">
        <f t="shared" si="171"/>
        <v>3550904.8000000063</v>
      </c>
      <c r="AE394" s="1">
        <f t="shared" ca="1" si="172"/>
        <v>0</v>
      </c>
      <c r="AG394" s="3">
        <f t="shared" si="181"/>
        <v>0</v>
      </c>
      <c r="AH394" s="1">
        <f t="shared" si="173"/>
        <v>1410</v>
      </c>
      <c r="AI394" s="3">
        <f t="shared" si="174"/>
        <v>0</v>
      </c>
      <c r="AL394" s="3">
        <f t="shared" si="175"/>
        <v>0</v>
      </c>
      <c r="AM394" s="3">
        <f t="shared" si="176"/>
        <v>0</v>
      </c>
      <c r="AQ394" s="4">
        <f t="shared" ca="1" si="145"/>
        <v>44742</v>
      </c>
      <c r="AR394" s="3">
        <f t="shared" ca="1" si="177"/>
        <v>594164.44999999949</v>
      </c>
      <c r="AS394" s="63">
        <f ca="1">IF($AQ394&lt;&gt;"", INDEX(Inputs!$B$3:$B$101, MATCH($AQ394,Inputs!$A$3:$A$101,1)), "")</f>
        <v>8.5000000000000006E-3</v>
      </c>
      <c r="AT394" s="48">
        <f t="shared" ca="1" si="178"/>
        <v>13.836706369863004</v>
      </c>
      <c r="AU394" s="3">
        <f t="shared" ca="1" si="179"/>
        <v>-5569.8318228472635</v>
      </c>
      <c r="AV394" s="3">
        <f t="shared" ca="1" si="180"/>
        <v>-5569.8318228472635</v>
      </c>
    </row>
    <row r="395" spans="1:48" x14ac:dyDescent="0.2">
      <c r="A395" s="4">
        <v>45761</v>
      </c>
      <c r="B395" s="1" t="s">
        <v>144</v>
      </c>
      <c r="F395" s="3">
        <v>3473.6</v>
      </c>
      <c r="N395" s="3"/>
      <c r="AA395" s="3">
        <f t="shared" si="168"/>
        <v>3450000</v>
      </c>
      <c r="AB395" s="3">
        <f t="shared" si="169"/>
        <v>3750000.0000000056</v>
      </c>
      <c r="AC395" s="3">
        <f t="shared" si="170"/>
        <v>202568.79999999955</v>
      </c>
      <c r="AD395" s="3">
        <f t="shared" si="171"/>
        <v>3547431.2000000062</v>
      </c>
      <c r="AE395" s="1">
        <f t="shared" ca="1" si="172"/>
        <v>17</v>
      </c>
      <c r="AG395" s="3">
        <f t="shared" si="181"/>
        <v>-3473.6</v>
      </c>
      <c r="AH395" s="1">
        <f t="shared" si="173"/>
        <v>1410</v>
      </c>
      <c r="AI395" s="3">
        <f t="shared" si="174"/>
        <v>-3473.6</v>
      </c>
      <c r="AL395" s="3">
        <f t="shared" si="175"/>
        <v>-3473.6</v>
      </c>
      <c r="AM395" s="3">
        <f t="shared" si="176"/>
        <v>-3473.6</v>
      </c>
      <c r="AQ395" s="4">
        <f t="shared" ca="1" si="145"/>
        <v>44743</v>
      </c>
      <c r="AR395" s="3">
        <f t="shared" ca="1" si="177"/>
        <v>594164.44999999949</v>
      </c>
      <c r="AS395" s="63">
        <f ca="1">IF($AQ395&lt;&gt;"", INDEX(Inputs!$B$3:$B$101, MATCH($AQ395,Inputs!$A$3:$A$101,1)), "")</f>
        <v>8.5000000000000006E-3</v>
      </c>
      <c r="AT395" s="48">
        <f t="shared" ca="1" si="178"/>
        <v>13.836706369863004</v>
      </c>
      <c r="AU395" s="3">
        <f t="shared" ca="1" si="179"/>
        <v>1886.1632936301371</v>
      </c>
      <c r="AV395" s="3">
        <f t="shared" ca="1" si="180"/>
        <v>1886.1632936301371</v>
      </c>
    </row>
    <row r="396" spans="1:48" x14ac:dyDescent="0.2">
      <c r="A396" s="4">
        <v>45778</v>
      </c>
      <c r="B396" s="1" t="s">
        <v>50</v>
      </c>
      <c r="H396" s="3">
        <v>4172.5200000000004</v>
      </c>
      <c r="N396" s="3"/>
      <c r="AA396" s="3">
        <f t="shared" si="168"/>
        <v>3450000</v>
      </c>
      <c r="AB396" s="3">
        <f t="shared" si="169"/>
        <v>3750000.0000000056</v>
      </c>
      <c r="AC396" s="3">
        <f t="shared" si="170"/>
        <v>202568.79999999955</v>
      </c>
      <c r="AD396" s="3">
        <f t="shared" si="171"/>
        <v>3547431.2000000062</v>
      </c>
      <c r="AE396" s="1">
        <f t="shared" ca="1" si="172"/>
        <v>0</v>
      </c>
      <c r="AG396" s="3">
        <f t="shared" si="181"/>
        <v>-4172.5200000000004</v>
      </c>
      <c r="AH396" s="1">
        <f t="shared" si="173"/>
        <v>1427</v>
      </c>
      <c r="AI396" s="3">
        <f t="shared" si="174"/>
        <v>-4172.5200000000004</v>
      </c>
      <c r="AL396" s="3">
        <f t="shared" si="175"/>
        <v>-4172.5200000000004</v>
      </c>
      <c r="AM396" s="3">
        <f t="shared" si="176"/>
        <v>-4172.5200000000004</v>
      </c>
      <c r="AQ396" s="4">
        <f t="shared" ca="1" si="145"/>
        <v>44744</v>
      </c>
      <c r="AR396" s="3">
        <f t="shared" ca="1" si="177"/>
        <v>594164.44999999949</v>
      </c>
      <c r="AS396" s="63">
        <f ca="1">IF($AQ396&lt;&gt;"", INDEX(Inputs!$B$3:$B$101, MATCH($AQ396,Inputs!$A$3:$A$101,1)), "")</f>
        <v>8.5000000000000006E-3</v>
      </c>
      <c r="AT396" s="48">
        <f t="shared" ca="1" si="178"/>
        <v>13.836706369863004</v>
      </c>
      <c r="AU396" s="3">
        <f t="shared" ca="1" si="179"/>
        <v>-13.836706369863004</v>
      </c>
      <c r="AV396" s="3">
        <f t="shared" ca="1" si="180"/>
        <v>-13.836706369863004</v>
      </c>
    </row>
    <row r="397" spans="1:48" x14ac:dyDescent="0.2">
      <c r="A397" s="4">
        <v>45778</v>
      </c>
      <c r="B397" s="1" t="s">
        <v>114</v>
      </c>
      <c r="G397" s="3">
        <v>12177.32</v>
      </c>
      <c r="N397" s="3"/>
      <c r="AA397" s="3">
        <f t="shared" si="168"/>
        <v>3450000</v>
      </c>
      <c r="AB397" s="3">
        <f t="shared" si="169"/>
        <v>3750000.0000000056</v>
      </c>
      <c r="AC397" s="3">
        <f t="shared" si="170"/>
        <v>190391.47999999954</v>
      </c>
      <c r="AD397" s="3">
        <f t="shared" si="171"/>
        <v>3559608.5200000061</v>
      </c>
      <c r="AE397" s="1">
        <f t="shared" ca="1" si="172"/>
        <v>0</v>
      </c>
      <c r="AG397" s="3">
        <f t="shared" si="181"/>
        <v>0</v>
      </c>
      <c r="AH397" s="1">
        <f t="shared" si="173"/>
        <v>1427</v>
      </c>
      <c r="AI397" s="3">
        <f t="shared" si="174"/>
        <v>0</v>
      </c>
      <c r="AL397" s="3">
        <f t="shared" si="175"/>
        <v>0</v>
      </c>
      <c r="AM397" s="3">
        <f t="shared" si="176"/>
        <v>0</v>
      </c>
      <c r="AQ397" s="4">
        <f t="shared" ca="1" si="145"/>
        <v>44745</v>
      </c>
      <c r="AR397" s="3">
        <f t="shared" ca="1" si="177"/>
        <v>594164.44999999949</v>
      </c>
      <c r="AS397" s="63">
        <f ca="1">IF($AQ397&lt;&gt;"", INDEX(Inputs!$B$3:$B$101, MATCH($AQ397,Inputs!$A$3:$A$101,1)), "")</f>
        <v>8.5000000000000006E-3</v>
      </c>
      <c r="AT397" s="48">
        <f t="shared" ca="1" si="178"/>
        <v>13.836706369863004</v>
      </c>
      <c r="AU397" s="3">
        <f t="shared" ca="1" si="179"/>
        <v>-13.836706369863004</v>
      </c>
      <c r="AV397" s="3">
        <f t="shared" ca="1" si="180"/>
        <v>-13.836706369863004</v>
      </c>
    </row>
    <row r="398" spans="1:48" x14ac:dyDescent="0.2">
      <c r="A398" s="4">
        <v>45778</v>
      </c>
      <c r="B398" s="1" t="s">
        <v>116</v>
      </c>
      <c r="G398" s="3">
        <v>1717.19</v>
      </c>
      <c r="M398" s="3" t="str">
        <f>IF($A398&lt;&gt;"", IF(ISNUMBER(SEARCH("Debt Cost (est.)",B398)), SUMIFS(AT:AT, AQ:AQ, "&gt;="&amp;DATE("20"&amp;RIGHT(LEFT(B398,4),2)-1,7,1), AQ:AQ, "&lt;="&amp;DATE("20"&amp;RIGHT(LEFT(B398,4),2),6,30)), ""), "")</f>
        <v/>
      </c>
      <c r="N398" s="3"/>
      <c r="AA398" s="3">
        <f t="shared" si="168"/>
        <v>3450000</v>
      </c>
      <c r="AB398" s="3">
        <f t="shared" si="169"/>
        <v>3750000.0000000056</v>
      </c>
      <c r="AC398" s="3">
        <f t="shared" si="170"/>
        <v>188674.28999999954</v>
      </c>
      <c r="AD398" s="3">
        <f t="shared" si="171"/>
        <v>3561325.710000006</v>
      </c>
      <c r="AE398" s="1">
        <f t="shared" ca="1" si="172"/>
        <v>0</v>
      </c>
      <c r="AG398" s="3">
        <f t="shared" si="181"/>
        <v>0</v>
      </c>
      <c r="AH398" s="1">
        <f t="shared" si="173"/>
        <v>1427</v>
      </c>
      <c r="AI398" s="3">
        <f t="shared" si="174"/>
        <v>0</v>
      </c>
      <c r="AL398" s="3">
        <f t="shared" si="175"/>
        <v>0</v>
      </c>
      <c r="AM398" s="3">
        <f t="shared" si="176"/>
        <v>0</v>
      </c>
      <c r="AQ398" s="4">
        <f t="shared" ca="1" si="145"/>
        <v>44746</v>
      </c>
      <c r="AR398" s="3">
        <f t="shared" ca="1" si="177"/>
        <v>594164.44999999949</v>
      </c>
      <c r="AS398" s="63">
        <f ca="1">IF($AQ398&lt;&gt;"", INDEX(Inputs!$B$3:$B$101, MATCH($AQ398,Inputs!$A$3:$A$101,1)), "")</f>
        <v>8.5000000000000006E-3</v>
      </c>
      <c r="AT398" s="48">
        <f t="shared" ca="1" si="178"/>
        <v>13.836706369863004</v>
      </c>
      <c r="AU398" s="3">
        <f t="shared" ca="1" si="179"/>
        <v>-13.836706369863004</v>
      </c>
      <c r="AV398" s="3">
        <f t="shared" ca="1" si="180"/>
        <v>-13.836706369863004</v>
      </c>
    </row>
    <row r="399" spans="1:48" x14ac:dyDescent="0.2">
      <c r="A399" s="4">
        <v>45778</v>
      </c>
      <c r="B399" s="1" t="s">
        <v>115</v>
      </c>
      <c r="F399" s="3">
        <v>16231.21</v>
      </c>
      <c r="N399" s="3"/>
      <c r="AA399" s="3">
        <f t="shared" si="168"/>
        <v>3450000</v>
      </c>
      <c r="AB399" s="3">
        <f t="shared" si="169"/>
        <v>3750000.0000000056</v>
      </c>
      <c r="AC399" s="3">
        <f t="shared" si="170"/>
        <v>204905.49999999953</v>
      </c>
      <c r="AD399" s="3">
        <f t="shared" si="171"/>
        <v>3545094.5000000061</v>
      </c>
      <c r="AE399" s="1">
        <f t="shared" ca="1" si="172"/>
        <v>0</v>
      </c>
      <c r="AG399" s="3">
        <f t="shared" si="181"/>
        <v>-16231.21</v>
      </c>
      <c r="AH399" s="1">
        <f t="shared" si="173"/>
        <v>1427</v>
      </c>
      <c r="AI399" s="3">
        <f t="shared" si="174"/>
        <v>-16231.21</v>
      </c>
      <c r="AL399" s="3">
        <f t="shared" si="175"/>
        <v>-16231.21</v>
      </c>
      <c r="AM399" s="3">
        <f t="shared" si="176"/>
        <v>-16231.21</v>
      </c>
      <c r="AQ399" s="4">
        <f t="shared" ca="1" si="145"/>
        <v>44747</v>
      </c>
      <c r="AR399" s="3">
        <f t="shared" ca="1" si="177"/>
        <v>594164.44999999949</v>
      </c>
      <c r="AS399" s="63">
        <f ca="1">IF($AQ399&lt;&gt;"", INDEX(Inputs!$B$3:$B$101, MATCH($AQ399,Inputs!$A$3:$A$101,1)), "")</f>
        <v>8.5000000000000006E-3</v>
      </c>
      <c r="AT399" s="48">
        <f t="shared" ca="1" si="178"/>
        <v>13.836706369863004</v>
      </c>
      <c r="AU399" s="3">
        <f t="shared" ca="1" si="179"/>
        <v>-13.836706369863004</v>
      </c>
      <c r="AV399" s="3">
        <f t="shared" ca="1" si="180"/>
        <v>-13.836706369863004</v>
      </c>
    </row>
    <row r="400" spans="1:48" x14ac:dyDescent="0.2">
      <c r="A400" s="4">
        <v>45778</v>
      </c>
      <c r="B400" s="1" t="s">
        <v>117</v>
      </c>
      <c r="F400" s="3">
        <v>2180.3200000000002</v>
      </c>
      <c r="N400" s="3"/>
      <c r="AA400" s="3">
        <f t="shared" si="168"/>
        <v>3450000</v>
      </c>
      <c r="AB400" s="3">
        <f t="shared" si="169"/>
        <v>3750000.0000000056</v>
      </c>
      <c r="AC400" s="3">
        <f t="shared" si="170"/>
        <v>207085.81999999954</v>
      </c>
      <c r="AD400" s="3">
        <f t="shared" si="171"/>
        <v>3542914.1800000062</v>
      </c>
      <c r="AE400" s="1">
        <f t="shared" ca="1" si="172"/>
        <v>11</v>
      </c>
      <c r="AG400" s="3">
        <f t="shared" si="181"/>
        <v>-2180.3200000000002</v>
      </c>
      <c r="AH400" s="1">
        <f t="shared" si="173"/>
        <v>1427</v>
      </c>
      <c r="AI400" s="3">
        <f t="shared" si="174"/>
        <v>-2180.3200000000002</v>
      </c>
      <c r="AL400" s="3">
        <f t="shared" si="175"/>
        <v>-2180.3200000000002</v>
      </c>
      <c r="AM400" s="3">
        <f t="shared" si="176"/>
        <v>-2180.3200000000002</v>
      </c>
      <c r="AQ400" s="4">
        <f t="shared" ca="1" si="145"/>
        <v>44748</v>
      </c>
      <c r="AR400" s="3">
        <f t="shared" ca="1" si="177"/>
        <v>594164.44999999949</v>
      </c>
      <c r="AS400" s="63">
        <f ca="1">IF($AQ400&lt;&gt;"", INDEX(Inputs!$B$3:$B$101, MATCH($AQ400,Inputs!$A$3:$A$101,1)), "")</f>
        <v>1.35E-2</v>
      </c>
      <c r="AT400" s="48">
        <f t="shared" ca="1" si="178"/>
        <v>21.975945410958886</v>
      </c>
      <c r="AU400" s="3">
        <f t="shared" ca="1" si="179"/>
        <v>-21.975945410958886</v>
      </c>
      <c r="AV400" s="3">
        <f t="shared" ca="1" si="180"/>
        <v>-21.975945410958886</v>
      </c>
    </row>
    <row r="401" spans="1:48" x14ac:dyDescent="0.2">
      <c r="A401" s="4">
        <v>45789</v>
      </c>
      <c r="B401" s="1" t="s">
        <v>143</v>
      </c>
      <c r="G401" s="3">
        <v>1268.58</v>
      </c>
      <c r="N401" s="3"/>
      <c r="AA401" s="3">
        <f t="shared" si="168"/>
        <v>3450000</v>
      </c>
      <c r="AB401" s="3">
        <f t="shared" si="169"/>
        <v>3750000.0000000061</v>
      </c>
      <c r="AC401" s="3">
        <f t="shared" si="170"/>
        <v>205817.23999999955</v>
      </c>
      <c r="AD401" s="3">
        <f t="shared" si="171"/>
        <v>3544182.7600000063</v>
      </c>
      <c r="AE401" s="1">
        <f t="shared" ca="1" si="172"/>
        <v>0</v>
      </c>
      <c r="AG401" s="3">
        <f t="shared" si="181"/>
        <v>0</v>
      </c>
      <c r="AH401" s="1">
        <f t="shared" si="173"/>
        <v>1438</v>
      </c>
      <c r="AI401" s="3">
        <f t="shared" si="174"/>
        <v>0</v>
      </c>
      <c r="AL401" s="3">
        <f t="shared" si="175"/>
        <v>0</v>
      </c>
      <c r="AM401" s="3">
        <f t="shared" si="176"/>
        <v>0</v>
      </c>
      <c r="AQ401" s="4">
        <f t="shared" ref="AQ401:AQ432" ca="1" si="182">IF(AQ400&lt;$AP$3,AQ400+1,"")</f>
        <v>44749</v>
      </c>
      <c r="AR401" s="3">
        <f t="shared" ca="1" si="177"/>
        <v>594164.44999999949</v>
      </c>
      <c r="AS401" s="63">
        <f ca="1">IF($AQ401&lt;&gt;"", INDEX(Inputs!$B$3:$B$101, MATCH($AQ401,Inputs!$A$3:$A$101,1)), "")</f>
        <v>1.35E-2</v>
      </c>
      <c r="AT401" s="48">
        <f t="shared" ca="1" si="178"/>
        <v>21.975945410958886</v>
      </c>
      <c r="AU401" s="3">
        <f t="shared" ca="1" si="179"/>
        <v>-21.975945410958886</v>
      </c>
      <c r="AV401" s="3">
        <f t="shared" ca="1" si="180"/>
        <v>-21.975945410958886</v>
      </c>
    </row>
    <row r="402" spans="1:48" x14ac:dyDescent="0.2">
      <c r="A402" s="4">
        <v>45789</v>
      </c>
      <c r="B402" s="1" t="s">
        <v>144</v>
      </c>
      <c r="F402" s="3">
        <v>3473.6</v>
      </c>
      <c r="N402" s="3"/>
      <c r="AA402" s="3">
        <f t="shared" si="168"/>
        <v>3450000</v>
      </c>
      <c r="AB402" s="3">
        <f t="shared" si="169"/>
        <v>3750000.0000000056</v>
      </c>
      <c r="AC402" s="3">
        <f t="shared" si="170"/>
        <v>209290.83999999956</v>
      </c>
      <c r="AD402" s="3">
        <f t="shared" si="171"/>
        <v>3540709.1600000062</v>
      </c>
      <c r="AE402" s="1">
        <f t="shared" ca="1" si="172"/>
        <v>21</v>
      </c>
      <c r="AG402" s="3">
        <f t="shared" si="181"/>
        <v>-3473.6</v>
      </c>
      <c r="AH402" s="1">
        <f t="shared" si="173"/>
        <v>1438</v>
      </c>
      <c r="AI402" s="3">
        <f t="shared" si="174"/>
        <v>-3473.6</v>
      </c>
      <c r="AL402" s="3">
        <f t="shared" si="175"/>
        <v>-3473.6</v>
      </c>
      <c r="AM402" s="3">
        <f t="shared" si="176"/>
        <v>-3473.6</v>
      </c>
      <c r="AQ402" s="4">
        <f t="shared" ca="1" si="182"/>
        <v>44750</v>
      </c>
      <c r="AR402" s="3">
        <f t="shared" ca="1" si="177"/>
        <v>594164.44999999949</v>
      </c>
      <c r="AS402" s="63">
        <f ca="1">IF($AQ402&lt;&gt;"", INDEX(Inputs!$B$3:$B$101, MATCH($AQ402,Inputs!$A$3:$A$101,1)), "")</f>
        <v>1.35E-2</v>
      </c>
      <c r="AT402" s="48">
        <f t="shared" ca="1" si="178"/>
        <v>21.975945410958886</v>
      </c>
      <c r="AU402" s="3">
        <f t="shared" ca="1" si="179"/>
        <v>1878.024054589041</v>
      </c>
      <c r="AV402" s="3">
        <f t="shared" ca="1" si="180"/>
        <v>1878.024054589041</v>
      </c>
    </row>
    <row r="403" spans="1:48" x14ac:dyDescent="0.2">
      <c r="A403" s="4">
        <v>45810</v>
      </c>
      <c r="B403" s="1" t="s">
        <v>114</v>
      </c>
      <c r="G403" s="3">
        <v>12764.12</v>
      </c>
      <c r="N403" s="3"/>
      <c r="AA403" s="3">
        <f t="shared" si="168"/>
        <v>3450000</v>
      </c>
      <c r="AB403" s="3">
        <f t="shared" si="169"/>
        <v>3750000.0000000061</v>
      </c>
      <c r="AC403" s="3">
        <f t="shared" si="170"/>
        <v>196526.71999999956</v>
      </c>
      <c r="AD403" s="3">
        <f t="shared" si="171"/>
        <v>3553473.2800000063</v>
      </c>
      <c r="AE403" s="1">
        <f t="shared" ca="1" si="172"/>
        <v>0</v>
      </c>
      <c r="AG403" s="3">
        <f t="shared" si="181"/>
        <v>0</v>
      </c>
      <c r="AH403" s="1">
        <f t="shared" si="173"/>
        <v>1459</v>
      </c>
      <c r="AI403" s="3">
        <f t="shared" si="174"/>
        <v>0</v>
      </c>
      <c r="AL403" s="3">
        <f t="shared" si="175"/>
        <v>0</v>
      </c>
      <c r="AM403" s="3">
        <f t="shared" si="176"/>
        <v>0</v>
      </c>
      <c r="AQ403" s="4">
        <f t="shared" ca="1" si="182"/>
        <v>44751</v>
      </c>
      <c r="AR403" s="3">
        <f t="shared" ca="1" si="177"/>
        <v>594164.44999999949</v>
      </c>
      <c r="AS403" s="63">
        <f ca="1">IF($AQ403&lt;&gt;"", INDEX(Inputs!$B$3:$B$101, MATCH($AQ403,Inputs!$A$3:$A$101,1)), "")</f>
        <v>1.35E-2</v>
      </c>
      <c r="AT403" s="48">
        <f t="shared" ca="1" si="178"/>
        <v>21.975945410958886</v>
      </c>
      <c r="AU403" s="3">
        <f t="shared" ca="1" si="179"/>
        <v>-21.975945410958886</v>
      </c>
      <c r="AV403" s="3">
        <f t="shared" ca="1" si="180"/>
        <v>-21.975945410958886</v>
      </c>
    </row>
    <row r="404" spans="1:48" x14ac:dyDescent="0.2">
      <c r="A404" s="4">
        <v>45810</v>
      </c>
      <c r="B404" s="1" t="s">
        <v>116</v>
      </c>
      <c r="G404" s="3">
        <v>1767.24</v>
      </c>
      <c r="M404" s="3" t="str">
        <f t="shared" ref="M404:M435" si="183">IF($A404&lt;&gt;"", IF(ISNUMBER(SEARCH("Debt Cost (est.)",B404)), SUMIFS(AT:AT, AQ:AQ, "&gt;="&amp;DATE("20"&amp;RIGHT(LEFT(B404,4),2)-1,7,1), AQ:AQ, "&lt;="&amp;DATE("20"&amp;RIGHT(LEFT(B404,4),2),6,30)), ""), "")</f>
        <v/>
      </c>
      <c r="N404" s="3"/>
      <c r="AA404" s="3">
        <f t="shared" si="168"/>
        <v>3450000</v>
      </c>
      <c r="AB404" s="3">
        <f t="shared" si="169"/>
        <v>3750000.0000000061</v>
      </c>
      <c r="AC404" s="3">
        <f t="shared" si="170"/>
        <v>194759.47999999957</v>
      </c>
      <c r="AD404" s="3">
        <f t="shared" si="171"/>
        <v>3555240.5200000065</v>
      </c>
      <c r="AE404" s="1">
        <f t="shared" ca="1" si="172"/>
        <v>0</v>
      </c>
      <c r="AG404" s="3">
        <f t="shared" si="181"/>
        <v>0</v>
      </c>
      <c r="AH404" s="1">
        <f t="shared" si="173"/>
        <v>1459</v>
      </c>
      <c r="AI404" s="3">
        <f t="shared" si="174"/>
        <v>0</v>
      </c>
      <c r="AL404" s="3">
        <f t="shared" si="175"/>
        <v>0</v>
      </c>
      <c r="AM404" s="3">
        <f t="shared" si="176"/>
        <v>0</v>
      </c>
      <c r="AQ404" s="4">
        <f t="shared" ca="1" si="182"/>
        <v>44752</v>
      </c>
      <c r="AR404" s="3">
        <f t="shared" ca="1" si="177"/>
        <v>594164.44999999949</v>
      </c>
      <c r="AS404" s="63">
        <f ca="1">IF($AQ404&lt;&gt;"", INDEX(Inputs!$B$3:$B$101, MATCH($AQ404,Inputs!$A$3:$A$101,1)), "")</f>
        <v>1.35E-2</v>
      </c>
      <c r="AT404" s="48">
        <f t="shared" ca="1" si="178"/>
        <v>21.975945410958886</v>
      </c>
      <c r="AU404" s="3">
        <f t="shared" ca="1" si="179"/>
        <v>-21.975945410958886</v>
      </c>
      <c r="AV404" s="3">
        <f t="shared" ca="1" si="180"/>
        <v>-21.975945410958886</v>
      </c>
    </row>
    <row r="405" spans="1:48" x14ac:dyDescent="0.2">
      <c r="A405" s="4">
        <v>45810</v>
      </c>
      <c r="B405" s="1" t="s">
        <v>115</v>
      </c>
      <c r="F405" s="3">
        <v>16231.21</v>
      </c>
      <c r="M405" s="3" t="str">
        <f t="shared" si="183"/>
        <v/>
      </c>
      <c r="N405" s="3"/>
      <c r="AA405" s="3">
        <f t="shared" si="168"/>
        <v>3450000</v>
      </c>
      <c r="AB405" s="3">
        <f t="shared" si="169"/>
        <v>3750000.0000000061</v>
      </c>
      <c r="AC405" s="3">
        <f t="shared" si="170"/>
        <v>210990.68999999957</v>
      </c>
      <c r="AD405" s="3">
        <f t="shared" si="171"/>
        <v>3539009.3100000066</v>
      </c>
      <c r="AE405" s="1">
        <f t="shared" ca="1" si="172"/>
        <v>0</v>
      </c>
      <c r="AG405" s="3">
        <f t="shared" si="181"/>
        <v>-16231.21</v>
      </c>
      <c r="AH405" s="1">
        <f t="shared" si="173"/>
        <v>1459</v>
      </c>
      <c r="AI405" s="3">
        <f t="shared" si="174"/>
        <v>-16231.21</v>
      </c>
      <c r="AL405" s="3">
        <f t="shared" si="175"/>
        <v>-16231.21</v>
      </c>
      <c r="AM405" s="3">
        <f t="shared" si="176"/>
        <v>-16231.21</v>
      </c>
      <c r="AQ405" s="4">
        <f t="shared" ca="1" si="182"/>
        <v>44753</v>
      </c>
      <c r="AR405" s="3">
        <f t="shared" ca="1" si="177"/>
        <v>594164.44999999949</v>
      </c>
      <c r="AS405" s="63">
        <f ca="1">IF($AQ405&lt;&gt;"", INDEX(Inputs!$B$3:$B$101, MATCH($AQ405,Inputs!$A$3:$A$101,1)), "")</f>
        <v>1.35E-2</v>
      </c>
      <c r="AT405" s="48">
        <f t="shared" ca="1" si="178"/>
        <v>21.975945410958886</v>
      </c>
      <c r="AU405" s="3">
        <f t="shared" ca="1" si="179"/>
        <v>-21.975945410958886</v>
      </c>
      <c r="AV405" s="3">
        <f t="shared" ca="1" si="180"/>
        <v>-21.975945410958886</v>
      </c>
    </row>
    <row r="406" spans="1:48" x14ac:dyDescent="0.2">
      <c r="A406" s="4">
        <v>45810</v>
      </c>
      <c r="B406" s="1" t="s">
        <v>117</v>
      </c>
      <c r="F406" s="3">
        <v>2180.3200000000002</v>
      </c>
      <c r="M406" s="3" t="str">
        <f t="shared" si="183"/>
        <v/>
      </c>
      <c r="N406" s="3"/>
      <c r="AA406" s="3">
        <f t="shared" si="168"/>
        <v>3450000</v>
      </c>
      <c r="AB406" s="3">
        <f t="shared" si="169"/>
        <v>3750000.0000000065</v>
      </c>
      <c r="AC406" s="3">
        <f t="shared" si="170"/>
        <v>213171.00999999957</v>
      </c>
      <c r="AD406" s="3">
        <f t="shared" si="171"/>
        <v>3536828.9900000067</v>
      </c>
      <c r="AE406" s="1">
        <f t="shared" ca="1" si="172"/>
        <v>0</v>
      </c>
      <c r="AG406" s="3">
        <f t="shared" si="181"/>
        <v>-2180.3200000000002</v>
      </c>
      <c r="AH406" s="1">
        <f t="shared" si="173"/>
        <v>1459</v>
      </c>
      <c r="AI406" s="3">
        <f t="shared" si="174"/>
        <v>-2180.3200000000002</v>
      </c>
      <c r="AL406" s="3">
        <f t="shared" si="175"/>
        <v>-2180.3200000000002</v>
      </c>
      <c r="AM406" s="3">
        <f t="shared" si="176"/>
        <v>-2180.3200000000002</v>
      </c>
      <c r="AQ406" s="4">
        <f t="shared" ca="1" si="182"/>
        <v>44754</v>
      </c>
      <c r="AR406" s="3">
        <f t="shared" ca="1" si="177"/>
        <v>594164.44999999949</v>
      </c>
      <c r="AS406" s="63">
        <f ca="1">IF($AQ406&lt;&gt;"", INDEX(Inputs!$B$3:$B$101, MATCH($AQ406,Inputs!$A$3:$A$101,1)), "")</f>
        <v>1.35E-2</v>
      </c>
      <c r="AT406" s="48">
        <f t="shared" ca="1" si="178"/>
        <v>21.975945410958886</v>
      </c>
      <c r="AU406" s="3">
        <f t="shared" ca="1" si="179"/>
        <v>-21.975945410958886</v>
      </c>
      <c r="AV406" s="3">
        <f t="shared" ca="1" si="180"/>
        <v>-21.975945410958886</v>
      </c>
    </row>
    <row r="407" spans="1:48" x14ac:dyDescent="0.2">
      <c r="A407" s="4">
        <v>45810</v>
      </c>
      <c r="B407" s="1" t="s">
        <v>66</v>
      </c>
      <c r="I407" s="3">
        <v>10900</v>
      </c>
      <c r="M407" s="3" t="str">
        <f t="shared" si="183"/>
        <v/>
      </c>
      <c r="N407" s="3"/>
      <c r="AA407" s="3">
        <f t="shared" si="168"/>
        <v>3450000</v>
      </c>
      <c r="AB407" s="3">
        <f t="shared" ref="AB407:AB409" si="184">IF($A407&lt;&gt;"", AC407+AD407, "")</f>
        <v>3750000.0000000065</v>
      </c>
      <c r="AC407" s="3">
        <f t="shared" si="170"/>
        <v>213171.00999999957</v>
      </c>
      <c r="AD407" s="3">
        <f t="shared" si="171"/>
        <v>3536828.9900000067</v>
      </c>
      <c r="AE407" s="1">
        <f t="shared" ca="1" si="172"/>
        <v>10</v>
      </c>
      <c r="AG407" s="3">
        <f t="shared" si="181"/>
        <v>10900</v>
      </c>
      <c r="AH407" s="1">
        <f t="shared" si="173"/>
        <v>1459</v>
      </c>
      <c r="AI407" s="3">
        <f t="shared" si="174"/>
        <v>10900</v>
      </c>
      <c r="AL407" s="3">
        <f t="shared" ref="AL407:AL409" si="185">IF($A407&lt;&gt;"", AG407-IF(ISNUMBER(K407),K407*L407,0), "")</f>
        <v>10900</v>
      </c>
      <c r="AM407" s="3">
        <f t="shared" si="176"/>
        <v>10900</v>
      </c>
      <c r="AQ407" s="4">
        <f t="shared" ca="1" si="182"/>
        <v>44755</v>
      </c>
      <c r="AR407" s="3">
        <f t="shared" ca="1" si="177"/>
        <v>594164.44999999949</v>
      </c>
      <c r="AS407" s="63">
        <f ca="1">IF($AQ407&lt;&gt;"", INDEX(Inputs!$B$3:$B$101, MATCH($AQ407,Inputs!$A$3:$A$101,1)), "")</f>
        <v>1.35E-2</v>
      </c>
      <c r="AT407" s="48">
        <f t="shared" ca="1" si="178"/>
        <v>21.975945410958886</v>
      </c>
      <c r="AU407" s="3">
        <f t="shared" ca="1" si="179"/>
        <v>-21.975945410958886</v>
      </c>
      <c r="AV407" s="3">
        <f t="shared" ca="1" si="180"/>
        <v>-21.975945410958886</v>
      </c>
    </row>
    <row r="408" spans="1:48" x14ac:dyDescent="0.2">
      <c r="A408" s="4">
        <v>45820</v>
      </c>
      <c r="B408" s="1" t="s">
        <v>143</v>
      </c>
      <c r="G408" s="3">
        <v>781.48</v>
      </c>
      <c r="M408" s="3" t="str">
        <f t="shared" si="183"/>
        <v/>
      </c>
      <c r="N408" s="3"/>
      <c r="AA408" s="3">
        <f t="shared" si="168"/>
        <v>3450000</v>
      </c>
      <c r="AB408" s="3">
        <f t="shared" si="184"/>
        <v>3750000.0000000065</v>
      </c>
      <c r="AC408" s="3">
        <f t="shared" si="170"/>
        <v>212389.52999999956</v>
      </c>
      <c r="AD408" s="3">
        <f t="shared" si="171"/>
        <v>3537610.4700000067</v>
      </c>
      <c r="AE408" s="1">
        <f t="shared" ca="1" si="172"/>
        <v>0</v>
      </c>
      <c r="AG408" s="3">
        <f t="shared" si="181"/>
        <v>0</v>
      </c>
      <c r="AH408" s="1">
        <f t="shared" si="173"/>
        <v>1469</v>
      </c>
      <c r="AI408" s="3">
        <f t="shared" si="174"/>
        <v>0</v>
      </c>
      <c r="AL408" s="3">
        <f t="shared" si="185"/>
        <v>0</v>
      </c>
      <c r="AM408" s="3">
        <f t="shared" si="176"/>
        <v>0</v>
      </c>
      <c r="AQ408" s="4">
        <f t="shared" ca="1" si="182"/>
        <v>44756</v>
      </c>
      <c r="AR408" s="3">
        <f t="shared" ca="1" si="177"/>
        <v>594164.44999999949</v>
      </c>
      <c r="AS408" s="63">
        <f ca="1">IF($AQ408&lt;&gt;"", INDEX(Inputs!$B$3:$B$101, MATCH($AQ408,Inputs!$A$3:$A$101,1)), "")</f>
        <v>1.35E-2</v>
      </c>
      <c r="AT408" s="48">
        <f t="shared" ca="1" si="178"/>
        <v>21.975945410958886</v>
      </c>
      <c r="AU408" s="3">
        <f t="shared" ca="1" si="179"/>
        <v>-21.975945410958886</v>
      </c>
      <c r="AV408" s="3">
        <f t="shared" ca="1" si="180"/>
        <v>-21.975945410958886</v>
      </c>
    </row>
    <row r="409" spans="1:48" x14ac:dyDescent="0.2">
      <c r="A409" s="4">
        <v>45820</v>
      </c>
      <c r="B409" s="1" t="s">
        <v>144</v>
      </c>
      <c r="F409" s="3">
        <v>3473.6</v>
      </c>
      <c r="M409" s="3" t="str">
        <f t="shared" si="183"/>
        <v/>
      </c>
      <c r="N409" s="3"/>
      <c r="AA409" s="3">
        <f t="shared" si="168"/>
        <v>3450000</v>
      </c>
      <c r="AB409" s="3">
        <f t="shared" si="184"/>
        <v>3750000.0000000061</v>
      </c>
      <c r="AC409" s="3">
        <f t="shared" si="170"/>
        <v>215863.12999999957</v>
      </c>
      <c r="AD409" s="3">
        <f t="shared" si="171"/>
        <v>3534136.8700000066</v>
      </c>
      <c r="AE409" s="1">
        <f t="shared" ca="1" si="172"/>
        <v>16</v>
      </c>
      <c r="AG409" s="3">
        <f t="shared" si="181"/>
        <v>-3473.6</v>
      </c>
      <c r="AH409" s="1">
        <f t="shared" si="173"/>
        <v>1469</v>
      </c>
      <c r="AI409" s="3">
        <f t="shared" si="174"/>
        <v>-3473.6</v>
      </c>
      <c r="AL409" s="3">
        <f t="shared" si="185"/>
        <v>-3473.6</v>
      </c>
      <c r="AM409" s="3">
        <f t="shared" si="176"/>
        <v>-3473.6</v>
      </c>
      <c r="AQ409" s="4">
        <f t="shared" ca="1" si="182"/>
        <v>44757</v>
      </c>
      <c r="AR409" s="3">
        <f t="shared" ca="1" si="177"/>
        <v>594164.44999999949</v>
      </c>
      <c r="AS409" s="63">
        <f ca="1">IF($AQ409&lt;&gt;"", INDEX(Inputs!$B$3:$B$101, MATCH($AQ409,Inputs!$A$3:$A$101,1)), "")</f>
        <v>1.35E-2</v>
      </c>
      <c r="AT409" s="48">
        <f t="shared" ca="1" si="178"/>
        <v>21.975945410958886</v>
      </c>
      <c r="AU409" s="3">
        <f t="shared" ca="1" si="179"/>
        <v>-416.9759454109589</v>
      </c>
      <c r="AV409" s="3">
        <f t="shared" ca="1" si="180"/>
        <v>-416.9759454109589</v>
      </c>
    </row>
    <row r="410" spans="1:48" x14ac:dyDescent="0.2">
      <c r="N410" s="3"/>
      <c r="AA410" s="3" t="str">
        <f t="shared" ref="AA410:AA473" si="186">IF($A410&lt;&gt;"", MIN(AB410,$P$3), "")</f>
        <v/>
      </c>
      <c r="AB410" s="3" t="str">
        <f t="shared" ref="AB410:AB473" si="187">IF($A410&lt;&gt;"", AC410+AD410, "")</f>
        <v/>
      </c>
      <c r="AC410" s="3" t="str">
        <f t="shared" ref="AC410:AC473" si="188">IF(A410&lt;&gt;"", AC409+D410+F410-G410, "")</f>
        <v/>
      </c>
      <c r="AD410" s="3" t="str">
        <f t="shared" ref="AD410:AD473" si="189">IF(A410&lt;&gt;"", AD409+C410-F410+G410, "")</f>
        <v/>
      </c>
      <c r="AE410" s="1">
        <f t="shared" ref="AE410:AE473" ca="1" si="190">IF(A411&lt;&gt;"", A411-A410, IF(A410&lt;&gt;"",IF(AC410&lt;&gt;0,TODAY()-A410,0), ""))</f>
        <v>45870</v>
      </c>
      <c r="AG410" s="3" t="str">
        <f t="shared" si="181"/>
        <v/>
      </c>
      <c r="AH410" s="1" t="str">
        <f t="shared" ref="AH410:AH473" si="191">IF(A410&lt;&gt;"", A410-A$3, "")</f>
        <v/>
      </c>
      <c r="AI410" s="3" t="str">
        <f t="shared" ref="AI410:AI473" si="192">IF(A410&lt;&gt;"", AG410*(1+$X$3)^-(AH410/365), "")</f>
        <v/>
      </c>
      <c r="AL410" s="3" t="str">
        <f t="shared" ref="AL410:AL473" si="193">IF($A410&lt;&gt;"", AG410-IF(ISNUMBER(K410),K410*L410,0), "")</f>
        <v/>
      </c>
      <c r="AM410" s="3" t="str">
        <f t="shared" ref="AM410:AM473" si="194">IF(A410&lt;&gt;"", AL410*(1+$X$6/CompoundingRate)^-(AH410/(365/CompoundingRate)), "")</f>
        <v/>
      </c>
      <c r="AQ410" s="4">
        <f t="shared" ca="1" si="182"/>
        <v>44758</v>
      </c>
      <c r="AR410" s="3">
        <f t="shared" ca="1" si="177"/>
        <v>594164.44999999949</v>
      </c>
      <c r="AS410" s="63">
        <f ca="1">IF($AQ410&lt;&gt;"", INDEX(Inputs!$B$3:$B$101, MATCH($AQ410,Inputs!$A$3:$A$101,1)), "")</f>
        <v>1.35E-2</v>
      </c>
      <c r="AT410" s="48">
        <f t="shared" ref="AT410:AT473" ca="1" si="195">IF($AQ410&lt;&gt;"", AR410*AS410/365, "")</f>
        <v>21.975945410958886</v>
      </c>
      <c r="AU410" s="3">
        <f t="shared" ref="AU410:AU473" ca="1" si="196">IF($AQ410&lt;&gt;"", SUMIFS($AL$3:$AL$1054, $A$3:$A$1054,$AQ410) + SUMIFS($M$3:$M$1054, $A$3:$A$1054,$AQ410)*IFERROR(AVERAGEIFS($L$3:$L$1054, $A$3:$A$1054,$AQ410, $M$3:$M$1054,"&gt;0"),0) - AT410, "")</f>
        <v>-21.975945410958886</v>
      </c>
      <c r="AV410" s="3">
        <f t="shared" ref="AV410:AV473" ca="1" si="197">IF(AQ410&lt;&gt;"", AU410*(1+$X$9/CompoundingRate)^-((AQ410-AQ$3)/(365/CompoundingRate)), "")</f>
        <v>-21.975945410958886</v>
      </c>
    </row>
    <row r="411" spans="1:48" x14ac:dyDescent="0.2">
      <c r="A411" s="4">
        <v>45870</v>
      </c>
      <c r="B411" s="1" t="s">
        <v>50</v>
      </c>
      <c r="H411" s="3">
        <v>4074.4</v>
      </c>
      <c r="M411" s="3" t="str">
        <f t="shared" si="183"/>
        <v/>
      </c>
      <c r="N411" s="3"/>
      <c r="AA411" s="3" t="e">
        <f t="shared" si="186"/>
        <v>#VALUE!</v>
      </c>
      <c r="AB411" s="3" t="e">
        <f t="shared" si="187"/>
        <v>#VALUE!</v>
      </c>
      <c r="AC411" s="3" t="e">
        <f t="shared" si="188"/>
        <v>#VALUE!</v>
      </c>
      <c r="AD411" s="3" t="e">
        <f t="shared" si="189"/>
        <v>#VALUE!</v>
      </c>
      <c r="AE411" s="1" t="e">
        <f t="shared" ca="1" si="190"/>
        <v>#VALUE!</v>
      </c>
      <c r="AG411" s="3">
        <f t="shared" si="181"/>
        <v>-4074.4</v>
      </c>
      <c r="AH411" s="1">
        <f t="shared" si="191"/>
        <v>1519</v>
      </c>
      <c r="AI411" s="3">
        <f t="shared" si="192"/>
        <v>-4074.4</v>
      </c>
      <c r="AL411" s="3">
        <f t="shared" si="193"/>
        <v>-4074.4</v>
      </c>
      <c r="AM411" s="3">
        <f t="shared" si="194"/>
        <v>-4074.4</v>
      </c>
      <c r="AQ411" s="4">
        <f t="shared" ca="1" si="182"/>
        <v>44759</v>
      </c>
      <c r="AR411" s="3">
        <f t="shared" ca="1" si="177"/>
        <v>594164.44999999949</v>
      </c>
      <c r="AS411" s="63">
        <f ca="1">IF($AQ411&lt;&gt;"", INDEX(Inputs!$B$3:$B$101, MATCH($AQ411,Inputs!$A$3:$A$101,1)), "")</f>
        <v>1.35E-2</v>
      </c>
      <c r="AT411" s="48">
        <f t="shared" ca="1" si="195"/>
        <v>21.975945410958886</v>
      </c>
      <c r="AU411" s="3">
        <f t="shared" ca="1" si="196"/>
        <v>-21.975945410958886</v>
      </c>
      <c r="AV411" s="3">
        <f t="shared" ca="1" si="197"/>
        <v>-21.975945410958886</v>
      </c>
    </row>
    <row r="412" spans="1:48" x14ac:dyDescent="0.2">
      <c r="M412" s="3" t="str">
        <f t="shared" si="183"/>
        <v/>
      </c>
      <c r="N412" s="3"/>
      <c r="AA412" s="3" t="str">
        <f t="shared" si="186"/>
        <v/>
      </c>
      <c r="AB412" s="3" t="str">
        <f t="shared" si="187"/>
        <v/>
      </c>
      <c r="AC412" s="3" t="str">
        <f t="shared" si="188"/>
        <v/>
      </c>
      <c r="AD412" s="3" t="str">
        <f t="shared" si="189"/>
        <v/>
      </c>
      <c r="AE412" s="1" t="str">
        <f t="shared" ca="1" si="190"/>
        <v/>
      </c>
      <c r="AG412" s="3" t="str">
        <f t="shared" si="181"/>
        <v/>
      </c>
      <c r="AH412" s="1" t="str">
        <f t="shared" si="191"/>
        <v/>
      </c>
      <c r="AI412" s="3" t="str">
        <f t="shared" si="192"/>
        <v/>
      </c>
      <c r="AL412" s="3" t="str">
        <f t="shared" si="193"/>
        <v/>
      </c>
      <c r="AM412" s="3" t="str">
        <f t="shared" si="194"/>
        <v/>
      </c>
      <c r="AQ412" s="4">
        <f t="shared" ca="1" si="182"/>
        <v>44760</v>
      </c>
      <c r="AR412" s="3">
        <f t="shared" ca="1" si="177"/>
        <v>606237.49999999953</v>
      </c>
      <c r="AS412" s="63">
        <f ca="1">IF($AQ412&lt;&gt;"", INDEX(Inputs!$B$3:$B$101, MATCH($AQ412,Inputs!$A$3:$A$101,1)), "")</f>
        <v>1.35E-2</v>
      </c>
      <c r="AT412" s="48">
        <f t="shared" ca="1" si="195"/>
        <v>22.422482876712312</v>
      </c>
      <c r="AU412" s="3">
        <f t="shared" ca="1" si="196"/>
        <v>-12095.472482876712</v>
      </c>
      <c r="AV412" s="3">
        <f t="shared" ca="1" si="197"/>
        <v>-12095.472482876712</v>
      </c>
    </row>
    <row r="413" spans="1:48" x14ac:dyDescent="0.2">
      <c r="M413" s="3" t="str">
        <f t="shared" si="183"/>
        <v/>
      </c>
      <c r="N413" s="3"/>
      <c r="AA413" s="3" t="str">
        <f t="shared" si="186"/>
        <v/>
      </c>
      <c r="AB413" s="3" t="str">
        <f t="shared" si="187"/>
        <v/>
      </c>
      <c r="AC413" s="3" t="str">
        <f t="shared" si="188"/>
        <v/>
      </c>
      <c r="AD413" s="3" t="str">
        <f t="shared" si="189"/>
        <v/>
      </c>
      <c r="AE413" s="1" t="str">
        <f t="shared" ca="1" si="190"/>
        <v/>
      </c>
      <c r="AG413" s="3" t="str">
        <f t="shared" si="181"/>
        <v/>
      </c>
      <c r="AH413" s="1" t="str">
        <f t="shared" si="191"/>
        <v/>
      </c>
      <c r="AI413" s="3" t="str">
        <f t="shared" si="192"/>
        <v/>
      </c>
      <c r="AL413" s="3" t="str">
        <f t="shared" si="193"/>
        <v/>
      </c>
      <c r="AM413" s="3" t="str">
        <f t="shared" si="194"/>
        <v/>
      </c>
      <c r="AQ413" s="4">
        <f t="shared" ca="1" si="182"/>
        <v>44761</v>
      </c>
      <c r="AR413" s="3">
        <f t="shared" ca="1" si="177"/>
        <v>606237.49999999953</v>
      </c>
      <c r="AS413" s="63">
        <f ca="1">IF($AQ413&lt;&gt;"", INDEX(Inputs!$B$3:$B$101, MATCH($AQ413,Inputs!$A$3:$A$101,1)), "")</f>
        <v>1.35E-2</v>
      </c>
      <c r="AT413" s="48">
        <f t="shared" ca="1" si="195"/>
        <v>22.422482876712312</v>
      </c>
      <c r="AU413" s="3">
        <f t="shared" ca="1" si="196"/>
        <v>-22.422482876712312</v>
      </c>
      <c r="AV413" s="3">
        <f t="shared" ca="1" si="197"/>
        <v>-22.422482876712312</v>
      </c>
    </row>
    <row r="414" spans="1:48" x14ac:dyDescent="0.2">
      <c r="M414" s="3" t="str">
        <f t="shared" si="183"/>
        <v/>
      </c>
      <c r="N414" s="3"/>
      <c r="AA414" s="3" t="str">
        <f t="shared" si="186"/>
        <v/>
      </c>
      <c r="AB414" s="3" t="str">
        <f t="shared" si="187"/>
        <v/>
      </c>
      <c r="AC414" s="3" t="str">
        <f t="shared" si="188"/>
        <v/>
      </c>
      <c r="AD414" s="3" t="str">
        <f t="shared" si="189"/>
        <v/>
      </c>
      <c r="AE414" s="1" t="str">
        <f t="shared" ca="1" si="190"/>
        <v/>
      </c>
      <c r="AG414" s="3" t="str">
        <f t="shared" si="181"/>
        <v/>
      </c>
      <c r="AH414" s="1" t="str">
        <f t="shared" si="191"/>
        <v/>
      </c>
      <c r="AI414" s="3" t="str">
        <f t="shared" si="192"/>
        <v/>
      </c>
      <c r="AL414" s="3" t="str">
        <f t="shared" si="193"/>
        <v/>
      </c>
      <c r="AM414" s="3" t="str">
        <f t="shared" si="194"/>
        <v/>
      </c>
      <c r="AQ414" s="4">
        <f t="shared" ca="1" si="182"/>
        <v>44762</v>
      </c>
      <c r="AR414" s="3">
        <f t="shared" ca="1" si="177"/>
        <v>606237.49999999953</v>
      </c>
      <c r="AS414" s="63">
        <f ca="1">IF($AQ414&lt;&gt;"", INDEX(Inputs!$B$3:$B$101, MATCH($AQ414,Inputs!$A$3:$A$101,1)), "")</f>
        <v>1.35E-2</v>
      </c>
      <c r="AT414" s="48">
        <f t="shared" ca="1" si="195"/>
        <v>22.422482876712312</v>
      </c>
      <c r="AU414" s="3">
        <f t="shared" ca="1" si="196"/>
        <v>-22.422482876712312</v>
      </c>
      <c r="AV414" s="3">
        <f t="shared" ca="1" si="197"/>
        <v>-22.422482876712312</v>
      </c>
    </row>
    <row r="415" spans="1:48" x14ac:dyDescent="0.2">
      <c r="M415" s="3" t="str">
        <f t="shared" si="183"/>
        <v/>
      </c>
      <c r="N415" s="3"/>
      <c r="AA415" s="3" t="str">
        <f t="shared" si="186"/>
        <v/>
      </c>
      <c r="AB415" s="3" t="str">
        <f t="shared" si="187"/>
        <v/>
      </c>
      <c r="AC415" s="3" t="str">
        <f t="shared" si="188"/>
        <v/>
      </c>
      <c r="AD415" s="3" t="str">
        <f t="shared" si="189"/>
        <v/>
      </c>
      <c r="AE415" s="1" t="str">
        <f t="shared" ca="1" si="190"/>
        <v/>
      </c>
      <c r="AG415" s="3" t="str">
        <f t="shared" si="181"/>
        <v/>
      </c>
      <c r="AH415" s="1" t="str">
        <f t="shared" si="191"/>
        <v/>
      </c>
      <c r="AI415" s="3" t="str">
        <f t="shared" si="192"/>
        <v/>
      </c>
      <c r="AL415" s="3" t="str">
        <f t="shared" si="193"/>
        <v/>
      </c>
      <c r="AM415" s="3" t="str">
        <f t="shared" si="194"/>
        <v/>
      </c>
      <c r="AQ415" s="4">
        <f t="shared" ca="1" si="182"/>
        <v>44763</v>
      </c>
      <c r="AR415" s="3">
        <f t="shared" ca="1" si="177"/>
        <v>606237.49999999953</v>
      </c>
      <c r="AS415" s="63">
        <f ca="1">IF($AQ415&lt;&gt;"", INDEX(Inputs!$B$3:$B$101, MATCH($AQ415,Inputs!$A$3:$A$101,1)), "")</f>
        <v>1.35E-2</v>
      </c>
      <c r="AT415" s="48">
        <f t="shared" ca="1" si="195"/>
        <v>22.422482876712312</v>
      </c>
      <c r="AU415" s="3">
        <f t="shared" ca="1" si="196"/>
        <v>-22.422482876712312</v>
      </c>
      <c r="AV415" s="3">
        <f t="shared" ca="1" si="197"/>
        <v>-22.422482876712312</v>
      </c>
    </row>
    <row r="416" spans="1:48" x14ac:dyDescent="0.2">
      <c r="M416" s="3" t="str">
        <f t="shared" si="183"/>
        <v/>
      </c>
      <c r="N416" s="3"/>
      <c r="AA416" s="3" t="str">
        <f t="shared" si="186"/>
        <v/>
      </c>
      <c r="AB416" s="3" t="str">
        <f t="shared" si="187"/>
        <v/>
      </c>
      <c r="AC416" s="3" t="str">
        <f t="shared" si="188"/>
        <v/>
      </c>
      <c r="AD416" s="3" t="str">
        <f t="shared" si="189"/>
        <v/>
      </c>
      <c r="AE416" s="1" t="str">
        <f t="shared" ca="1" si="190"/>
        <v/>
      </c>
      <c r="AG416" s="3" t="str">
        <f t="shared" si="181"/>
        <v/>
      </c>
      <c r="AH416" s="1" t="str">
        <f t="shared" si="191"/>
        <v/>
      </c>
      <c r="AI416" s="3" t="str">
        <f t="shared" si="192"/>
        <v/>
      </c>
      <c r="AL416" s="3" t="str">
        <f t="shared" si="193"/>
        <v/>
      </c>
      <c r="AM416" s="3" t="str">
        <f t="shared" si="194"/>
        <v/>
      </c>
      <c r="AQ416" s="4">
        <f t="shared" ca="1" si="182"/>
        <v>44764</v>
      </c>
      <c r="AR416" s="3">
        <f t="shared" ref="AR416:AR447" ca="1" si="198">IF($AQ416&lt;&gt;"", INDEX($AC$3:$AC$1055, MATCH($AQ416,$A$3:$A$1055,1)), "")</f>
        <v>606237.49999999953</v>
      </c>
      <c r="AS416" s="63">
        <f ca="1">IF($AQ416&lt;&gt;"", INDEX(Inputs!$B$3:$B$101, MATCH($AQ416,Inputs!$A$3:$A$101,1)), "")</f>
        <v>1.35E-2</v>
      </c>
      <c r="AT416" s="48">
        <f t="shared" ca="1" si="195"/>
        <v>22.422482876712312</v>
      </c>
      <c r="AU416" s="3">
        <f t="shared" ca="1" si="196"/>
        <v>-22.422482876712312</v>
      </c>
      <c r="AV416" s="3">
        <f t="shared" ca="1" si="197"/>
        <v>-22.422482876712312</v>
      </c>
    </row>
    <row r="417" spans="13:48" x14ac:dyDescent="0.2">
      <c r="M417" s="3" t="str">
        <f t="shared" si="183"/>
        <v/>
      </c>
      <c r="N417" s="3"/>
      <c r="AA417" s="3" t="str">
        <f t="shared" si="186"/>
        <v/>
      </c>
      <c r="AB417" s="3" t="str">
        <f t="shared" si="187"/>
        <v/>
      </c>
      <c r="AC417" s="3" t="str">
        <f t="shared" si="188"/>
        <v/>
      </c>
      <c r="AD417" s="3" t="str">
        <f t="shared" si="189"/>
        <v/>
      </c>
      <c r="AE417" s="1" t="str">
        <f t="shared" ca="1" si="190"/>
        <v/>
      </c>
      <c r="AG417" s="3" t="str">
        <f t="shared" si="181"/>
        <v/>
      </c>
      <c r="AH417" s="1" t="str">
        <f t="shared" si="191"/>
        <v/>
      </c>
      <c r="AI417" s="3" t="str">
        <f t="shared" si="192"/>
        <v/>
      </c>
      <c r="AL417" s="3" t="str">
        <f t="shared" si="193"/>
        <v/>
      </c>
      <c r="AM417" s="3" t="str">
        <f t="shared" si="194"/>
        <v/>
      </c>
      <c r="AQ417" s="4">
        <f t="shared" ca="1" si="182"/>
        <v>44765</v>
      </c>
      <c r="AR417" s="3">
        <f t="shared" ca="1" si="198"/>
        <v>606237.49999999953</v>
      </c>
      <c r="AS417" s="63">
        <f ca="1">IF($AQ417&lt;&gt;"", INDEX(Inputs!$B$3:$B$101, MATCH($AQ417,Inputs!$A$3:$A$101,1)), "")</f>
        <v>1.35E-2</v>
      </c>
      <c r="AT417" s="48">
        <f t="shared" ca="1" si="195"/>
        <v>22.422482876712312</v>
      </c>
      <c r="AU417" s="3">
        <f t="shared" ca="1" si="196"/>
        <v>-22.422482876712312</v>
      </c>
      <c r="AV417" s="3">
        <f t="shared" ca="1" si="197"/>
        <v>-22.422482876712312</v>
      </c>
    </row>
    <row r="418" spans="13:48" x14ac:dyDescent="0.2">
      <c r="M418" s="3" t="str">
        <f t="shared" si="183"/>
        <v/>
      </c>
      <c r="N418" s="3"/>
      <c r="AA418" s="3" t="str">
        <f t="shared" si="186"/>
        <v/>
      </c>
      <c r="AB418" s="3" t="str">
        <f t="shared" si="187"/>
        <v/>
      </c>
      <c r="AC418" s="3" t="str">
        <f t="shared" si="188"/>
        <v/>
      </c>
      <c r="AD418" s="3" t="str">
        <f t="shared" si="189"/>
        <v/>
      </c>
      <c r="AE418" s="1" t="str">
        <f t="shared" ca="1" si="190"/>
        <v/>
      </c>
      <c r="AG418" s="3" t="str">
        <f t="shared" si="181"/>
        <v/>
      </c>
      <c r="AH418" s="1" t="str">
        <f t="shared" si="191"/>
        <v/>
      </c>
      <c r="AI418" s="3" t="str">
        <f t="shared" si="192"/>
        <v/>
      </c>
      <c r="AL418" s="3" t="str">
        <f t="shared" si="193"/>
        <v/>
      </c>
      <c r="AM418" s="3" t="str">
        <f t="shared" si="194"/>
        <v/>
      </c>
      <c r="AQ418" s="4">
        <f t="shared" ca="1" si="182"/>
        <v>44766</v>
      </c>
      <c r="AR418" s="3">
        <f t="shared" ca="1" si="198"/>
        <v>606237.49999999953</v>
      </c>
      <c r="AS418" s="63">
        <f ca="1">IF($AQ418&lt;&gt;"", INDEX(Inputs!$B$3:$B$101, MATCH($AQ418,Inputs!$A$3:$A$101,1)), "")</f>
        <v>1.35E-2</v>
      </c>
      <c r="AT418" s="48">
        <f t="shared" ca="1" si="195"/>
        <v>22.422482876712312</v>
      </c>
      <c r="AU418" s="3">
        <f t="shared" ca="1" si="196"/>
        <v>-22.422482876712312</v>
      </c>
      <c r="AV418" s="3">
        <f t="shared" ca="1" si="197"/>
        <v>-22.422482876712312</v>
      </c>
    </row>
    <row r="419" spans="13:48" x14ac:dyDescent="0.2">
      <c r="M419" s="3" t="str">
        <f t="shared" si="183"/>
        <v/>
      </c>
      <c r="N419" s="3"/>
      <c r="AA419" s="3" t="str">
        <f t="shared" si="186"/>
        <v/>
      </c>
      <c r="AB419" s="3" t="str">
        <f t="shared" si="187"/>
        <v/>
      </c>
      <c r="AC419" s="3" t="str">
        <f t="shared" si="188"/>
        <v/>
      </c>
      <c r="AD419" s="3" t="str">
        <f t="shared" si="189"/>
        <v/>
      </c>
      <c r="AE419" s="1" t="str">
        <f t="shared" ca="1" si="190"/>
        <v/>
      </c>
      <c r="AG419" s="3" t="str">
        <f t="shared" si="181"/>
        <v/>
      </c>
      <c r="AH419" s="1" t="str">
        <f t="shared" si="191"/>
        <v/>
      </c>
      <c r="AI419" s="3" t="str">
        <f t="shared" si="192"/>
        <v/>
      </c>
      <c r="AL419" s="3" t="str">
        <f t="shared" si="193"/>
        <v/>
      </c>
      <c r="AM419" s="3" t="str">
        <f t="shared" si="194"/>
        <v/>
      </c>
      <c r="AQ419" s="4">
        <f t="shared" ca="1" si="182"/>
        <v>44767</v>
      </c>
      <c r="AR419" s="3">
        <f t="shared" ca="1" si="198"/>
        <v>606237.49999999953</v>
      </c>
      <c r="AS419" s="63">
        <f ca="1">IF($AQ419&lt;&gt;"", INDEX(Inputs!$B$3:$B$101, MATCH($AQ419,Inputs!$A$3:$A$101,1)), "")</f>
        <v>1.35E-2</v>
      </c>
      <c r="AT419" s="48">
        <f t="shared" ca="1" si="195"/>
        <v>22.422482876712312</v>
      </c>
      <c r="AU419" s="3">
        <f t="shared" ca="1" si="196"/>
        <v>-22.422482876712312</v>
      </c>
      <c r="AV419" s="3">
        <f t="shared" ca="1" si="197"/>
        <v>-22.422482876712312</v>
      </c>
    </row>
    <row r="420" spans="13:48" x14ac:dyDescent="0.2">
      <c r="M420" s="3" t="str">
        <f t="shared" si="183"/>
        <v/>
      </c>
      <c r="N420" s="3"/>
      <c r="AA420" s="3" t="str">
        <f t="shared" si="186"/>
        <v/>
      </c>
      <c r="AB420" s="3" t="str">
        <f t="shared" si="187"/>
        <v/>
      </c>
      <c r="AC420" s="3" t="str">
        <f t="shared" si="188"/>
        <v/>
      </c>
      <c r="AD420" s="3" t="str">
        <f t="shared" si="189"/>
        <v/>
      </c>
      <c r="AE420" s="1" t="str">
        <f t="shared" ca="1" si="190"/>
        <v/>
      </c>
      <c r="AG420" s="3" t="str">
        <f t="shared" si="181"/>
        <v/>
      </c>
      <c r="AH420" s="1" t="str">
        <f t="shared" si="191"/>
        <v/>
      </c>
      <c r="AI420" s="3" t="str">
        <f t="shared" si="192"/>
        <v/>
      </c>
      <c r="AL420" s="3" t="str">
        <f t="shared" si="193"/>
        <v/>
      </c>
      <c r="AM420" s="3" t="str">
        <f t="shared" si="194"/>
        <v/>
      </c>
      <c r="AQ420" s="4">
        <f t="shared" ca="1" si="182"/>
        <v>44768</v>
      </c>
      <c r="AR420" s="3">
        <f t="shared" ca="1" si="198"/>
        <v>606237.49999999953</v>
      </c>
      <c r="AS420" s="63">
        <f ca="1">IF($AQ420&lt;&gt;"", INDEX(Inputs!$B$3:$B$101, MATCH($AQ420,Inputs!$A$3:$A$101,1)), "")</f>
        <v>1.35E-2</v>
      </c>
      <c r="AT420" s="48">
        <f t="shared" ca="1" si="195"/>
        <v>22.422482876712312</v>
      </c>
      <c r="AU420" s="3">
        <f t="shared" ca="1" si="196"/>
        <v>-22.422482876712312</v>
      </c>
      <c r="AV420" s="3">
        <f t="shared" ca="1" si="197"/>
        <v>-22.422482876712312</v>
      </c>
    </row>
    <row r="421" spans="13:48" x14ac:dyDescent="0.2">
      <c r="M421" s="3" t="str">
        <f t="shared" si="183"/>
        <v/>
      </c>
      <c r="N421" s="3"/>
      <c r="AA421" s="3" t="str">
        <f t="shared" si="186"/>
        <v/>
      </c>
      <c r="AB421" s="3" t="str">
        <f t="shared" si="187"/>
        <v/>
      </c>
      <c r="AC421" s="3" t="str">
        <f t="shared" si="188"/>
        <v/>
      </c>
      <c r="AD421" s="3" t="str">
        <f t="shared" si="189"/>
        <v/>
      </c>
      <c r="AE421" s="1" t="str">
        <f t="shared" ca="1" si="190"/>
        <v/>
      </c>
      <c r="AG421" s="3" t="str">
        <f t="shared" si="181"/>
        <v/>
      </c>
      <c r="AH421" s="1" t="str">
        <f t="shared" si="191"/>
        <v/>
      </c>
      <c r="AI421" s="3" t="str">
        <f t="shared" si="192"/>
        <v/>
      </c>
      <c r="AL421" s="3" t="str">
        <f t="shared" si="193"/>
        <v/>
      </c>
      <c r="AM421" s="3" t="str">
        <f t="shared" si="194"/>
        <v/>
      </c>
      <c r="AQ421" s="4">
        <f t="shared" ca="1" si="182"/>
        <v>44769</v>
      </c>
      <c r="AR421" s="3">
        <f t="shared" ca="1" si="198"/>
        <v>606237.49999999953</v>
      </c>
      <c r="AS421" s="63">
        <f ca="1">IF($AQ421&lt;&gt;"", INDEX(Inputs!$B$3:$B$101, MATCH($AQ421,Inputs!$A$3:$A$101,1)), "")</f>
        <v>1.35E-2</v>
      </c>
      <c r="AT421" s="48">
        <f t="shared" ca="1" si="195"/>
        <v>22.422482876712312</v>
      </c>
      <c r="AU421" s="3">
        <f t="shared" ca="1" si="196"/>
        <v>-22.422482876712312</v>
      </c>
      <c r="AV421" s="3">
        <f t="shared" ca="1" si="197"/>
        <v>-22.422482876712312</v>
      </c>
    </row>
    <row r="422" spans="13:48" x14ac:dyDescent="0.2">
      <c r="M422" s="3" t="str">
        <f t="shared" si="183"/>
        <v/>
      </c>
      <c r="N422" s="3"/>
      <c r="AA422" s="3" t="str">
        <f t="shared" si="186"/>
        <v/>
      </c>
      <c r="AB422" s="3" t="str">
        <f t="shared" si="187"/>
        <v/>
      </c>
      <c r="AC422" s="3" t="str">
        <f t="shared" si="188"/>
        <v/>
      </c>
      <c r="AD422" s="3" t="str">
        <f t="shared" si="189"/>
        <v/>
      </c>
      <c r="AE422" s="1" t="str">
        <f t="shared" ca="1" si="190"/>
        <v/>
      </c>
      <c r="AG422" s="3" t="str">
        <f t="shared" si="181"/>
        <v/>
      </c>
      <c r="AH422" s="1" t="str">
        <f t="shared" si="191"/>
        <v/>
      </c>
      <c r="AI422" s="3" t="str">
        <f t="shared" si="192"/>
        <v/>
      </c>
      <c r="AL422" s="3" t="str">
        <f t="shared" si="193"/>
        <v/>
      </c>
      <c r="AM422" s="3" t="str">
        <f t="shared" si="194"/>
        <v/>
      </c>
      <c r="AQ422" s="4">
        <f t="shared" ca="1" si="182"/>
        <v>44770</v>
      </c>
      <c r="AR422" s="3">
        <f t="shared" ca="1" si="198"/>
        <v>606237.49999999953</v>
      </c>
      <c r="AS422" s="63">
        <f ca="1">IF($AQ422&lt;&gt;"", INDEX(Inputs!$B$3:$B$101, MATCH($AQ422,Inputs!$A$3:$A$101,1)), "")</f>
        <v>1.35E-2</v>
      </c>
      <c r="AT422" s="48">
        <f t="shared" ca="1" si="195"/>
        <v>22.422482876712312</v>
      </c>
      <c r="AU422" s="3">
        <f t="shared" ca="1" si="196"/>
        <v>-22.422482876712312</v>
      </c>
      <c r="AV422" s="3">
        <f t="shared" ca="1" si="197"/>
        <v>-22.422482876712312</v>
      </c>
    </row>
    <row r="423" spans="13:48" x14ac:dyDescent="0.2">
      <c r="M423" s="3" t="str">
        <f t="shared" si="183"/>
        <v/>
      </c>
      <c r="N423" s="3"/>
      <c r="AA423" s="3" t="str">
        <f t="shared" si="186"/>
        <v/>
      </c>
      <c r="AB423" s="3" t="str">
        <f t="shared" si="187"/>
        <v/>
      </c>
      <c r="AC423" s="3" t="str">
        <f t="shared" si="188"/>
        <v/>
      </c>
      <c r="AD423" s="3" t="str">
        <f t="shared" si="189"/>
        <v/>
      </c>
      <c r="AE423" s="1" t="str">
        <f t="shared" ca="1" si="190"/>
        <v/>
      </c>
      <c r="AG423" s="3" t="str">
        <f t="shared" si="181"/>
        <v/>
      </c>
      <c r="AH423" s="1" t="str">
        <f t="shared" si="191"/>
        <v/>
      </c>
      <c r="AI423" s="3" t="str">
        <f t="shared" si="192"/>
        <v/>
      </c>
      <c r="AL423" s="3" t="str">
        <f t="shared" si="193"/>
        <v/>
      </c>
      <c r="AM423" s="3" t="str">
        <f t="shared" si="194"/>
        <v/>
      </c>
      <c r="AQ423" s="4">
        <f t="shared" ca="1" si="182"/>
        <v>44771</v>
      </c>
      <c r="AR423" s="3">
        <f t="shared" ca="1" si="198"/>
        <v>601180.88999999943</v>
      </c>
      <c r="AS423" s="63">
        <f ca="1">IF($AQ423&lt;&gt;"", INDEX(Inputs!$B$3:$B$101, MATCH($AQ423,Inputs!$A$3:$A$101,1)), "")</f>
        <v>1.35E-2</v>
      </c>
      <c r="AT423" s="48">
        <f t="shared" ca="1" si="195"/>
        <v>22.235457575342444</v>
      </c>
      <c r="AU423" s="3">
        <f t="shared" ca="1" si="196"/>
        <v>-22.235457575342444</v>
      </c>
      <c r="AV423" s="3">
        <f t="shared" ca="1" si="197"/>
        <v>-22.235457575342444</v>
      </c>
    </row>
    <row r="424" spans="13:48" x14ac:dyDescent="0.2">
      <c r="M424" s="3" t="str">
        <f t="shared" si="183"/>
        <v/>
      </c>
      <c r="N424" s="3"/>
      <c r="AA424" s="3" t="str">
        <f t="shared" si="186"/>
        <v/>
      </c>
      <c r="AB424" s="3" t="str">
        <f t="shared" si="187"/>
        <v/>
      </c>
      <c r="AC424" s="3" t="str">
        <f t="shared" si="188"/>
        <v/>
      </c>
      <c r="AD424" s="3" t="str">
        <f t="shared" si="189"/>
        <v/>
      </c>
      <c r="AE424" s="1" t="str">
        <f t="shared" ca="1" si="190"/>
        <v/>
      </c>
      <c r="AG424" s="3" t="str">
        <f t="shared" si="181"/>
        <v/>
      </c>
      <c r="AH424" s="1" t="str">
        <f t="shared" si="191"/>
        <v/>
      </c>
      <c r="AI424" s="3" t="str">
        <f t="shared" si="192"/>
        <v/>
      </c>
      <c r="AL424" s="3" t="str">
        <f t="shared" si="193"/>
        <v/>
      </c>
      <c r="AM424" s="3" t="str">
        <f t="shared" si="194"/>
        <v/>
      </c>
      <c r="AQ424" s="4">
        <f t="shared" ca="1" si="182"/>
        <v>44772</v>
      </c>
      <c r="AR424" s="3">
        <f t="shared" ca="1" si="198"/>
        <v>601180.88999999943</v>
      </c>
      <c r="AS424" s="63">
        <f ca="1">IF($AQ424&lt;&gt;"", INDEX(Inputs!$B$3:$B$101, MATCH($AQ424,Inputs!$A$3:$A$101,1)), "")</f>
        <v>1.35E-2</v>
      </c>
      <c r="AT424" s="48">
        <f t="shared" ca="1" si="195"/>
        <v>22.235457575342444</v>
      </c>
      <c r="AU424" s="3">
        <f t="shared" ca="1" si="196"/>
        <v>-22.235457575342444</v>
      </c>
      <c r="AV424" s="3">
        <f t="shared" ca="1" si="197"/>
        <v>-22.235457575342444</v>
      </c>
    </row>
    <row r="425" spans="13:48" x14ac:dyDescent="0.2">
      <c r="M425" s="3" t="str">
        <f t="shared" si="183"/>
        <v/>
      </c>
      <c r="N425" s="3"/>
      <c r="AA425" s="3" t="str">
        <f t="shared" si="186"/>
        <v/>
      </c>
      <c r="AB425" s="3" t="str">
        <f t="shared" si="187"/>
        <v/>
      </c>
      <c r="AC425" s="3" t="str">
        <f t="shared" si="188"/>
        <v/>
      </c>
      <c r="AD425" s="3" t="str">
        <f t="shared" si="189"/>
        <v/>
      </c>
      <c r="AE425" s="1" t="str">
        <f t="shared" ca="1" si="190"/>
        <v/>
      </c>
      <c r="AG425" s="3" t="str">
        <f t="shared" si="181"/>
        <v/>
      </c>
      <c r="AH425" s="1" t="str">
        <f t="shared" si="191"/>
        <v/>
      </c>
      <c r="AI425" s="3" t="str">
        <f t="shared" si="192"/>
        <v/>
      </c>
      <c r="AL425" s="3" t="str">
        <f t="shared" si="193"/>
        <v/>
      </c>
      <c r="AM425" s="3" t="str">
        <f t="shared" si="194"/>
        <v/>
      </c>
      <c r="AQ425" s="4">
        <f t="shared" ca="1" si="182"/>
        <v>44773</v>
      </c>
      <c r="AR425" s="3">
        <f t="shared" ca="1" si="198"/>
        <v>601180.88999999943</v>
      </c>
      <c r="AS425" s="63">
        <f ca="1">IF($AQ425&lt;&gt;"", INDEX(Inputs!$B$3:$B$101, MATCH($AQ425,Inputs!$A$3:$A$101,1)), "")</f>
        <v>1.35E-2</v>
      </c>
      <c r="AT425" s="48">
        <f t="shared" ca="1" si="195"/>
        <v>22.235457575342444</v>
      </c>
      <c r="AU425" s="3">
        <f t="shared" ca="1" si="196"/>
        <v>-22.235457575342444</v>
      </c>
      <c r="AV425" s="3">
        <f t="shared" ca="1" si="197"/>
        <v>-22.235457575342444</v>
      </c>
    </row>
    <row r="426" spans="13:48" x14ac:dyDescent="0.2">
      <c r="M426" s="3" t="str">
        <f t="shared" si="183"/>
        <v/>
      </c>
      <c r="N426" s="3"/>
      <c r="AA426" s="3" t="str">
        <f t="shared" si="186"/>
        <v/>
      </c>
      <c r="AB426" s="3" t="str">
        <f t="shared" si="187"/>
        <v/>
      </c>
      <c r="AC426" s="3" t="str">
        <f t="shared" si="188"/>
        <v/>
      </c>
      <c r="AD426" s="3" t="str">
        <f t="shared" si="189"/>
        <v/>
      </c>
      <c r="AE426" s="1" t="str">
        <f t="shared" ca="1" si="190"/>
        <v/>
      </c>
      <c r="AG426" s="3" t="str">
        <f t="shared" si="181"/>
        <v/>
      </c>
      <c r="AH426" s="1" t="str">
        <f t="shared" si="191"/>
        <v/>
      </c>
      <c r="AI426" s="3" t="str">
        <f t="shared" si="192"/>
        <v/>
      </c>
      <c r="AL426" s="3" t="str">
        <f t="shared" si="193"/>
        <v/>
      </c>
      <c r="AM426" s="3" t="str">
        <f t="shared" si="194"/>
        <v/>
      </c>
      <c r="AQ426" s="4">
        <f t="shared" ca="1" si="182"/>
        <v>44774</v>
      </c>
      <c r="AR426" s="3">
        <f t="shared" ca="1" si="198"/>
        <v>601180.88999999943</v>
      </c>
      <c r="AS426" s="63">
        <f ca="1">IF($AQ426&lt;&gt;"", INDEX(Inputs!$B$3:$B$101, MATCH($AQ426,Inputs!$A$3:$A$101,1)), "")</f>
        <v>1.35E-2</v>
      </c>
      <c r="AT426" s="48">
        <f t="shared" ca="1" si="195"/>
        <v>22.235457575342444</v>
      </c>
      <c r="AU426" s="3">
        <f t="shared" ca="1" si="196"/>
        <v>-3146.2354575753425</v>
      </c>
      <c r="AV426" s="3">
        <f t="shared" ca="1" si="197"/>
        <v>-3146.2354575753425</v>
      </c>
    </row>
    <row r="427" spans="13:48" x14ac:dyDescent="0.2">
      <c r="M427" s="3" t="str">
        <f t="shared" si="183"/>
        <v/>
      </c>
      <c r="N427" s="3"/>
      <c r="AA427" s="3" t="str">
        <f t="shared" si="186"/>
        <v/>
      </c>
      <c r="AB427" s="3" t="str">
        <f t="shared" si="187"/>
        <v/>
      </c>
      <c r="AC427" s="3" t="str">
        <f t="shared" si="188"/>
        <v/>
      </c>
      <c r="AD427" s="3" t="str">
        <f t="shared" si="189"/>
        <v/>
      </c>
      <c r="AE427" s="1" t="str">
        <f t="shared" ca="1" si="190"/>
        <v/>
      </c>
      <c r="AG427" s="3" t="str">
        <f t="shared" si="181"/>
        <v/>
      </c>
      <c r="AH427" s="1" t="str">
        <f t="shared" si="191"/>
        <v/>
      </c>
      <c r="AI427" s="3" t="str">
        <f t="shared" si="192"/>
        <v/>
      </c>
      <c r="AL427" s="3" t="str">
        <f t="shared" si="193"/>
        <v/>
      </c>
      <c r="AM427" s="3" t="str">
        <f t="shared" si="194"/>
        <v/>
      </c>
      <c r="AQ427" s="4">
        <f t="shared" ca="1" si="182"/>
        <v>44775</v>
      </c>
      <c r="AR427" s="3">
        <f t="shared" ca="1" si="198"/>
        <v>601180.88999999943</v>
      </c>
      <c r="AS427" s="63">
        <f ca="1">IF($AQ427&lt;&gt;"", INDEX(Inputs!$B$3:$B$101, MATCH($AQ427,Inputs!$A$3:$A$101,1)), "")</f>
        <v>1.35E-2</v>
      </c>
      <c r="AT427" s="48">
        <f t="shared" ca="1" si="195"/>
        <v>22.235457575342444</v>
      </c>
      <c r="AU427" s="3">
        <f t="shared" ca="1" si="196"/>
        <v>-22.235457575342444</v>
      </c>
      <c r="AV427" s="3">
        <f t="shared" ca="1" si="197"/>
        <v>-22.235457575342444</v>
      </c>
    </row>
    <row r="428" spans="13:48" x14ac:dyDescent="0.2">
      <c r="M428" s="3" t="str">
        <f t="shared" si="183"/>
        <v/>
      </c>
      <c r="N428" s="3"/>
      <c r="AA428" s="3" t="str">
        <f t="shared" si="186"/>
        <v/>
      </c>
      <c r="AB428" s="3" t="str">
        <f t="shared" si="187"/>
        <v/>
      </c>
      <c r="AC428" s="3" t="str">
        <f t="shared" si="188"/>
        <v/>
      </c>
      <c r="AD428" s="3" t="str">
        <f t="shared" si="189"/>
        <v/>
      </c>
      <c r="AE428" s="1" t="str">
        <f t="shared" ca="1" si="190"/>
        <v/>
      </c>
      <c r="AG428" s="3" t="str">
        <f t="shared" si="181"/>
        <v/>
      </c>
      <c r="AH428" s="1" t="str">
        <f t="shared" si="191"/>
        <v/>
      </c>
      <c r="AI428" s="3" t="str">
        <f t="shared" si="192"/>
        <v/>
      </c>
      <c r="AL428" s="3" t="str">
        <f t="shared" si="193"/>
        <v/>
      </c>
      <c r="AM428" s="3" t="str">
        <f t="shared" si="194"/>
        <v/>
      </c>
      <c r="AQ428" s="4">
        <f t="shared" ca="1" si="182"/>
        <v>44776</v>
      </c>
      <c r="AR428" s="3">
        <f t="shared" ca="1" si="198"/>
        <v>601180.88999999943</v>
      </c>
      <c r="AS428" s="63">
        <f ca="1">IF($AQ428&lt;&gt;"", INDEX(Inputs!$B$3:$B$101, MATCH($AQ428,Inputs!$A$3:$A$101,1)), "")</f>
        <v>1.8499999999999999E-2</v>
      </c>
      <c r="AT428" s="48">
        <f t="shared" ca="1" si="195"/>
        <v>30.470812232876685</v>
      </c>
      <c r="AU428" s="3">
        <f t="shared" ca="1" si="196"/>
        <v>-30.470812232876685</v>
      </c>
      <c r="AV428" s="3">
        <f t="shared" ca="1" si="197"/>
        <v>-30.470812232876685</v>
      </c>
    </row>
    <row r="429" spans="13:48" x14ac:dyDescent="0.2">
      <c r="M429" s="3" t="str">
        <f t="shared" si="183"/>
        <v/>
      </c>
      <c r="N429" s="3"/>
      <c r="AA429" s="3" t="str">
        <f t="shared" si="186"/>
        <v/>
      </c>
      <c r="AB429" s="3" t="str">
        <f t="shared" si="187"/>
        <v/>
      </c>
      <c r="AC429" s="3" t="str">
        <f t="shared" si="188"/>
        <v/>
      </c>
      <c r="AD429" s="3" t="str">
        <f t="shared" si="189"/>
        <v/>
      </c>
      <c r="AE429" s="1" t="str">
        <f t="shared" ca="1" si="190"/>
        <v/>
      </c>
      <c r="AG429" s="3" t="str">
        <f t="shared" si="181"/>
        <v/>
      </c>
      <c r="AH429" s="1" t="str">
        <f t="shared" si="191"/>
        <v/>
      </c>
      <c r="AI429" s="3" t="str">
        <f t="shared" si="192"/>
        <v/>
      </c>
      <c r="AL429" s="3" t="str">
        <f t="shared" si="193"/>
        <v/>
      </c>
      <c r="AM429" s="3" t="str">
        <f t="shared" si="194"/>
        <v/>
      </c>
      <c r="AQ429" s="4">
        <f t="shared" ca="1" si="182"/>
        <v>44777</v>
      </c>
      <c r="AR429" s="3">
        <f t="shared" ca="1" si="198"/>
        <v>601180.88999999943</v>
      </c>
      <c r="AS429" s="63">
        <f ca="1">IF($AQ429&lt;&gt;"", INDEX(Inputs!$B$3:$B$101, MATCH($AQ429,Inputs!$A$3:$A$101,1)), "")</f>
        <v>1.8499999999999999E-2</v>
      </c>
      <c r="AT429" s="48">
        <f t="shared" ca="1" si="195"/>
        <v>30.470812232876685</v>
      </c>
      <c r="AU429" s="3">
        <f t="shared" ca="1" si="196"/>
        <v>-30.470812232876685</v>
      </c>
      <c r="AV429" s="3">
        <f t="shared" ca="1" si="197"/>
        <v>-30.470812232876685</v>
      </c>
    </row>
    <row r="430" spans="13:48" x14ac:dyDescent="0.2">
      <c r="M430" s="3" t="str">
        <f t="shared" si="183"/>
        <v/>
      </c>
      <c r="N430" s="3"/>
      <c r="AA430" s="3" t="str">
        <f t="shared" si="186"/>
        <v/>
      </c>
      <c r="AB430" s="3" t="str">
        <f t="shared" si="187"/>
        <v/>
      </c>
      <c r="AC430" s="3" t="str">
        <f t="shared" si="188"/>
        <v/>
      </c>
      <c r="AD430" s="3" t="str">
        <f t="shared" si="189"/>
        <v/>
      </c>
      <c r="AE430" s="1" t="str">
        <f t="shared" ca="1" si="190"/>
        <v/>
      </c>
      <c r="AG430" s="3" t="str">
        <f t="shared" si="181"/>
        <v/>
      </c>
      <c r="AH430" s="1" t="str">
        <f t="shared" si="191"/>
        <v/>
      </c>
      <c r="AI430" s="3" t="str">
        <f t="shared" si="192"/>
        <v/>
      </c>
      <c r="AL430" s="3" t="str">
        <f t="shared" si="193"/>
        <v/>
      </c>
      <c r="AM430" s="3" t="str">
        <f t="shared" si="194"/>
        <v/>
      </c>
      <c r="AQ430" s="4">
        <f t="shared" ca="1" si="182"/>
        <v>44778</v>
      </c>
      <c r="AR430" s="3">
        <f t="shared" ca="1" si="198"/>
        <v>601180.88999999943</v>
      </c>
      <c r="AS430" s="63">
        <f ca="1">IF($AQ430&lt;&gt;"", INDEX(Inputs!$B$3:$B$101, MATCH($AQ430,Inputs!$A$3:$A$101,1)), "")</f>
        <v>1.8499999999999999E-2</v>
      </c>
      <c r="AT430" s="48">
        <f t="shared" ca="1" si="195"/>
        <v>30.470812232876685</v>
      </c>
      <c r="AU430" s="3">
        <f t="shared" ca="1" si="196"/>
        <v>-30.470812232876685</v>
      </c>
      <c r="AV430" s="3">
        <f t="shared" ca="1" si="197"/>
        <v>-30.470812232876685</v>
      </c>
    </row>
    <row r="431" spans="13:48" x14ac:dyDescent="0.2">
      <c r="M431" s="3" t="str">
        <f t="shared" si="183"/>
        <v/>
      </c>
      <c r="N431" s="3"/>
      <c r="AA431" s="3" t="str">
        <f t="shared" si="186"/>
        <v/>
      </c>
      <c r="AB431" s="3" t="str">
        <f t="shared" si="187"/>
        <v/>
      </c>
      <c r="AC431" s="3" t="str">
        <f t="shared" si="188"/>
        <v/>
      </c>
      <c r="AD431" s="3" t="str">
        <f t="shared" si="189"/>
        <v/>
      </c>
      <c r="AE431" s="1" t="str">
        <f t="shared" ca="1" si="190"/>
        <v/>
      </c>
      <c r="AG431" s="3" t="str">
        <f t="shared" si="181"/>
        <v/>
      </c>
      <c r="AH431" s="1" t="str">
        <f t="shared" si="191"/>
        <v/>
      </c>
      <c r="AI431" s="3" t="str">
        <f t="shared" si="192"/>
        <v/>
      </c>
      <c r="AL431" s="3" t="str">
        <f t="shared" si="193"/>
        <v/>
      </c>
      <c r="AM431" s="3" t="str">
        <f t="shared" si="194"/>
        <v/>
      </c>
      <c r="AQ431" s="4">
        <f t="shared" ca="1" si="182"/>
        <v>44779</v>
      </c>
      <c r="AR431" s="3">
        <f t="shared" ca="1" si="198"/>
        <v>601180.88999999943</v>
      </c>
      <c r="AS431" s="63">
        <f ca="1">IF($AQ431&lt;&gt;"", INDEX(Inputs!$B$3:$B$101, MATCH($AQ431,Inputs!$A$3:$A$101,1)), "")</f>
        <v>1.8499999999999999E-2</v>
      </c>
      <c r="AT431" s="48">
        <f t="shared" ca="1" si="195"/>
        <v>30.470812232876685</v>
      </c>
      <c r="AU431" s="3">
        <f t="shared" ca="1" si="196"/>
        <v>-30.470812232876685</v>
      </c>
      <c r="AV431" s="3">
        <f t="shared" ca="1" si="197"/>
        <v>-30.470812232876685</v>
      </c>
    </row>
    <row r="432" spans="13:48" x14ac:dyDescent="0.2">
      <c r="M432" s="3" t="str">
        <f t="shared" si="183"/>
        <v/>
      </c>
      <c r="N432" s="3"/>
      <c r="AA432" s="3" t="str">
        <f t="shared" si="186"/>
        <v/>
      </c>
      <c r="AB432" s="3" t="str">
        <f t="shared" si="187"/>
        <v/>
      </c>
      <c r="AC432" s="3" t="str">
        <f t="shared" si="188"/>
        <v/>
      </c>
      <c r="AD432" s="3" t="str">
        <f t="shared" si="189"/>
        <v/>
      </c>
      <c r="AE432" s="1" t="str">
        <f t="shared" ca="1" si="190"/>
        <v/>
      </c>
      <c r="AG432" s="3" t="str">
        <f t="shared" si="181"/>
        <v/>
      </c>
      <c r="AH432" s="1" t="str">
        <f t="shared" si="191"/>
        <v/>
      </c>
      <c r="AI432" s="3" t="str">
        <f t="shared" si="192"/>
        <v/>
      </c>
      <c r="AL432" s="3" t="str">
        <f t="shared" si="193"/>
        <v/>
      </c>
      <c r="AM432" s="3" t="str">
        <f t="shared" si="194"/>
        <v/>
      </c>
      <c r="AQ432" s="4">
        <f t="shared" ca="1" si="182"/>
        <v>44780</v>
      </c>
      <c r="AR432" s="3">
        <f t="shared" ca="1" si="198"/>
        <v>601180.88999999943</v>
      </c>
      <c r="AS432" s="63">
        <f ca="1">IF($AQ432&lt;&gt;"", INDEX(Inputs!$B$3:$B$101, MATCH($AQ432,Inputs!$A$3:$A$101,1)), "")</f>
        <v>1.8499999999999999E-2</v>
      </c>
      <c r="AT432" s="48">
        <f t="shared" ca="1" si="195"/>
        <v>30.470812232876685</v>
      </c>
      <c r="AU432" s="3">
        <f t="shared" ca="1" si="196"/>
        <v>-30.470812232876685</v>
      </c>
      <c r="AV432" s="3">
        <f t="shared" ca="1" si="197"/>
        <v>-30.470812232876685</v>
      </c>
    </row>
    <row r="433" spans="13:48" x14ac:dyDescent="0.2">
      <c r="M433" s="3" t="str">
        <f t="shared" si="183"/>
        <v/>
      </c>
      <c r="N433" s="3"/>
      <c r="AA433" s="3" t="str">
        <f t="shared" si="186"/>
        <v/>
      </c>
      <c r="AB433" s="3" t="str">
        <f t="shared" si="187"/>
        <v/>
      </c>
      <c r="AC433" s="3" t="str">
        <f t="shared" si="188"/>
        <v/>
      </c>
      <c r="AD433" s="3" t="str">
        <f t="shared" si="189"/>
        <v/>
      </c>
      <c r="AE433" s="1" t="str">
        <f t="shared" ca="1" si="190"/>
        <v/>
      </c>
      <c r="AG433" s="3" t="str">
        <f t="shared" si="181"/>
        <v/>
      </c>
      <c r="AH433" s="1" t="str">
        <f t="shared" si="191"/>
        <v/>
      </c>
      <c r="AI433" s="3" t="str">
        <f t="shared" si="192"/>
        <v/>
      </c>
      <c r="AL433" s="3" t="str">
        <f t="shared" si="193"/>
        <v/>
      </c>
      <c r="AM433" s="3" t="str">
        <f t="shared" si="194"/>
        <v/>
      </c>
      <c r="AQ433" s="4">
        <f t="shared" ref="AQ433:AQ496" ca="1" si="199">IF(AQ432&lt;$AP$3,AQ432+1,"")</f>
        <v>44781</v>
      </c>
      <c r="AR433" s="3">
        <f t="shared" ca="1" si="198"/>
        <v>601180.88999999943</v>
      </c>
      <c r="AS433" s="63">
        <f ca="1">IF($AQ433&lt;&gt;"", INDEX(Inputs!$B$3:$B$101, MATCH($AQ433,Inputs!$A$3:$A$101,1)), "")</f>
        <v>1.8499999999999999E-2</v>
      </c>
      <c r="AT433" s="48">
        <f t="shared" ca="1" si="195"/>
        <v>30.470812232876685</v>
      </c>
      <c r="AU433" s="3">
        <f t="shared" ca="1" si="196"/>
        <v>-30.470812232876685</v>
      </c>
      <c r="AV433" s="3">
        <f t="shared" ca="1" si="197"/>
        <v>-30.470812232876685</v>
      </c>
    </row>
    <row r="434" spans="13:48" x14ac:dyDescent="0.2">
      <c r="M434" s="3" t="str">
        <f t="shared" si="183"/>
        <v/>
      </c>
      <c r="N434" s="3"/>
      <c r="AA434" s="3" t="str">
        <f t="shared" si="186"/>
        <v/>
      </c>
      <c r="AB434" s="3" t="str">
        <f t="shared" si="187"/>
        <v/>
      </c>
      <c r="AC434" s="3" t="str">
        <f t="shared" si="188"/>
        <v/>
      </c>
      <c r="AD434" s="3" t="str">
        <f t="shared" si="189"/>
        <v/>
      </c>
      <c r="AE434" s="1" t="str">
        <f t="shared" ca="1" si="190"/>
        <v/>
      </c>
      <c r="AG434" s="3" t="str">
        <f t="shared" si="181"/>
        <v/>
      </c>
      <c r="AH434" s="1" t="str">
        <f t="shared" si="191"/>
        <v/>
      </c>
      <c r="AI434" s="3" t="str">
        <f t="shared" si="192"/>
        <v/>
      </c>
      <c r="AL434" s="3" t="str">
        <f t="shared" si="193"/>
        <v/>
      </c>
      <c r="AM434" s="3" t="str">
        <f t="shared" si="194"/>
        <v/>
      </c>
      <c r="AQ434" s="4">
        <f t="shared" ca="1" si="199"/>
        <v>44782</v>
      </c>
      <c r="AR434" s="3">
        <f t="shared" ca="1" si="198"/>
        <v>601180.88999999943</v>
      </c>
      <c r="AS434" s="63">
        <f ca="1">IF($AQ434&lt;&gt;"", INDEX(Inputs!$B$3:$B$101, MATCH($AQ434,Inputs!$A$3:$A$101,1)), "")</f>
        <v>1.8499999999999999E-2</v>
      </c>
      <c r="AT434" s="48">
        <f t="shared" ca="1" si="195"/>
        <v>30.470812232876685</v>
      </c>
      <c r="AU434" s="3">
        <f t="shared" ca="1" si="196"/>
        <v>-30.470812232876685</v>
      </c>
      <c r="AV434" s="3">
        <f t="shared" ca="1" si="197"/>
        <v>-30.470812232876685</v>
      </c>
    </row>
    <row r="435" spans="13:48" x14ac:dyDescent="0.2">
      <c r="M435" s="3" t="str">
        <f t="shared" si="183"/>
        <v/>
      </c>
      <c r="N435" s="3"/>
      <c r="AA435" s="3" t="str">
        <f t="shared" si="186"/>
        <v/>
      </c>
      <c r="AB435" s="3" t="str">
        <f t="shared" si="187"/>
        <v/>
      </c>
      <c r="AC435" s="3" t="str">
        <f t="shared" si="188"/>
        <v/>
      </c>
      <c r="AD435" s="3" t="str">
        <f t="shared" si="189"/>
        <v/>
      </c>
      <c r="AE435" s="1" t="str">
        <f t="shared" ca="1" si="190"/>
        <v/>
      </c>
      <c r="AG435" s="3" t="str">
        <f t="shared" si="181"/>
        <v/>
      </c>
      <c r="AH435" s="1" t="str">
        <f t="shared" si="191"/>
        <v/>
      </c>
      <c r="AI435" s="3" t="str">
        <f t="shared" si="192"/>
        <v/>
      </c>
      <c r="AL435" s="3" t="str">
        <f t="shared" si="193"/>
        <v/>
      </c>
      <c r="AM435" s="3" t="str">
        <f t="shared" si="194"/>
        <v/>
      </c>
      <c r="AQ435" s="4">
        <f t="shared" ca="1" si="199"/>
        <v>44783</v>
      </c>
      <c r="AR435" s="3">
        <f t="shared" ca="1" si="198"/>
        <v>601180.88999999943</v>
      </c>
      <c r="AS435" s="63">
        <f ca="1">IF($AQ435&lt;&gt;"", INDEX(Inputs!$B$3:$B$101, MATCH($AQ435,Inputs!$A$3:$A$101,1)), "")</f>
        <v>1.8499999999999999E-2</v>
      </c>
      <c r="AT435" s="48">
        <f t="shared" ca="1" si="195"/>
        <v>30.470812232876685</v>
      </c>
      <c r="AU435" s="3">
        <f t="shared" ca="1" si="196"/>
        <v>-30.470812232876685</v>
      </c>
      <c r="AV435" s="3">
        <f t="shared" ca="1" si="197"/>
        <v>-30.470812232876685</v>
      </c>
    </row>
    <row r="436" spans="13:48" x14ac:dyDescent="0.2">
      <c r="M436" s="3" t="str">
        <f t="shared" ref="M436:M467" si="200">IF($A436&lt;&gt;"", IF(ISNUMBER(SEARCH("Debt Cost (est.)",B436)), SUMIFS(AT:AT, AQ:AQ, "&gt;="&amp;DATE("20"&amp;RIGHT(LEFT(B436,4),2)-1,7,1), AQ:AQ, "&lt;="&amp;DATE("20"&amp;RIGHT(LEFT(B436,4),2),6,30)), ""), "")</f>
        <v/>
      </c>
      <c r="N436" s="3"/>
      <c r="AA436" s="3" t="str">
        <f t="shared" si="186"/>
        <v/>
      </c>
      <c r="AB436" s="3" t="str">
        <f t="shared" si="187"/>
        <v/>
      </c>
      <c r="AC436" s="3" t="str">
        <f t="shared" si="188"/>
        <v/>
      </c>
      <c r="AD436" s="3" t="str">
        <f t="shared" si="189"/>
        <v/>
      </c>
      <c r="AE436" s="1" t="str">
        <f t="shared" ca="1" si="190"/>
        <v/>
      </c>
      <c r="AG436" s="3" t="str">
        <f t="shared" si="181"/>
        <v/>
      </c>
      <c r="AH436" s="1" t="str">
        <f t="shared" si="191"/>
        <v/>
      </c>
      <c r="AI436" s="3" t="str">
        <f t="shared" si="192"/>
        <v/>
      </c>
      <c r="AL436" s="3" t="str">
        <f t="shared" si="193"/>
        <v/>
      </c>
      <c r="AM436" s="3" t="str">
        <f t="shared" si="194"/>
        <v/>
      </c>
      <c r="AQ436" s="4">
        <f t="shared" ca="1" si="199"/>
        <v>44784</v>
      </c>
      <c r="AR436" s="3">
        <f t="shared" ca="1" si="198"/>
        <v>601180.88999999943</v>
      </c>
      <c r="AS436" s="63">
        <f ca="1">IF($AQ436&lt;&gt;"", INDEX(Inputs!$B$3:$B$101, MATCH($AQ436,Inputs!$A$3:$A$101,1)), "")</f>
        <v>1.8499999999999999E-2</v>
      </c>
      <c r="AT436" s="48">
        <f t="shared" ca="1" si="195"/>
        <v>30.470812232876685</v>
      </c>
      <c r="AU436" s="3">
        <f t="shared" ca="1" si="196"/>
        <v>-624.49081223287669</v>
      </c>
      <c r="AV436" s="3">
        <f t="shared" ca="1" si="197"/>
        <v>-624.49081223287669</v>
      </c>
    </row>
    <row r="437" spans="13:48" x14ac:dyDescent="0.2">
      <c r="M437" s="3" t="str">
        <f t="shared" si="200"/>
        <v/>
      </c>
      <c r="N437" s="3"/>
      <c r="AA437" s="3" t="str">
        <f t="shared" si="186"/>
        <v/>
      </c>
      <c r="AB437" s="3" t="str">
        <f t="shared" si="187"/>
        <v/>
      </c>
      <c r="AC437" s="3" t="str">
        <f t="shared" si="188"/>
        <v/>
      </c>
      <c r="AD437" s="3" t="str">
        <f t="shared" si="189"/>
        <v/>
      </c>
      <c r="AE437" s="1" t="str">
        <f t="shared" ca="1" si="190"/>
        <v/>
      </c>
      <c r="AG437" s="3" t="str">
        <f t="shared" si="181"/>
        <v/>
      </c>
      <c r="AH437" s="1" t="str">
        <f t="shared" si="191"/>
        <v/>
      </c>
      <c r="AI437" s="3" t="str">
        <f t="shared" si="192"/>
        <v/>
      </c>
      <c r="AL437" s="3" t="str">
        <f t="shared" si="193"/>
        <v/>
      </c>
      <c r="AM437" s="3" t="str">
        <f t="shared" si="194"/>
        <v/>
      </c>
      <c r="AQ437" s="4">
        <f t="shared" ca="1" si="199"/>
        <v>44785</v>
      </c>
      <c r="AR437" s="3">
        <f t="shared" ca="1" si="198"/>
        <v>601180.88999999943</v>
      </c>
      <c r="AS437" s="63">
        <f ca="1">IF($AQ437&lt;&gt;"", INDEX(Inputs!$B$3:$B$101, MATCH($AQ437,Inputs!$A$3:$A$101,1)), "")</f>
        <v>1.8499999999999999E-2</v>
      </c>
      <c r="AT437" s="48">
        <f t="shared" ca="1" si="195"/>
        <v>30.470812232876685</v>
      </c>
      <c r="AU437" s="3">
        <f t="shared" ca="1" si="196"/>
        <v>-30.470812232876685</v>
      </c>
      <c r="AV437" s="3">
        <f t="shared" ca="1" si="197"/>
        <v>-30.470812232876685</v>
      </c>
    </row>
    <row r="438" spans="13:48" x14ac:dyDescent="0.2">
      <c r="M438" s="3" t="str">
        <f t="shared" si="200"/>
        <v/>
      </c>
      <c r="N438" s="3"/>
      <c r="AA438" s="3" t="str">
        <f t="shared" si="186"/>
        <v/>
      </c>
      <c r="AB438" s="3" t="str">
        <f t="shared" si="187"/>
        <v/>
      </c>
      <c r="AC438" s="3" t="str">
        <f t="shared" si="188"/>
        <v/>
      </c>
      <c r="AD438" s="3" t="str">
        <f t="shared" si="189"/>
        <v/>
      </c>
      <c r="AE438" s="1" t="str">
        <f t="shared" ca="1" si="190"/>
        <v/>
      </c>
      <c r="AG438" s="3" t="str">
        <f t="shared" si="181"/>
        <v/>
      </c>
      <c r="AH438" s="1" t="str">
        <f t="shared" si="191"/>
        <v/>
      </c>
      <c r="AI438" s="3" t="str">
        <f t="shared" si="192"/>
        <v/>
      </c>
      <c r="AL438" s="3" t="str">
        <f t="shared" si="193"/>
        <v/>
      </c>
      <c r="AM438" s="3" t="str">
        <f t="shared" si="194"/>
        <v/>
      </c>
      <c r="AQ438" s="4">
        <f t="shared" ca="1" si="199"/>
        <v>44786</v>
      </c>
      <c r="AR438" s="3">
        <f t="shared" ca="1" si="198"/>
        <v>601180.88999999943</v>
      </c>
      <c r="AS438" s="63">
        <f ca="1">IF($AQ438&lt;&gt;"", INDEX(Inputs!$B$3:$B$101, MATCH($AQ438,Inputs!$A$3:$A$101,1)), "")</f>
        <v>1.8499999999999999E-2</v>
      </c>
      <c r="AT438" s="48">
        <f t="shared" ca="1" si="195"/>
        <v>30.470812232876685</v>
      </c>
      <c r="AU438" s="3">
        <f t="shared" ca="1" si="196"/>
        <v>-30.470812232876685</v>
      </c>
      <c r="AV438" s="3">
        <f t="shared" ca="1" si="197"/>
        <v>-30.470812232876685</v>
      </c>
    </row>
    <row r="439" spans="13:48" x14ac:dyDescent="0.2">
      <c r="M439" s="3" t="str">
        <f t="shared" si="200"/>
        <v/>
      </c>
      <c r="N439" s="3"/>
      <c r="AA439" s="3" t="str">
        <f t="shared" si="186"/>
        <v/>
      </c>
      <c r="AB439" s="3" t="str">
        <f t="shared" si="187"/>
        <v/>
      </c>
      <c r="AC439" s="3" t="str">
        <f t="shared" si="188"/>
        <v/>
      </c>
      <c r="AD439" s="3" t="str">
        <f t="shared" si="189"/>
        <v/>
      </c>
      <c r="AE439" s="1" t="str">
        <f t="shared" ca="1" si="190"/>
        <v/>
      </c>
      <c r="AG439" s="3" t="str">
        <f t="shared" si="181"/>
        <v/>
      </c>
      <c r="AH439" s="1" t="str">
        <f t="shared" si="191"/>
        <v/>
      </c>
      <c r="AI439" s="3" t="str">
        <f t="shared" si="192"/>
        <v/>
      </c>
      <c r="AL439" s="3" t="str">
        <f t="shared" si="193"/>
        <v/>
      </c>
      <c r="AM439" s="3" t="str">
        <f t="shared" si="194"/>
        <v/>
      </c>
      <c r="AQ439" s="4">
        <f t="shared" ca="1" si="199"/>
        <v>44787</v>
      </c>
      <c r="AR439" s="3">
        <f t="shared" ca="1" si="198"/>
        <v>601180.88999999943</v>
      </c>
      <c r="AS439" s="63">
        <f ca="1">IF($AQ439&lt;&gt;"", INDEX(Inputs!$B$3:$B$101, MATCH($AQ439,Inputs!$A$3:$A$101,1)), "")</f>
        <v>1.8499999999999999E-2</v>
      </c>
      <c r="AT439" s="48">
        <f t="shared" ca="1" si="195"/>
        <v>30.470812232876685</v>
      </c>
      <c r="AU439" s="3">
        <f t="shared" ca="1" si="196"/>
        <v>-30.470812232876685</v>
      </c>
      <c r="AV439" s="3">
        <f t="shared" ca="1" si="197"/>
        <v>-30.470812232876685</v>
      </c>
    </row>
    <row r="440" spans="13:48" x14ac:dyDescent="0.2">
      <c r="M440" s="3" t="str">
        <f t="shared" si="200"/>
        <v/>
      </c>
      <c r="N440" s="3"/>
      <c r="AA440" s="3" t="str">
        <f t="shared" si="186"/>
        <v/>
      </c>
      <c r="AB440" s="3" t="str">
        <f t="shared" si="187"/>
        <v/>
      </c>
      <c r="AC440" s="3" t="str">
        <f t="shared" si="188"/>
        <v/>
      </c>
      <c r="AD440" s="3" t="str">
        <f t="shared" si="189"/>
        <v/>
      </c>
      <c r="AE440" s="1" t="str">
        <f t="shared" ca="1" si="190"/>
        <v/>
      </c>
      <c r="AG440" s="3" t="str">
        <f t="shared" si="181"/>
        <v/>
      </c>
      <c r="AH440" s="1" t="str">
        <f t="shared" si="191"/>
        <v/>
      </c>
      <c r="AI440" s="3" t="str">
        <f t="shared" si="192"/>
        <v/>
      </c>
      <c r="AL440" s="3" t="str">
        <f t="shared" si="193"/>
        <v/>
      </c>
      <c r="AM440" s="3" t="str">
        <f t="shared" si="194"/>
        <v/>
      </c>
      <c r="AQ440" s="4">
        <f t="shared" ca="1" si="199"/>
        <v>44788</v>
      </c>
      <c r="AR440" s="3">
        <f t="shared" ca="1" si="198"/>
        <v>601180.88999999943</v>
      </c>
      <c r="AS440" s="63">
        <f ca="1">IF($AQ440&lt;&gt;"", INDEX(Inputs!$B$3:$B$101, MATCH($AQ440,Inputs!$A$3:$A$101,1)), "")</f>
        <v>1.8499999999999999E-2</v>
      </c>
      <c r="AT440" s="48">
        <f t="shared" ca="1" si="195"/>
        <v>30.470812232876685</v>
      </c>
      <c r="AU440" s="3">
        <f t="shared" ca="1" si="196"/>
        <v>-30.470812232876685</v>
      </c>
      <c r="AV440" s="3">
        <f t="shared" ca="1" si="197"/>
        <v>-30.470812232876685</v>
      </c>
    </row>
    <row r="441" spans="13:48" x14ac:dyDescent="0.2">
      <c r="M441" s="3" t="str">
        <f t="shared" si="200"/>
        <v/>
      </c>
      <c r="N441" s="3"/>
      <c r="AA441" s="3" t="str">
        <f t="shared" si="186"/>
        <v/>
      </c>
      <c r="AB441" s="3" t="str">
        <f t="shared" si="187"/>
        <v/>
      </c>
      <c r="AC441" s="3" t="str">
        <f t="shared" si="188"/>
        <v/>
      </c>
      <c r="AD441" s="3" t="str">
        <f t="shared" si="189"/>
        <v/>
      </c>
      <c r="AE441" s="1" t="str">
        <f t="shared" ca="1" si="190"/>
        <v/>
      </c>
      <c r="AG441" s="3" t="str">
        <f t="shared" si="181"/>
        <v/>
      </c>
      <c r="AH441" s="1" t="str">
        <f t="shared" si="191"/>
        <v/>
      </c>
      <c r="AI441" s="3" t="str">
        <f t="shared" si="192"/>
        <v/>
      </c>
      <c r="AL441" s="3" t="str">
        <f t="shared" si="193"/>
        <v/>
      </c>
      <c r="AM441" s="3" t="str">
        <f t="shared" si="194"/>
        <v/>
      </c>
      <c r="AQ441" s="4">
        <f t="shared" ca="1" si="199"/>
        <v>44789</v>
      </c>
      <c r="AR441" s="3">
        <f t="shared" ca="1" si="198"/>
        <v>613253.93999999948</v>
      </c>
      <c r="AS441" s="63">
        <f ca="1">IF($AQ441&lt;&gt;"", INDEX(Inputs!$B$3:$B$101, MATCH($AQ441,Inputs!$A$3:$A$101,1)), "")</f>
        <v>1.8499999999999999E-2</v>
      </c>
      <c r="AT441" s="48">
        <f t="shared" ca="1" si="195"/>
        <v>31.082733945205455</v>
      </c>
      <c r="AU441" s="3">
        <f t="shared" ca="1" si="196"/>
        <v>-12104.132733945205</v>
      </c>
      <c r="AV441" s="3">
        <f t="shared" ca="1" si="197"/>
        <v>-12104.132733945205</v>
      </c>
    </row>
    <row r="442" spans="13:48" x14ac:dyDescent="0.2">
      <c r="M442" s="3" t="str">
        <f t="shared" si="200"/>
        <v/>
      </c>
      <c r="N442" s="3"/>
      <c r="AA442" s="3" t="str">
        <f t="shared" si="186"/>
        <v/>
      </c>
      <c r="AB442" s="3" t="str">
        <f t="shared" si="187"/>
        <v/>
      </c>
      <c r="AC442" s="3" t="str">
        <f t="shared" si="188"/>
        <v/>
      </c>
      <c r="AD442" s="3" t="str">
        <f t="shared" si="189"/>
        <v/>
      </c>
      <c r="AE442" s="1" t="str">
        <f t="shared" ca="1" si="190"/>
        <v/>
      </c>
      <c r="AG442" s="3" t="str">
        <f t="shared" si="181"/>
        <v/>
      </c>
      <c r="AH442" s="1" t="str">
        <f t="shared" si="191"/>
        <v/>
      </c>
      <c r="AI442" s="3" t="str">
        <f t="shared" si="192"/>
        <v/>
      </c>
      <c r="AL442" s="3" t="str">
        <f t="shared" si="193"/>
        <v/>
      </c>
      <c r="AM442" s="3" t="str">
        <f t="shared" si="194"/>
        <v/>
      </c>
      <c r="AQ442" s="4">
        <f t="shared" ca="1" si="199"/>
        <v>44790</v>
      </c>
      <c r="AR442" s="3">
        <f t="shared" ca="1" si="198"/>
        <v>613253.93999999948</v>
      </c>
      <c r="AS442" s="63">
        <f ca="1">IF($AQ442&lt;&gt;"", INDEX(Inputs!$B$3:$B$101, MATCH($AQ442,Inputs!$A$3:$A$101,1)), "")</f>
        <v>1.8499999999999999E-2</v>
      </c>
      <c r="AT442" s="48">
        <f t="shared" ca="1" si="195"/>
        <v>31.082733945205455</v>
      </c>
      <c r="AU442" s="3">
        <f t="shared" ca="1" si="196"/>
        <v>-31.082733945205455</v>
      </c>
      <c r="AV442" s="3">
        <f t="shared" ca="1" si="197"/>
        <v>-31.082733945205455</v>
      </c>
    </row>
    <row r="443" spans="13:48" x14ac:dyDescent="0.2">
      <c r="M443" s="3" t="str">
        <f t="shared" si="200"/>
        <v/>
      </c>
      <c r="N443" s="3"/>
      <c r="AA443" s="3" t="str">
        <f t="shared" si="186"/>
        <v/>
      </c>
      <c r="AB443" s="3" t="str">
        <f t="shared" si="187"/>
        <v/>
      </c>
      <c r="AC443" s="3" t="str">
        <f t="shared" si="188"/>
        <v/>
      </c>
      <c r="AD443" s="3" t="str">
        <f t="shared" si="189"/>
        <v/>
      </c>
      <c r="AE443" s="1" t="str">
        <f t="shared" ca="1" si="190"/>
        <v/>
      </c>
      <c r="AG443" s="3" t="str">
        <f t="shared" si="181"/>
        <v/>
      </c>
      <c r="AH443" s="1" t="str">
        <f t="shared" si="191"/>
        <v/>
      </c>
      <c r="AI443" s="3" t="str">
        <f t="shared" si="192"/>
        <v/>
      </c>
      <c r="AL443" s="3" t="str">
        <f t="shared" si="193"/>
        <v/>
      </c>
      <c r="AM443" s="3" t="str">
        <f t="shared" si="194"/>
        <v/>
      </c>
      <c r="AQ443" s="4">
        <f t="shared" ca="1" si="199"/>
        <v>44791</v>
      </c>
      <c r="AR443" s="3">
        <f t="shared" ca="1" si="198"/>
        <v>613253.93999999948</v>
      </c>
      <c r="AS443" s="63">
        <f ca="1">IF($AQ443&lt;&gt;"", INDEX(Inputs!$B$3:$B$101, MATCH($AQ443,Inputs!$A$3:$A$101,1)), "")</f>
        <v>1.8499999999999999E-2</v>
      </c>
      <c r="AT443" s="48">
        <f t="shared" ca="1" si="195"/>
        <v>31.082733945205455</v>
      </c>
      <c r="AU443" s="3">
        <f t="shared" ca="1" si="196"/>
        <v>-31.082733945205455</v>
      </c>
      <c r="AV443" s="3">
        <f t="shared" ca="1" si="197"/>
        <v>-31.082733945205455</v>
      </c>
    </row>
    <row r="444" spans="13:48" x14ac:dyDescent="0.2">
      <c r="M444" s="3" t="str">
        <f t="shared" si="200"/>
        <v/>
      </c>
      <c r="N444" s="3"/>
      <c r="AA444" s="3" t="str">
        <f t="shared" si="186"/>
        <v/>
      </c>
      <c r="AB444" s="3" t="str">
        <f t="shared" si="187"/>
        <v/>
      </c>
      <c r="AC444" s="3" t="str">
        <f t="shared" si="188"/>
        <v/>
      </c>
      <c r="AD444" s="3" t="str">
        <f t="shared" si="189"/>
        <v/>
      </c>
      <c r="AE444" s="1" t="str">
        <f t="shared" ca="1" si="190"/>
        <v/>
      </c>
      <c r="AG444" s="3" t="str">
        <f t="shared" si="181"/>
        <v/>
      </c>
      <c r="AH444" s="1" t="str">
        <f t="shared" si="191"/>
        <v/>
      </c>
      <c r="AI444" s="3" t="str">
        <f t="shared" si="192"/>
        <v/>
      </c>
      <c r="AL444" s="3" t="str">
        <f t="shared" si="193"/>
        <v/>
      </c>
      <c r="AM444" s="3" t="str">
        <f t="shared" si="194"/>
        <v/>
      </c>
      <c r="AQ444" s="4">
        <f t="shared" ca="1" si="199"/>
        <v>44792</v>
      </c>
      <c r="AR444" s="3">
        <f t="shared" ca="1" si="198"/>
        <v>613253.93999999948</v>
      </c>
      <c r="AS444" s="63">
        <f ca="1">IF($AQ444&lt;&gt;"", INDEX(Inputs!$B$3:$B$101, MATCH($AQ444,Inputs!$A$3:$A$101,1)), "")</f>
        <v>1.8499999999999999E-2</v>
      </c>
      <c r="AT444" s="48">
        <f t="shared" ca="1" si="195"/>
        <v>31.082733945205455</v>
      </c>
      <c r="AU444" s="3">
        <f t="shared" ca="1" si="196"/>
        <v>-31.082733945205455</v>
      </c>
      <c r="AV444" s="3">
        <f t="shared" ca="1" si="197"/>
        <v>-31.082733945205455</v>
      </c>
    </row>
    <row r="445" spans="13:48" x14ac:dyDescent="0.2">
      <c r="M445" s="3" t="str">
        <f t="shared" si="200"/>
        <v/>
      </c>
      <c r="N445" s="3"/>
      <c r="AA445" s="3" t="str">
        <f t="shared" si="186"/>
        <v/>
      </c>
      <c r="AB445" s="3" t="str">
        <f t="shared" si="187"/>
        <v/>
      </c>
      <c r="AC445" s="3" t="str">
        <f t="shared" si="188"/>
        <v/>
      </c>
      <c r="AD445" s="3" t="str">
        <f t="shared" si="189"/>
        <v/>
      </c>
      <c r="AE445" s="1" t="str">
        <f t="shared" ca="1" si="190"/>
        <v/>
      </c>
      <c r="AG445" s="3" t="str">
        <f t="shared" si="181"/>
        <v/>
      </c>
      <c r="AH445" s="1" t="str">
        <f t="shared" si="191"/>
        <v/>
      </c>
      <c r="AI445" s="3" t="str">
        <f t="shared" si="192"/>
        <v/>
      </c>
      <c r="AL445" s="3" t="str">
        <f t="shared" si="193"/>
        <v/>
      </c>
      <c r="AM445" s="3" t="str">
        <f t="shared" si="194"/>
        <v/>
      </c>
      <c r="AQ445" s="4">
        <f t="shared" ca="1" si="199"/>
        <v>44793</v>
      </c>
      <c r="AR445" s="3">
        <f t="shared" ca="1" si="198"/>
        <v>613253.93999999948</v>
      </c>
      <c r="AS445" s="63">
        <f ca="1">IF($AQ445&lt;&gt;"", INDEX(Inputs!$B$3:$B$101, MATCH($AQ445,Inputs!$A$3:$A$101,1)), "")</f>
        <v>1.8499999999999999E-2</v>
      </c>
      <c r="AT445" s="48">
        <f t="shared" ca="1" si="195"/>
        <v>31.082733945205455</v>
      </c>
      <c r="AU445" s="3">
        <f t="shared" ca="1" si="196"/>
        <v>-31.082733945205455</v>
      </c>
      <c r="AV445" s="3">
        <f t="shared" ca="1" si="197"/>
        <v>-31.082733945205455</v>
      </c>
    </row>
    <row r="446" spans="13:48" x14ac:dyDescent="0.2">
      <c r="M446" s="3" t="str">
        <f t="shared" si="200"/>
        <v/>
      </c>
      <c r="N446" s="3"/>
      <c r="AA446" s="3" t="str">
        <f t="shared" si="186"/>
        <v/>
      </c>
      <c r="AB446" s="3" t="str">
        <f t="shared" si="187"/>
        <v/>
      </c>
      <c r="AC446" s="3" t="str">
        <f t="shared" si="188"/>
        <v/>
      </c>
      <c r="AD446" s="3" t="str">
        <f t="shared" si="189"/>
        <v/>
      </c>
      <c r="AE446" s="1" t="str">
        <f t="shared" ca="1" si="190"/>
        <v/>
      </c>
      <c r="AG446" s="3" t="str">
        <f t="shared" si="181"/>
        <v/>
      </c>
      <c r="AH446" s="1" t="str">
        <f t="shared" si="191"/>
        <v/>
      </c>
      <c r="AI446" s="3" t="str">
        <f t="shared" si="192"/>
        <v/>
      </c>
      <c r="AL446" s="3" t="str">
        <f t="shared" si="193"/>
        <v/>
      </c>
      <c r="AM446" s="3" t="str">
        <f t="shared" si="194"/>
        <v/>
      </c>
      <c r="AQ446" s="4">
        <f t="shared" ca="1" si="199"/>
        <v>44794</v>
      </c>
      <c r="AR446" s="3">
        <f t="shared" ca="1" si="198"/>
        <v>613253.93999999948</v>
      </c>
      <c r="AS446" s="63">
        <f ca="1">IF($AQ446&lt;&gt;"", INDEX(Inputs!$B$3:$B$101, MATCH($AQ446,Inputs!$A$3:$A$101,1)), "")</f>
        <v>1.8499999999999999E-2</v>
      </c>
      <c r="AT446" s="48">
        <f t="shared" ca="1" si="195"/>
        <v>31.082733945205455</v>
      </c>
      <c r="AU446" s="3">
        <f t="shared" ca="1" si="196"/>
        <v>-31.082733945205455</v>
      </c>
      <c r="AV446" s="3">
        <f t="shared" ca="1" si="197"/>
        <v>-31.082733945205455</v>
      </c>
    </row>
    <row r="447" spans="13:48" x14ac:dyDescent="0.2">
      <c r="M447" s="3" t="str">
        <f t="shared" si="200"/>
        <v/>
      </c>
      <c r="N447" s="3"/>
      <c r="AA447" s="3" t="str">
        <f t="shared" si="186"/>
        <v/>
      </c>
      <c r="AB447" s="3" t="str">
        <f t="shared" si="187"/>
        <v/>
      </c>
      <c r="AC447" s="3" t="str">
        <f t="shared" si="188"/>
        <v/>
      </c>
      <c r="AD447" s="3" t="str">
        <f t="shared" si="189"/>
        <v/>
      </c>
      <c r="AE447" s="1" t="str">
        <f t="shared" ca="1" si="190"/>
        <v/>
      </c>
      <c r="AG447" s="3" t="str">
        <f t="shared" si="181"/>
        <v/>
      </c>
      <c r="AH447" s="1" t="str">
        <f t="shared" si="191"/>
        <v/>
      </c>
      <c r="AI447" s="3" t="str">
        <f t="shared" si="192"/>
        <v/>
      </c>
      <c r="AL447" s="3" t="str">
        <f t="shared" si="193"/>
        <v/>
      </c>
      <c r="AM447" s="3" t="str">
        <f t="shared" si="194"/>
        <v/>
      </c>
      <c r="AQ447" s="4">
        <f t="shared" ca="1" si="199"/>
        <v>44795</v>
      </c>
      <c r="AR447" s="3">
        <f t="shared" ca="1" si="198"/>
        <v>613253.93999999948</v>
      </c>
      <c r="AS447" s="63">
        <f ca="1">IF($AQ447&lt;&gt;"", INDEX(Inputs!$B$3:$B$101, MATCH($AQ447,Inputs!$A$3:$A$101,1)), "")</f>
        <v>1.8499999999999999E-2</v>
      </c>
      <c r="AT447" s="48">
        <f t="shared" ca="1" si="195"/>
        <v>31.082733945205455</v>
      </c>
      <c r="AU447" s="3">
        <f t="shared" ca="1" si="196"/>
        <v>-31.082733945205455</v>
      </c>
      <c r="AV447" s="3">
        <f t="shared" ca="1" si="197"/>
        <v>-31.082733945205455</v>
      </c>
    </row>
    <row r="448" spans="13:48" x14ac:dyDescent="0.2">
      <c r="M448" s="3" t="str">
        <f t="shared" si="200"/>
        <v/>
      </c>
      <c r="N448" s="3"/>
      <c r="AA448" s="3" t="str">
        <f t="shared" si="186"/>
        <v/>
      </c>
      <c r="AB448" s="3" t="str">
        <f t="shared" si="187"/>
        <v/>
      </c>
      <c r="AC448" s="3" t="str">
        <f t="shared" si="188"/>
        <v/>
      </c>
      <c r="AD448" s="3" t="str">
        <f t="shared" si="189"/>
        <v/>
      </c>
      <c r="AE448" s="1" t="str">
        <f t="shared" ca="1" si="190"/>
        <v/>
      </c>
      <c r="AG448" s="3" t="str">
        <f t="shared" si="181"/>
        <v/>
      </c>
      <c r="AH448" s="1" t="str">
        <f t="shared" si="191"/>
        <v/>
      </c>
      <c r="AI448" s="3" t="str">
        <f t="shared" si="192"/>
        <v/>
      </c>
      <c r="AL448" s="3" t="str">
        <f t="shared" si="193"/>
        <v/>
      </c>
      <c r="AM448" s="3" t="str">
        <f t="shared" si="194"/>
        <v/>
      </c>
      <c r="AQ448" s="4">
        <f t="shared" ca="1" si="199"/>
        <v>44796</v>
      </c>
      <c r="AR448" s="3">
        <f t="shared" ref="AR448:AR500" ca="1" si="201">IF($AQ448&lt;&gt;"", INDEX($AC$3:$AC$1055, MATCH($AQ448,$A$3:$A$1055,1)), "")</f>
        <v>613253.93999999948</v>
      </c>
      <c r="AS448" s="63">
        <f ca="1">IF($AQ448&lt;&gt;"", INDEX(Inputs!$B$3:$B$101, MATCH($AQ448,Inputs!$A$3:$A$101,1)), "")</f>
        <v>1.8499999999999999E-2</v>
      </c>
      <c r="AT448" s="48">
        <f t="shared" ca="1" si="195"/>
        <v>31.082733945205455</v>
      </c>
      <c r="AU448" s="3">
        <f t="shared" ca="1" si="196"/>
        <v>-31.082733945205455</v>
      </c>
      <c r="AV448" s="3">
        <f t="shared" ca="1" si="197"/>
        <v>-31.082733945205455</v>
      </c>
    </row>
    <row r="449" spans="13:48" x14ac:dyDescent="0.2">
      <c r="M449" s="3" t="str">
        <f t="shared" si="200"/>
        <v/>
      </c>
      <c r="N449" s="3"/>
      <c r="AA449" s="3" t="str">
        <f t="shared" si="186"/>
        <v/>
      </c>
      <c r="AB449" s="3" t="str">
        <f t="shared" si="187"/>
        <v/>
      </c>
      <c r="AC449" s="3" t="str">
        <f t="shared" si="188"/>
        <v/>
      </c>
      <c r="AD449" s="3" t="str">
        <f t="shared" si="189"/>
        <v/>
      </c>
      <c r="AE449" s="1" t="str">
        <f t="shared" ca="1" si="190"/>
        <v/>
      </c>
      <c r="AG449" s="3" t="str">
        <f t="shared" si="181"/>
        <v/>
      </c>
      <c r="AH449" s="1" t="str">
        <f t="shared" si="191"/>
        <v/>
      </c>
      <c r="AI449" s="3" t="str">
        <f t="shared" si="192"/>
        <v/>
      </c>
      <c r="AL449" s="3" t="str">
        <f t="shared" si="193"/>
        <v/>
      </c>
      <c r="AM449" s="3" t="str">
        <f t="shared" si="194"/>
        <v/>
      </c>
      <c r="AQ449" s="4">
        <f t="shared" ca="1" si="199"/>
        <v>44797</v>
      </c>
      <c r="AR449" s="3">
        <f t="shared" ca="1" si="201"/>
        <v>613253.93999999948</v>
      </c>
      <c r="AS449" s="63">
        <f ca="1">IF($AQ449&lt;&gt;"", INDEX(Inputs!$B$3:$B$101, MATCH($AQ449,Inputs!$A$3:$A$101,1)), "")</f>
        <v>1.8499999999999999E-2</v>
      </c>
      <c r="AT449" s="48">
        <f t="shared" ca="1" si="195"/>
        <v>31.082733945205455</v>
      </c>
      <c r="AU449" s="3">
        <f t="shared" ca="1" si="196"/>
        <v>-31.082733945205455</v>
      </c>
      <c r="AV449" s="3">
        <f t="shared" ca="1" si="197"/>
        <v>-31.082733945205455</v>
      </c>
    </row>
    <row r="450" spans="13:48" x14ac:dyDescent="0.2">
      <c r="M450" s="3" t="str">
        <f t="shared" si="200"/>
        <v/>
      </c>
      <c r="N450" s="3"/>
      <c r="AA450" s="3" t="str">
        <f t="shared" si="186"/>
        <v/>
      </c>
      <c r="AB450" s="3" t="str">
        <f t="shared" si="187"/>
        <v/>
      </c>
      <c r="AC450" s="3" t="str">
        <f t="shared" si="188"/>
        <v/>
      </c>
      <c r="AD450" s="3" t="str">
        <f t="shared" si="189"/>
        <v/>
      </c>
      <c r="AE450" s="1" t="str">
        <f t="shared" ca="1" si="190"/>
        <v/>
      </c>
      <c r="AG450" s="3" t="str">
        <f t="shared" si="181"/>
        <v/>
      </c>
      <c r="AH450" s="1" t="str">
        <f t="shared" si="191"/>
        <v/>
      </c>
      <c r="AI450" s="3" t="str">
        <f t="shared" si="192"/>
        <v/>
      </c>
      <c r="AL450" s="3" t="str">
        <f t="shared" si="193"/>
        <v/>
      </c>
      <c r="AM450" s="3" t="str">
        <f t="shared" si="194"/>
        <v/>
      </c>
      <c r="AQ450" s="4">
        <f t="shared" ca="1" si="199"/>
        <v>44798</v>
      </c>
      <c r="AR450" s="3">
        <f t="shared" ca="1" si="201"/>
        <v>613253.93999999948</v>
      </c>
      <c r="AS450" s="63">
        <f ca="1">IF($AQ450&lt;&gt;"", INDEX(Inputs!$B$3:$B$101, MATCH($AQ450,Inputs!$A$3:$A$101,1)), "")</f>
        <v>1.8499999999999999E-2</v>
      </c>
      <c r="AT450" s="48">
        <f t="shared" ca="1" si="195"/>
        <v>31.082733945205455</v>
      </c>
      <c r="AU450" s="3">
        <f t="shared" ca="1" si="196"/>
        <v>-31.082733945205455</v>
      </c>
      <c r="AV450" s="3">
        <f t="shared" ca="1" si="197"/>
        <v>-31.082733945205455</v>
      </c>
    </row>
    <row r="451" spans="13:48" x14ac:dyDescent="0.2">
      <c r="M451" s="3" t="str">
        <f t="shared" si="200"/>
        <v/>
      </c>
      <c r="N451" s="3"/>
      <c r="AA451" s="3" t="str">
        <f t="shared" si="186"/>
        <v/>
      </c>
      <c r="AB451" s="3" t="str">
        <f t="shared" si="187"/>
        <v/>
      </c>
      <c r="AC451" s="3" t="str">
        <f t="shared" si="188"/>
        <v/>
      </c>
      <c r="AD451" s="3" t="str">
        <f t="shared" si="189"/>
        <v/>
      </c>
      <c r="AE451" s="1" t="str">
        <f t="shared" ca="1" si="190"/>
        <v/>
      </c>
      <c r="AG451" s="3" t="str">
        <f t="shared" si="181"/>
        <v/>
      </c>
      <c r="AH451" s="1" t="str">
        <f t="shared" si="191"/>
        <v/>
      </c>
      <c r="AI451" s="3" t="str">
        <f t="shared" si="192"/>
        <v/>
      </c>
      <c r="AL451" s="3" t="str">
        <f t="shared" si="193"/>
        <v/>
      </c>
      <c r="AM451" s="3" t="str">
        <f t="shared" si="194"/>
        <v/>
      </c>
      <c r="AQ451" s="4">
        <f t="shared" ca="1" si="199"/>
        <v>44799</v>
      </c>
      <c r="AR451" s="3">
        <f t="shared" ca="1" si="201"/>
        <v>613253.93999999948</v>
      </c>
      <c r="AS451" s="63">
        <f ca="1">IF($AQ451&lt;&gt;"", INDEX(Inputs!$B$3:$B$101, MATCH($AQ451,Inputs!$A$3:$A$101,1)), "")</f>
        <v>1.8499999999999999E-2</v>
      </c>
      <c r="AT451" s="48">
        <f t="shared" ca="1" si="195"/>
        <v>31.082733945205455</v>
      </c>
      <c r="AU451" s="3">
        <f t="shared" ca="1" si="196"/>
        <v>-31.082733945205455</v>
      </c>
      <c r="AV451" s="3">
        <f t="shared" ca="1" si="197"/>
        <v>-31.082733945205455</v>
      </c>
    </row>
    <row r="452" spans="13:48" x14ac:dyDescent="0.2">
      <c r="M452" s="3" t="str">
        <f t="shared" si="200"/>
        <v/>
      </c>
      <c r="N452" s="3"/>
      <c r="AA452" s="3" t="str">
        <f t="shared" si="186"/>
        <v/>
      </c>
      <c r="AB452" s="3" t="str">
        <f t="shared" si="187"/>
        <v/>
      </c>
      <c r="AC452" s="3" t="str">
        <f t="shared" si="188"/>
        <v/>
      </c>
      <c r="AD452" s="3" t="str">
        <f t="shared" si="189"/>
        <v/>
      </c>
      <c r="AE452" s="1" t="str">
        <f t="shared" ca="1" si="190"/>
        <v/>
      </c>
      <c r="AG452" s="3" t="str">
        <f t="shared" ref="AG452:AG500" si="202">IF($A452&lt;&gt;"", I452+J452+E452-F452-H452, "")</f>
        <v/>
      </c>
      <c r="AH452" s="1" t="str">
        <f t="shared" si="191"/>
        <v/>
      </c>
      <c r="AI452" s="3" t="str">
        <f t="shared" si="192"/>
        <v/>
      </c>
      <c r="AL452" s="3" t="str">
        <f t="shared" si="193"/>
        <v/>
      </c>
      <c r="AM452" s="3" t="str">
        <f t="shared" si="194"/>
        <v/>
      </c>
      <c r="AQ452" s="4">
        <f t="shared" ca="1" si="199"/>
        <v>44800</v>
      </c>
      <c r="AR452" s="3">
        <f t="shared" ca="1" si="201"/>
        <v>613253.93999999948</v>
      </c>
      <c r="AS452" s="63">
        <f ca="1">IF($AQ452&lt;&gt;"", INDEX(Inputs!$B$3:$B$101, MATCH($AQ452,Inputs!$A$3:$A$101,1)), "")</f>
        <v>1.8499999999999999E-2</v>
      </c>
      <c r="AT452" s="48">
        <f t="shared" ca="1" si="195"/>
        <v>31.082733945205455</v>
      </c>
      <c r="AU452" s="3">
        <f t="shared" ca="1" si="196"/>
        <v>-31.082733945205455</v>
      </c>
      <c r="AV452" s="3">
        <f t="shared" ca="1" si="197"/>
        <v>-31.082733945205455</v>
      </c>
    </row>
    <row r="453" spans="13:48" x14ac:dyDescent="0.2">
      <c r="M453" s="3" t="str">
        <f t="shared" si="200"/>
        <v/>
      </c>
      <c r="AA453" s="3" t="str">
        <f t="shared" si="186"/>
        <v/>
      </c>
      <c r="AB453" s="3" t="str">
        <f t="shared" si="187"/>
        <v/>
      </c>
      <c r="AC453" s="3" t="str">
        <f t="shared" si="188"/>
        <v/>
      </c>
      <c r="AD453" s="3" t="str">
        <f t="shared" si="189"/>
        <v/>
      </c>
      <c r="AE453" s="1" t="str">
        <f t="shared" ca="1" si="190"/>
        <v/>
      </c>
      <c r="AG453" s="3" t="str">
        <f t="shared" si="202"/>
        <v/>
      </c>
      <c r="AH453" s="1" t="str">
        <f t="shared" si="191"/>
        <v/>
      </c>
      <c r="AI453" s="3" t="str">
        <f t="shared" si="192"/>
        <v/>
      </c>
      <c r="AL453" s="3" t="str">
        <f t="shared" si="193"/>
        <v/>
      </c>
      <c r="AM453" s="3" t="str">
        <f t="shared" si="194"/>
        <v/>
      </c>
      <c r="AQ453" s="4">
        <f t="shared" ca="1" si="199"/>
        <v>44801</v>
      </c>
      <c r="AR453" s="3">
        <f t="shared" ca="1" si="201"/>
        <v>613253.93999999948</v>
      </c>
      <c r="AS453" s="63">
        <f ca="1">IF($AQ453&lt;&gt;"", INDEX(Inputs!$B$3:$B$101, MATCH($AQ453,Inputs!$A$3:$A$101,1)), "")</f>
        <v>1.8499999999999999E-2</v>
      </c>
      <c r="AT453" s="48">
        <f t="shared" ca="1" si="195"/>
        <v>31.082733945205455</v>
      </c>
      <c r="AU453" s="3">
        <f t="shared" ca="1" si="196"/>
        <v>-31.082733945205455</v>
      </c>
      <c r="AV453" s="3">
        <f t="shared" ca="1" si="197"/>
        <v>-31.082733945205455</v>
      </c>
    </row>
    <row r="454" spans="13:48" x14ac:dyDescent="0.2">
      <c r="M454" s="3" t="str">
        <f t="shared" si="200"/>
        <v/>
      </c>
      <c r="AA454" s="3" t="str">
        <f t="shared" si="186"/>
        <v/>
      </c>
      <c r="AB454" s="3" t="str">
        <f t="shared" si="187"/>
        <v/>
      </c>
      <c r="AC454" s="3" t="str">
        <f t="shared" si="188"/>
        <v/>
      </c>
      <c r="AD454" s="3" t="str">
        <f t="shared" si="189"/>
        <v/>
      </c>
      <c r="AE454" s="1" t="str">
        <f t="shared" ca="1" si="190"/>
        <v/>
      </c>
      <c r="AG454" s="3" t="str">
        <f t="shared" si="202"/>
        <v/>
      </c>
      <c r="AH454" s="1" t="str">
        <f t="shared" si="191"/>
        <v/>
      </c>
      <c r="AI454" s="3" t="str">
        <f t="shared" si="192"/>
        <v/>
      </c>
      <c r="AL454" s="3" t="str">
        <f t="shared" si="193"/>
        <v/>
      </c>
      <c r="AM454" s="3" t="str">
        <f t="shared" si="194"/>
        <v/>
      </c>
      <c r="AQ454" s="4">
        <f t="shared" ca="1" si="199"/>
        <v>44802</v>
      </c>
      <c r="AR454" s="3">
        <f t="shared" ca="1" si="201"/>
        <v>613253.93999999948</v>
      </c>
      <c r="AS454" s="63">
        <f ca="1">IF($AQ454&lt;&gt;"", INDEX(Inputs!$B$3:$B$101, MATCH($AQ454,Inputs!$A$3:$A$101,1)), "")</f>
        <v>1.8499999999999999E-2</v>
      </c>
      <c r="AT454" s="48">
        <f t="shared" ca="1" si="195"/>
        <v>31.082733945205455</v>
      </c>
      <c r="AU454" s="3">
        <f t="shared" ca="1" si="196"/>
        <v>-31.082733945205455</v>
      </c>
      <c r="AV454" s="3">
        <f t="shared" ca="1" si="197"/>
        <v>-31.082733945205455</v>
      </c>
    </row>
    <row r="455" spans="13:48" x14ac:dyDescent="0.2">
      <c r="M455" s="3" t="str">
        <f t="shared" si="200"/>
        <v/>
      </c>
      <c r="AA455" s="3" t="str">
        <f t="shared" si="186"/>
        <v/>
      </c>
      <c r="AB455" s="3" t="str">
        <f t="shared" si="187"/>
        <v/>
      </c>
      <c r="AC455" s="3" t="str">
        <f t="shared" si="188"/>
        <v/>
      </c>
      <c r="AD455" s="3" t="str">
        <f t="shared" si="189"/>
        <v/>
      </c>
      <c r="AE455" s="1" t="str">
        <f t="shared" ca="1" si="190"/>
        <v/>
      </c>
      <c r="AG455" s="3" t="str">
        <f t="shared" si="202"/>
        <v/>
      </c>
      <c r="AH455" s="1" t="str">
        <f t="shared" si="191"/>
        <v/>
      </c>
      <c r="AI455" s="3" t="str">
        <f t="shared" si="192"/>
        <v/>
      </c>
      <c r="AL455" s="3" t="str">
        <f t="shared" si="193"/>
        <v/>
      </c>
      <c r="AM455" s="3" t="str">
        <f t="shared" si="194"/>
        <v/>
      </c>
      <c r="AQ455" s="4">
        <f t="shared" ca="1" si="199"/>
        <v>44803</v>
      </c>
      <c r="AR455" s="3">
        <f t="shared" ca="1" si="201"/>
        <v>613253.93999999948</v>
      </c>
      <c r="AS455" s="63">
        <f ca="1">IF($AQ455&lt;&gt;"", INDEX(Inputs!$B$3:$B$101, MATCH($AQ455,Inputs!$A$3:$A$101,1)), "")</f>
        <v>1.8499999999999999E-2</v>
      </c>
      <c r="AT455" s="48">
        <f t="shared" ca="1" si="195"/>
        <v>31.082733945205455</v>
      </c>
      <c r="AU455" s="3">
        <f t="shared" ca="1" si="196"/>
        <v>-31.082733945205455</v>
      </c>
      <c r="AV455" s="3">
        <f t="shared" ca="1" si="197"/>
        <v>-31.082733945205455</v>
      </c>
    </row>
    <row r="456" spans="13:48" x14ac:dyDescent="0.2">
      <c r="M456" s="3" t="str">
        <f t="shared" si="200"/>
        <v/>
      </c>
      <c r="AA456" s="3" t="str">
        <f t="shared" si="186"/>
        <v/>
      </c>
      <c r="AB456" s="3" t="str">
        <f t="shared" si="187"/>
        <v/>
      </c>
      <c r="AC456" s="3" t="str">
        <f t="shared" si="188"/>
        <v/>
      </c>
      <c r="AD456" s="3" t="str">
        <f t="shared" si="189"/>
        <v/>
      </c>
      <c r="AE456" s="1" t="str">
        <f t="shared" ca="1" si="190"/>
        <v/>
      </c>
      <c r="AG456" s="3" t="str">
        <f t="shared" si="202"/>
        <v/>
      </c>
      <c r="AH456" s="1" t="str">
        <f t="shared" si="191"/>
        <v/>
      </c>
      <c r="AI456" s="3" t="str">
        <f t="shared" si="192"/>
        <v/>
      </c>
      <c r="AL456" s="3" t="str">
        <f t="shared" si="193"/>
        <v/>
      </c>
      <c r="AM456" s="3" t="str">
        <f t="shared" si="194"/>
        <v/>
      </c>
      <c r="AQ456" s="4">
        <f t="shared" ca="1" si="199"/>
        <v>44804</v>
      </c>
      <c r="AR456" s="3">
        <f t="shared" ca="1" si="201"/>
        <v>607221.8399999995</v>
      </c>
      <c r="AS456" s="63">
        <f ca="1">IF($AQ456&lt;&gt;"", INDEX(Inputs!$B$3:$B$101, MATCH($AQ456,Inputs!$A$3:$A$101,1)), "")</f>
        <v>1.8499999999999999E-2</v>
      </c>
      <c r="AT456" s="48">
        <f t="shared" ca="1" si="195"/>
        <v>30.77699736986299</v>
      </c>
      <c r="AU456" s="3">
        <f t="shared" ca="1" si="196"/>
        <v>-30.77699736986299</v>
      </c>
      <c r="AV456" s="3">
        <f t="shared" ca="1" si="197"/>
        <v>-30.77699736986299</v>
      </c>
    </row>
    <row r="457" spans="13:48" x14ac:dyDescent="0.2">
      <c r="M457" s="3" t="str">
        <f t="shared" si="200"/>
        <v/>
      </c>
      <c r="AA457" s="3" t="str">
        <f t="shared" si="186"/>
        <v/>
      </c>
      <c r="AB457" s="3" t="str">
        <f t="shared" si="187"/>
        <v/>
      </c>
      <c r="AC457" s="3" t="str">
        <f t="shared" si="188"/>
        <v/>
      </c>
      <c r="AD457" s="3" t="str">
        <f t="shared" si="189"/>
        <v/>
      </c>
      <c r="AE457" s="1" t="str">
        <f t="shared" ca="1" si="190"/>
        <v/>
      </c>
      <c r="AG457" s="3" t="str">
        <f t="shared" si="202"/>
        <v/>
      </c>
      <c r="AH457" s="1" t="str">
        <f t="shared" si="191"/>
        <v/>
      </c>
      <c r="AI457" s="3" t="str">
        <f t="shared" si="192"/>
        <v/>
      </c>
      <c r="AL457" s="3" t="str">
        <f t="shared" si="193"/>
        <v/>
      </c>
      <c r="AM457" s="3" t="str">
        <f t="shared" si="194"/>
        <v/>
      </c>
      <c r="AQ457" s="4">
        <f t="shared" ca="1" si="199"/>
        <v>44805</v>
      </c>
      <c r="AR457" s="3">
        <f t="shared" ca="1" si="201"/>
        <v>607221.8399999995</v>
      </c>
      <c r="AS457" s="63">
        <f ca="1">IF($AQ457&lt;&gt;"", INDEX(Inputs!$B$3:$B$101, MATCH($AQ457,Inputs!$A$3:$A$101,1)), "")</f>
        <v>1.8499999999999999E-2</v>
      </c>
      <c r="AT457" s="48">
        <f t="shared" ca="1" si="195"/>
        <v>30.77699736986299</v>
      </c>
      <c r="AU457" s="3">
        <f t="shared" ca="1" si="196"/>
        <v>-30.77699736986299</v>
      </c>
      <c r="AV457" s="3">
        <f t="shared" ca="1" si="197"/>
        <v>-30.77699736986299</v>
      </c>
    </row>
    <row r="458" spans="13:48" x14ac:dyDescent="0.2">
      <c r="M458" s="3" t="str">
        <f t="shared" si="200"/>
        <v/>
      </c>
      <c r="AA458" s="3" t="str">
        <f t="shared" si="186"/>
        <v/>
      </c>
      <c r="AB458" s="3" t="str">
        <f t="shared" si="187"/>
        <v/>
      </c>
      <c r="AC458" s="3" t="str">
        <f t="shared" si="188"/>
        <v/>
      </c>
      <c r="AD458" s="3" t="str">
        <f t="shared" si="189"/>
        <v/>
      </c>
      <c r="AE458" s="1" t="str">
        <f t="shared" ca="1" si="190"/>
        <v/>
      </c>
      <c r="AG458" s="3" t="str">
        <f t="shared" si="202"/>
        <v/>
      </c>
      <c r="AH458" s="1" t="str">
        <f t="shared" si="191"/>
        <v/>
      </c>
      <c r="AI458" s="3" t="str">
        <f t="shared" si="192"/>
        <v/>
      </c>
      <c r="AL458" s="3" t="str">
        <f t="shared" si="193"/>
        <v/>
      </c>
      <c r="AM458" s="3" t="str">
        <f t="shared" si="194"/>
        <v/>
      </c>
      <c r="AQ458" s="4">
        <f t="shared" ca="1" si="199"/>
        <v>44806</v>
      </c>
      <c r="AR458" s="3">
        <f t="shared" ca="1" si="201"/>
        <v>607221.8399999995</v>
      </c>
      <c r="AS458" s="63">
        <f ca="1">IF($AQ458&lt;&gt;"", INDEX(Inputs!$B$3:$B$101, MATCH($AQ458,Inputs!$A$3:$A$101,1)), "")</f>
        <v>1.8499999999999999E-2</v>
      </c>
      <c r="AT458" s="48">
        <f t="shared" ca="1" si="195"/>
        <v>30.77699736986299</v>
      </c>
      <c r="AU458" s="3">
        <f t="shared" ca="1" si="196"/>
        <v>-30.77699736986299</v>
      </c>
      <c r="AV458" s="3">
        <f t="shared" ca="1" si="197"/>
        <v>-30.77699736986299</v>
      </c>
    </row>
    <row r="459" spans="13:48" x14ac:dyDescent="0.2">
      <c r="M459" s="3" t="str">
        <f t="shared" si="200"/>
        <v/>
      </c>
      <c r="AA459" s="3" t="str">
        <f t="shared" si="186"/>
        <v/>
      </c>
      <c r="AB459" s="3" t="str">
        <f t="shared" si="187"/>
        <v/>
      </c>
      <c r="AC459" s="3" t="str">
        <f t="shared" si="188"/>
        <v/>
      </c>
      <c r="AD459" s="3" t="str">
        <f t="shared" si="189"/>
        <v/>
      </c>
      <c r="AE459" s="1" t="str">
        <f t="shared" ca="1" si="190"/>
        <v/>
      </c>
      <c r="AG459" s="3" t="str">
        <f t="shared" si="202"/>
        <v/>
      </c>
      <c r="AH459" s="1" t="str">
        <f t="shared" si="191"/>
        <v/>
      </c>
      <c r="AI459" s="3" t="str">
        <f t="shared" si="192"/>
        <v/>
      </c>
      <c r="AL459" s="3" t="str">
        <f t="shared" si="193"/>
        <v/>
      </c>
      <c r="AM459" s="3" t="str">
        <f t="shared" si="194"/>
        <v/>
      </c>
      <c r="AQ459" s="4">
        <f t="shared" ca="1" si="199"/>
        <v>44807</v>
      </c>
      <c r="AR459" s="3">
        <f t="shared" ca="1" si="201"/>
        <v>607221.8399999995</v>
      </c>
      <c r="AS459" s="63">
        <f ca="1">IF($AQ459&lt;&gt;"", INDEX(Inputs!$B$3:$B$101, MATCH($AQ459,Inputs!$A$3:$A$101,1)), "")</f>
        <v>1.8499999999999999E-2</v>
      </c>
      <c r="AT459" s="48">
        <f t="shared" ca="1" si="195"/>
        <v>30.77699736986299</v>
      </c>
      <c r="AU459" s="3">
        <f t="shared" ca="1" si="196"/>
        <v>-30.77699736986299</v>
      </c>
      <c r="AV459" s="3">
        <f t="shared" ca="1" si="197"/>
        <v>-30.77699736986299</v>
      </c>
    </row>
    <row r="460" spans="13:48" x14ac:dyDescent="0.2">
      <c r="M460" s="3" t="str">
        <f t="shared" si="200"/>
        <v/>
      </c>
      <c r="AA460" s="3" t="str">
        <f t="shared" si="186"/>
        <v/>
      </c>
      <c r="AB460" s="3" t="str">
        <f t="shared" si="187"/>
        <v/>
      </c>
      <c r="AC460" s="3" t="str">
        <f t="shared" si="188"/>
        <v/>
      </c>
      <c r="AD460" s="3" t="str">
        <f t="shared" si="189"/>
        <v/>
      </c>
      <c r="AE460" s="1" t="str">
        <f t="shared" ca="1" si="190"/>
        <v/>
      </c>
      <c r="AG460" s="3" t="str">
        <f t="shared" si="202"/>
        <v/>
      </c>
      <c r="AH460" s="1" t="str">
        <f t="shared" si="191"/>
        <v/>
      </c>
      <c r="AI460" s="3" t="str">
        <f t="shared" si="192"/>
        <v/>
      </c>
      <c r="AL460" s="3" t="str">
        <f t="shared" si="193"/>
        <v/>
      </c>
      <c r="AM460" s="3" t="str">
        <f t="shared" si="194"/>
        <v/>
      </c>
      <c r="AQ460" s="4">
        <f t="shared" ca="1" si="199"/>
        <v>44808</v>
      </c>
      <c r="AR460" s="3">
        <f t="shared" ca="1" si="201"/>
        <v>607221.8399999995</v>
      </c>
      <c r="AS460" s="63">
        <f ca="1">IF($AQ460&lt;&gt;"", INDEX(Inputs!$B$3:$B$101, MATCH($AQ460,Inputs!$A$3:$A$101,1)), "")</f>
        <v>1.8499999999999999E-2</v>
      </c>
      <c r="AT460" s="48">
        <f t="shared" ca="1" si="195"/>
        <v>30.77699736986299</v>
      </c>
      <c r="AU460" s="3">
        <f t="shared" ca="1" si="196"/>
        <v>-30.77699736986299</v>
      </c>
      <c r="AV460" s="3">
        <f t="shared" ca="1" si="197"/>
        <v>-30.77699736986299</v>
      </c>
    </row>
    <row r="461" spans="13:48" x14ac:dyDescent="0.2">
      <c r="M461" s="3" t="str">
        <f t="shared" si="200"/>
        <v/>
      </c>
      <c r="AA461" s="3" t="str">
        <f t="shared" si="186"/>
        <v/>
      </c>
      <c r="AB461" s="3" t="str">
        <f t="shared" si="187"/>
        <v/>
      </c>
      <c r="AC461" s="3" t="str">
        <f t="shared" si="188"/>
        <v/>
      </c>
      <c r="AD461" s="3" t="str">
        <f t="shared" si="189"/>
        <v/>
      </c>
      <c r="AE461" s="1" t="str">
        <f t="shared" ca="1" si="190"/>
        <v/>
      </c>
      <c r="AG461" s="3" t="str">
        <f t="shared" si="202"/>
        <v/>
      </c>
      <c r="AH461" s="1" t="str">
        <f t="shared" si="191"/>
        <v/>
      </c>
      <c r="AI461" s="3" t="str">
        <f t="shared" si="192"/>
        <v/>
      </c>
      <c r="AL461" s="3" t="str">
        <f t="shared" si="193"/>
        <v/>
      </c>
      <c r="AM461" s="3" t="str">
        <f t="shared" si="194"/>
        <v/>
      </c>
      <c r="AQ461" s="4">
        <f t="shared" ca="1" si="199"/>
        <v>44809</v>
      </c>
      <c r="AR461" s="3">
        <f t="shared" ca="1" si="201"/>
        <v>607221.8399999995</v>
      </c>
      <c r="AS461" s="63">
        <f ca="1">IF($AQ461&lt;&gt;"", INDEX(Inputs!$B$3:$B$101, MATCH($AQ461,Inputs!$A$3:$A$101,1)), "")</f>
        <v>1.8499999999999999E-2</v>
      </c>
      <c r="AT461" s="48">
        <f t="shared" ca="1" si="195"/>
        <v>30.77699736986299</v>
      </c>
      <c r="AU461" s="3">
        <f t="shared" ca="1" si="196"/>
        <v>-30.77699736986299</v>
      </c>
      <c r="AV461" s="3">
        <f t="shared" ca="1" si="197"/>
        <v>-30.77699736986299</v>
      </c>
    </row>
    <row r="462" spans="13:48" x14ac:dyDescent="0.2">
      <c r="M462" s="3" t="str">
        <f t="shared" si="200"/>
        <v/>
      </c>
      <c r="AA462" s="3" t="str">
        <f t="shared" si="186"/>
        <v/>
      </c>
      <c r="AB462" s="3" t="str">
        <f t="shared" si="187"/>
        <v/>
      </c>
      <c r="AC462" s="3" t="str">
        <f t="shared" si="188"/>
        <v/>
      </c>
      <c r="AD462" s="3" t="str">
        <f t="shared" si="189"/>
        <v/>
      </c>
      <c r="AE462" s="1" t="str">
        <f t="shared" ca="1" si="190"/>
        <v/>
      </c>
      <c r="AG462" s="3" t="str">
        <f t="shared" si="202"/>
        <v/>
      </c>
      <c r="AH462" s="1" t="str">
        <f t="shared" si="191"/>
        <v/>
      </c>
      <c r="AI462" s="3" t="str">
        <f t="shared" si="192"/>
        <v/>
      </c>
      <c r="AL462" s="3" t="str">
        <f t="shared" si="193"/>
        <v/>
      </c>
      <c r="AM462" s="3" t="str">
        <f t="shared" si="194"/>
        <v/>
      </c>
      <c r="AQ462" s="4">
        <f t="shared" ca="1" si="199"/>
        <v>44810</v>
      </c>
      <c r="AR462" s="3">
        <f t="shared" ca="1" si="201"/>
        <v>607221.8399999995</v>
      </c>
      <c r="AS462" s="63">
        <f ca="1">IF($AQ462&lt;&gt;"", INDEX(Inputs!$B$3:$B$101, MATCH($AQ462,Inputs!$A$3:$A$101,1)), "")</f>
        <v>1.8499999999999999E-2</v>
      </c>
      <c r="AT462" s="48">
        <f t="shared" ca="1" si="195"/>
        <v>30.77699736986299</v>
      </c>
      <c r="AU462" s="3">
        <f t="shared" ca="1" si="196"/>
        <v>-30.77699736986299</v>
      </c>
      <c r="AV462" s="3">
        <f t="shared" ca="1" si="197"/>
        <v>-30.77699736986299</v>
      </c>
    </row>
    <row r="463" spans="13:48" x14ac:dyDescent="0.2">
      <c r="M463" s="3" t="str">
        <f t="shared" si="200"/>
        <v/>
      </c>
      <c r="AA463" s="3" t="str">
        <f t="shared" si="186"/>
        <v/>
      </c>
      <c r="AB463" s="3" t="str">
        <f t="shared" si="187"/>
        <v/>
      </c>
      <c r="AC463" s="3" t="str">
        <f t="shared" si="188"/>
        <v/>
      </c>
      <c r="AD463" s="3" t="str">
        <f t="shared" si="189"/>
        <v/>
      </c>
      <c r="AE463" s="1" t="str">
        <f t="shared" ca="1" si="190"/>
        <v/>
      </c>
      <c r="AG463" s="3" t="str">
        <f t="shared" si="202"/>
        <v/>
      </c>
      <c r="AH463" s="1" t="str">
        <f t="shared" si="191"/>
        <v/>
      </c>
      <c r="AI463" s="3" t="str">
        <f t="shared" si="192"/>
        <v/>
      </c>
      <c r="AL463" s="3" t="str">
        <f t="shared" si="193"/>
        <v/>
      </c>
      <c r="AM463" s="3" t="str">
        <f t="shared" si="194"/>
        <v/>
      </c>
      <c r="AQ463" s="4">
        <f t="shared" ca="1" si="199"/>
        <v>44811</v>
      </c>
      <c r="AR463" s="3">
        <f t="shared" ca="1" si="201"/>
        <v>607221.8399999995</v>
      </c>
      <c r="AS463" s="63">
        <f ca="1">IF($AQ463&lt;&gt;"", INDEX(Inputs!$B$3:$B$101, MATCH($AQ463,Inputs!$A$3:$A$101,1)), "")</f>
        <v>2.35E-2</v>
      </c>
      <c r="AT463" s="48">
        <f t="shared" ca="1" si="195"/>
        <v>39.095104767123253</v>
      </c>
      <c r="AU463" s="3">
        <f t="shared" ca="1" si="196"/>
        <v>-39.095104767123253</v>
      </c>
      <c r="AV463" s="3">
        <f t="shared" ca="1" si="197"/>
        <v>-39.095104767123253</v>
      </c>
    </row>
    <row r="464" spans="13:48" x14ac:dyDescent="0.2">
      <c r="M464" s="3" t="str">
        <f t="shared" si="200"/>
        <v/>
      </c>
      <c r="AA464" s="3" t="str">
        <f t="shared" si="186"/>
        <v/>
      </c>
      <c r="AB464" s="3" t="str">
        <f t="shared" si="187"/>
        <v/>
      </c>
      <c r="AC464" s="3" t="str">
        <f t="shared" si="188"/>
        <v/>
      </c>
      <c r="AD464" s="3" t="str">
        <f t="shared" si="189"/>
        <v/>
      </c>
      <c r="AE464" s="1" t="str">
        <f t="shared" ca="1" si="190"/>
        <v/>
      </c>
      <c r="AG464" s="3" t="str">
        <f t="shared" si="202"/>
        <v/>
      </c>
      <c r="AH464" s="1" t="str">
        <f t="shared" si="191"/>
        <v/>
      </c>
      <c r="AI464" s="3" t="str">
        <f t="shared" si="192"/>
        <v/>
      </c>
      <c r="AL464" s="3" t="str">
        <f t="shared" si="193"/>
        <v/>
      </c>
      <c r="AM464" s="3" t="str">
        <f t="shared" si="194"/>
        <v/>
      </c>
      <c r="AQ464" s="4">
        <f t="shared" ca="1" si="199"/>
        <v>44812</v>
      </c>
      <c r="AR464" s="3">
        <f t="shared" ca="1" si="201"/>
        <v>607221.8399999995</v>
      </c>
      <c r="AS464" s="63">
        <f ca="1">IF($AQ464&lt;&gt;"", INDEX(Inputs!$B$3:$B$101, MATCH($AQ464,Inputs!$A$3:$A$101,1)), "")</f>
        <v>2.35E-2</v>
      </c>
      <c r="AT464" s="48">
        <f t="shared" ca="1" si="195"/>
        <v>39.095104767123253</v>
      </c>
      <c r="AU464" s="3">
        <f t="shared" ca="1" si="196"/>
        <v>-39.095104767123253</v>
      </c>
      <c r="AV464" s="3">
        <f t="shared" ca="1" si="197"/>
        <v>-39.095104767123253</v>
      </c>
    </row>
    <row r="465" spans="13:48" x14ac:dyDescent="0.2">
      <c r="M465" s="3" t="str">
        <f t="shared" si="200"/>
        <v/>
      </c>
      <c r="AA465" s="3" t="str">
        <f t="shared" si="186"/>
        <v/>
      </c>
      <c r="AB465" s="3" t="str">
        <f t="shared" si="187"/>
        <v/>
      </c>
      <c r="AC465" s="3" t="str">
        <f t="shared" si="188"/>
        <v/>
      </c>
      <c r="AD465" s="3" t="str">
        <f t="shared" si="189"/>
        <v/>
      </c>
      <c r="AE465" s="1" t="str">
        <f t="shared" ca="1" si="190"/>
        <v/>
      </c>
      <c r="AG465" s="3" t="str">
        <f t="shared" si="202"/>
        <v/>
      </c>
      <c r="AH465" s="1" t="str">
        <f t="shared" si="191"/>
        <v/>
      </c>
      <c r="AI465" s="3" t="str">
        <f t="shared" si="192"/>
        <v/>
      </c>
      <c r="AL465" s="3" t="str">
        <f t="shared" si="193"/>
        <v/>
      </c>
      <c r="AM465" s="3" t="str">
        <f t="shared" si="194"/>
        <v/>
      </c>
      <c r="AQ465" s="4">
        <f t="shared" ca="1" si="199"/>
        <v>44813</v>
      </c>
      <c r="AR465" s="3">
        <f t="shared" ca="1" si="201"/>
        <v>607221.8399999995</v>
      </c>
      <c r="AS465" s="63">
        <f ca="1">IF($AQ465&lt;&gt;"", INDEX(Inputs!$B$3:$B$101, MATCH($AQ465,Inputs!$A$3:$A$101,1)), "")</f>
        <v>2.35E-2</v>
      </c>
      <c r="AT465" s="48">
        <f t="shared" ca="1" si="195"/>
        <v>39.095104767123253</v>
      </c>
      <c r="AU465" s="3">
        <f t="shared" ca="1" si="196"/>
        <v>-39.095104767123253</v>
      </c>
      <c r="AV465" s="3">
        <f t="shared" ca="1" si="197"/>
        <v>-39.095104767123253</v>
      </c>
    </row>
    <row r="466" spans="13:48" x14ac:dyDescent="0.2">
      <c r="M466" s="3" t="str">
        <f t="shared" si="200"/>
        <v/>
      </c>
      <c r="AA466" s="3" t="str">
        <f t="shared" si="186"/>
        <v/>
      </c>
      <c r="AB466" s="3" t="str">
        <f t="shared" si="187"/>
        <v/>
      </c>
      <c r="AC466" s="3" t="str">
        <f t="shared" si="188"/>
        <v/>
      </c>
      <c r="AD466" s="3" t="str">
        <f t="shared" si="189"/>
        <v/>
      </c>
      <c r="AE466" s="1" t="str">
        <f t="shared" ca="1" si="190"/>
        <v/>
      </c>
      <c r="AG466" s="3" t="str">
        <f t="shared" si="202"/>
        <v/>
      </c>
      <c r="AH466" s="1" t="str">
        <f t="shared" si="191"/>
        <v/>
      </c>
      <c r="AI466" s="3" t="str">
        <f t="shared" si="192"/>
        <v/>
      </c>
      <c r="AL466" s="3" t="str">
        <f t="shared" si="193"/>
        <v/>
      </c>
      <c r="AM466" s="3" t="str">
        <f t="shared" si="194"/>
        <v/>
      </c>
      <c r="AQ466" s="4">
        <f t="shared" ca="1" si="199"/>
        <v>44814</v>
      </c>
      <c r="AR466" s="3">
        <f t="shared" ca="1" si="201"/>
        <v>607221.8399999995</v>
      </c>
      <c r="AS466" s="63">
        <f ca="1">IF($AQ466&lt;&gt;"", INDEX(Inputs!$B$3:$B$101, MATCH($AQ466,Inputs!$A$3:$A$101,1)), "")</f>
        <v>2.35E-2</v>
      </c>
      <c r="AT466" s="48">
        <f t="shared" ca="1" si="195"/>
        <v>39.095104767123253</v>
      </c>
      <c r="AU466" s="3">
        <f t="shared" ca="1" si="196"/>
        <v>-39.095104767123253</v>
      </c>
      <c r="AV466" s="3">
        <f t="shared" ca="1" si="197"/>
        <v>-39.095104767123253</v>
      </c>
    </row>
    <row r="467" spans="13:48" x14ac:dyDescent="0.2">
      <c r="M467" s="3" t="str">
        <f t="shared" si="200"/>
        <v/>
      </c>
      <c r="AA467" s="3" t="str">
        <f t="shared" si="186"/>
        <v/>
      </c>
      <c r="AB467" s="3" t="str">
        <f t="shared" si="187"/>
        <v/>
      </c>
      <c r="AC467" s="3" t="str">
        <f t="shared" si="188"/>
        <v/>
      </c>
      <c r="AD467" s="3" t="str">
        <f t="shared" si="189"/>
        <v/>
      </c>
      <c r="AE467" s="1" t="str">
        <f t="shared" ca="1" si="190"/>
        <v/>
      </c>
      <c r="AG467" s="3" t="str">
        <f t="shared" si="202"/>
        <v/>
      </c>
      <c r="AH467" s="1" t="str">
        <f t="shared" si="191"/>
        <v/>
      </c>
      <c r="AI467" s="3" t="str">
        <f t="shared" si="192"/>
        <v/>
      </c>
      <c r="AL467" s="3" t="str">
        <f t="shared" si="193"/>
        <v/>
      </c>
      <c r="AM467" s="3" t="str">
        <f t="shared" si="194"/>
        <v/>
      </c>
      <c r="AQ467" s="4">
        <f t="shared" ca="1" si="199"/>
        <v>44815</v>
      </c>
      <c r="AR467" s="3">
        <f t="shared" ca="1" si="201"/>
        <v>607221.8399999995</v>
      </c>
      <c r="AS467" s="63">
        <f ca="1">IF($AQ467&lt;&gt;"", INDEX(Inputs!$B$3:$B$101, MATCH($AQ467,Inputs!$A$3:$A$101,1)), "")</f>
        <v>2.35E-2</v>
      </c>
      <c r="AT467" s="48">
        <f t="shared" ca="1" si="195"/>
        <v>39.095104767123253</v>
      </c>
      <c r="AU467" s="3">
        <f t="shared" ca="1" si="196"/>
        <v>-39.095104767123253</v>
      </c>
      <c r="AV467" s="3">
        <f t="shared" ca="1" si="197"/>
        <v>-39.095104767123253</v>
      </c>
    </row>
    <row r="468" spans="13:48" x14ac:dyDescent="0.2">
      <c r="M468" s="3" t="str">
        <f t="shared" ref="M468:M499" si="203">IF($A468&lt;&gt;"", IF(ISNUMBER(SEARCH("Debt Cost (est.)",B468)), SUMIFS(AT:AT, AQ:AQ, "&gt;="&amp;DATE("20"&amp;RIGHT(LEFT(B468,4),2)-1,7,1), AQ:AQ, "&lt;="&amp;DATE("20"&amp;RIGHT(LEFT(B468,4),2),6,30)), ""), "")</f>
        <v/>
      </c>
      <c r="AA468" s="3" t="str">
        <f t="shared" si="186"/>
        <v/>
      </c>
      <c r="AB468" s="3" t="str">
        <f t="shared" si="187"/>
        <v/>
      </c>
      <c r="AC468" s="3" t="str">
        <f t="shared" si="188"/>
        <v/>
      </c>
      <c r="AD468" s="3" t="str">
        <f t="shared" si="189"/>
        <v/>
      </c>
      <c r="AE468" s="1" t="str">
        <f t="shared" ca="1" si="190"/>
        <v/>
      </c>
      <c r="AG468" s="3" t="str">
        <f t="shared" si="202"/>
        <v/>
      </c>
      <c r="AH468" s="1" t="str">
        <f t="shared" si="191"/>
        <v/>
      </c>
      <c r="AI468" s="3" t="str">
        <f t="shared" si="192"/>
        <v/>
      </c>
      <c r="AL468" s="3" t="str">
        <f t="shared" si="193"/>
        <v/>
      </c>
      <c r="AM468" s="3" t="str">
        <f t="shared" si="194"/>
        <v/>
      </c>
      <c r="AQ468" s="4">
        <f t="shared" ca="1" si="199"/>
        <v>44816</v>
      </c>
      <c r="AR468" s="3">
        <f t="shared" ca="1" si="201"/>
        <v>607221.8399999995</v>
      </c>
      <c r="AS468" s="63">
        <f ca="1">IF($AQ468&lt;&gt;"", INDEX(Inputs!$B$3:$B$101, MATCH($AQ468,Inputs!$A$3:$A$101,1)), "")</f>
        <v>2.35E-2</v>
      </c>
      <c r="AT468" s="48">
        <f t="shared" ca="1" si="195"/>
        <v>39.095104767123253</v>
      </c>
      <c r="AU468" s="3">
        <f t="shared" ca="1" si="196"/>
        <v>15220.904895232878</v>
      </c>
      <c r="AV468" s="3">
        <f t="shared" ca="1" si="197"/>
        <v>15220.904895232878</v>
      </c>
    </row>
    <row r="469" spans="13:48" x14ac:dyDescent="0.2">
      <c r="M469" s="3" t="str">
        <f t="shared" si="203"/>
        <v/>
      </c>
      <c r="AA469" s="3" t="str">
        <f t="shared" si="186"/>
        <v/>
      </c>
      <c r="AB469" s="3" t="str">
        <f t="shared" si="187"/>
        <v/>
      </c>
      <c r="AC469" s="3" t="str">
        <f t="shared" si="188"/>
        <v/>
      </c>
      <c r="AD469" s="3" t="str">
        <f t="shared" si="189"/>
        <v/>
      </c>
      <c r="AE469" s="1" t="str">
        <f t="shared" ca="1" si="190"/>
        <v/>
      </c>
      <c r="AG469" s="3" t="str">
        <f t="shared" si="202"/>
        <v/>
      </c>
      <c r="AH469" s="1" t="str">
        <f t="shared" si="191"/>
        <v/>
      </c>
      <c r="AI469" s="3" t="str">
        <f t="shared" si="192"/>
        <v/>
      </c>
      <c r="AL469" s="3" t="str">
        <f t="shared" si="193"/>
        <v/>
      </c>
      <c r="AM469" s="3" t="str">
        <f t="shared" si="194"/>
        <v/>
      </c>
      <c r="AQ469" s="4">
        <f t="shared" ca="1" si="199"/>
        <v>44817</v>
      </c>
      <c r="AR469" s="3">
        <f t="shared" ca="1" si="201"/>
        <v>607221.8399999995</v>
      </c>
      <c r="AS469" s="63">
        <f ca="1">IF($AQ469&lt;&gt;"", INDEX(Inputs!$B$3:$B$101, MATCH($AQ469,Inputs!$A$3:$A$101,1)), "")</f>
        <v>2.35E-2</v>
      </c>
      <c r="AT469" s="48">
        <f t="shared" ca="1" si="195"/>
        <v>39.095104767123253</v>
      </c>
      <c r="AU469" s="3">
        <f t="shared" ca="1" si="196"/>
        <v>-39.095104767123253</v>
      </c>
      <c r="AV469" s="3">
        <f t="shared" ca="1" si="197"/>
        <v>-39.095104767123253</v>
      </c>
    </row>
    <row r="470" spans="13:48" x14ac:dyDescent="0.2">
      <c r="M470" s="3" t="str">
        <f t="shared" si="203"/>
        <v/>
      </c>
      <c r="AA470" s="3" t="str">
        <f t="shared" si="186"/>
        <v/>
      </c>
      <c r="AB470" s="3" t="str">
        <f t="shared" si="187"/>
        <v/>
      </c>
      <c r="AC470" s="3" t="str">
        <f t="shared" si="188"/>
        <v/>
      </c>
      <c r="AD470" s="3" t="str">
        <f t="shared" si="189"/>
        <v/>
      </c>
      <c r="AE470" s="1" t="str">
        <f t="shared" ca="1" si="190"/>
        <v/>
      </c>
      <c r="AG470" s="3" t="str">
        <f t="shared" si="202"/>
        <v/>
      </c>
      <c r="AH470" s="1" t="str">
        <f t="shared" si="191"/>
        <v/>
      </c>
      <c r="AI470" s="3" t="str">
        <f t="shared" si="192"/>
        <v/>
      </c>
      <c r="AL470" s="3" t="str">
        <f t="shared" si="193"/>
        <v/>
      </c>
      <c r="AM470" s="3" t="str">
        <f t="shared" si="194"/>
        <v/>
      </c>
      <c r="AQ470" s="4">
        <f t="shared" ca="1" si="199"/>
        <v>44818</v>
      </c>
      <c r="AR470" s="3">
        <f t="shared" ca="1" si="201"/>
        <v>607221.8399999995</v>
      </c>
      <c r="AS470" s="63">
        <f ca="1">IF($AQ470&lt;&gt;"", INDEX(Inputs!$B$3:$B$101, MATCH($AQ470,Inputs!$A$3:$A$101,1)), "")</f>
        <v>2.35E-2</v>
      </c>
      <c r="AT470" s="48">
        <f t="shared" ca="1" si="195"/>
        <v>39.095104767123253</v>
      </c>
      <c r="AU470" s="3">
        <f t="shared" ca="1" si="196"/>
        <v>-39.095104767123253</v>
      </c>
      <c r="AV470" s="3">
        <f t="shared" ca="1" si="197"/>
        <v>-39.095104767123253</v>
      </c>
    </row>
    <row r="471" spans="13:48" x14ac:dyDescent="0.2">
      <c r="M471" s="3" t="str">
        <f t="shared" si="203"/>
        <v/>
      </c>
      <c r="AA471" s="3" t="str">
        <f t="shared" si="186"/>
        <v/>
      </c>
      <c r="AB471" s="3" t="str">
        <f t="shared" si="187"/>
        <v/>
      </c>
      <c r="AC471" s="3" t="str">
        <f t="shared" si="188"/>
        <v/>
      </c>
      <c r="AD471" s="3" t="str">
        <f t="shared" si="189"/>
        <v/>
      </c>
      <c r="AE471" s="1" t="str">
        <f t="shared" ca="1" si="190"/>
        <v/>
      </c>
      <c r="AG471" s="3" t="str">
        <f t="shared" si="202"/>
        <v/>
      </c>
      <c r="AH471" s="1" t="str">
        <f t="shared" si="191"/>
        <v/>
      </c>
      <c r="AI471" s="3" t="str">
        <f t="shared" si="192"/>
        <v/>
      </c>
      <c r="AL471" s="3" t="str">
        <f t="shared" si="193"/>
        <v/>
      </c>
      <c r="AM471" s="3" t="str">
        <f t="shared" si="194"/>
        <v/>
      </c>
      <c r="AQ471" s="4">
        <f t="shared" ca="1" si="199"/>
        <v>44819</v>
      </c>
      <c r="AR471" s="3">
        <f t="shared" ca="1" si="201"/>
        <v>607221.8399999995</v>
      </c>
      <c r="AS471" s="63">
        <f ca="1">IF($AQ471&lt;&gt;"", INDEX(Inputs!$B$3:$B$101, MATCH($AQ471,Inputs!$A$3:$A$101,1)), "")</f>
        <v>2.35E-2</v>
      </c>
      <c r="AT471" s="48">
        <f t="shared" ca="1" si="195"/>
        <v>39.095104767123253</v>
      </c>
      <c r="AU471" s="3">
        <f t="shared" ca="1" si="196"/>
        <v>-39.095104767123253</v>
      </c>
      <c r="AV471" s="3">
        <f t="shared" ca="1" si="197"/>
        <v>-39.095104767123253</v>
      </c>
    </row>
    <row r="472" spans="13:48" x14ac:dyDescent="0.2">
      <c r="M472" s="3" t="str">
        <f t="shared" si="203"/>
        <v/>
      </c>
      <c r="AA472" s="3" t="str">
        <f t="shared" si="186"/>
        <v/>
      </c>
      <c r="AB472" s="3" t="str">
        <f t="shared" si="187"/>
        <v/>
      </c>
      <c r="AC472" s="3" t="str">
        <f t="shared" si="188"/>
        <v/>
      </c>
      <c r="AD472" s="3" t="str">
        <f t="shared" si="189"/>
        <v/>
      </c>
      <c r="AE472" s="1" t="str">
        <f t="shared" ca="1" si="190"/>
        <v/>
      </c>
      <c r="AG472" s="3" t="str">
        <f t="shared" si="202"/>
        <v/>
      </c>
      <c r="AH472" s="1" t="str">
        <f t="shared" si="191"/>
        <v/>
      </c>
      <c r="AI472" s="3" t="str">
        <f t="shared" si="192"/>
        <v/>
      </c>
      <c r="AL472" s="3" t="str">
        <f t="shared" si="193"/>
        <v/>
      </c>
      <c r="AM472" s="3" t="str">
        <f t="shared" si="194"/>
        <v/>
      </c>
      <c r="AQ472" s="4">
        <f t="shared" ca="1" si="199"/>
        <v>44820</v>
      </c>
      <c r="AR472" s="3">
        <f t="shared" ca="1" si="201"/>
        <v>619294.88999999955</v>
      </c>
      <c r="AS472" s="63">
        <f ca="1">IF($AQ472&lt;&gt;"", INDEX(Inputs!$B$3:$B$101, MATCH($AQ472,Inputs!$A$3:$A$101,1)), "")</f>
        <v>2.35E-2</v>
      </c>
      <c r="AT472" s="48">
        <f t="shared" ca="1" si="195"/>
        <v>39.872410726027368</v>
      </c>
      <c r="AU472" s="3">
        <f t="shared" ca="1" si="196"/>
        <v>-10212.922410726027</v>
      </c>
      <c r="AV472" s="3">
        <f t="shared" ca="1" si="197"/>
        <v>-10212.922410726027</v>
      </c>
    </row>
    <row r="473" spans="13:48" x14ac:dyDescent="0.2">
      <c r="M473" s="3" t="str">
        <f t="shared" si="203"/>
        <v/>
      </c>
      <c r="AA473" s="3" t="str">
        <f t="shared" si="186"/>
        <v/>
      </c>
      <c r="AB473" s="3" t="str">
        <f t="shared" si="187"/>
        <v/>
      </c>
      <c r="AC473" s="3" t="str">
        <f t="shared" si="188"/>
        <v/>
      </c>
      <c r="AD473" s="3" t="str">
        <f t="shared" si="189"/>
        <v/>
      </c>
      <c r="AE473" s="1" t="str">
        <f t="shared" ca="1" si="190"/>
        <v/>
      </c>
      <c r="AG473" s="3" t="str">
        <f t="shared" si="202"/>
        <v/>
      </c>
      <c r="AH473" s="1" t="str">
        <f t="shared" si="191"/>
        <v/>
      </c>
      <c r="AI473" s="3" t="str">
        <f t="shared" si="192"/>
        <v/>
      </c>
      <c r="AL473" s="3" t="str">
        <f t="shared" si="193"/>
        <v/>
      </c>
      <c r="AM473" s="3" t="str">
        <f t="shared" si="194"/>
        <v/>
      </c>
      <c r="AQ473" s="4">
        <f t="shared" ca="1" si="199"/>
        <v>44821</v>
      </c>
      <c r="AR473" s="3">
        <f t="shared" ca="1" si="201"/>
        <v>619294.88999999955</v>
      </c>
      <c r="AS473" s="63">
        <f ca="1">IF($AQ473&lt;&gt;"", INDEX(Inputs!$B$3:$B$101, MATCH($AQ473,Inputs!$A$3:$A$101,1)), "")</f>
        <v>2.35E-2</v>
      </c>
      <c r="AT473" s="48">
        <f t="shared" ca="1" si="195"/>
        <v>39.872410726027368</v>
      </c>
      <c r="AU473" s="3">
        <f t="shared" ca="1" si="196"/>
        <v>-39.872410726027368</v>
      </c>
      <c r="AV473" s="3">
        <f t="shared" ca="1" si="197"/>
        <v>-39.872410726027368</v>
      </c>
    </row>
    <row r="474" spans="13:48" x14ac:dyDescent="0.2">
      <c r="M474" s="3" t="str">
        <f t="shared" si="203"/>
        <v/>
      </c>
      <c r="AA474" s="3" t="str">
        <f t="shared" ref="AA474:AA500" si="204">IF($A474&lt;&gt;"", MIN(AB474,$P$3), "")</f>
        <v/>
      </c>
      <c r="AB474" s="3" t="str">
        <f t="shared" ref="AB474:AB500" si="205">IF($A474&lt;&gt;"", AC474+AD474, "")</f>
        <v/>
      </c>
      <c r="AC474" s="3" t="str">
        <f t="shared" ref="AC474:AC500" si="206">IF(A474&lt;&gt;"", AC473+D474+F474-G474, "")</f>
        <v/>
      </c>
      <c r="AD474" s="3" t="str">
        <f t="shared" ref="AD474:AD500" si="207">IF(A474&lt;&gt;"", AD473+C474-F474+G474, "")</f>
        <v/>
      </c>
      <c r="AE474" s="1" t="str">
        <f t="shared" ref="AE474:AE500" ca="1" si="208">IF(A475&lt;&gt;"", A475-A474, IF(A474&lt;&gt;"",IF(AC474&lt;&gt;0,TODAY()-A474,0), ""))</f>
        <v/>
      </c>
      <c r="AG474" s="3" t="str">
        <f t="shared" si="202"/>
        <v/>
      </c>
      <c r="AH474" s="1" t="str">
        <f t="shared" ref="AH474:AH500" si="209">IF(A474&lt;&gt;"", A474-A$3, "")</f>
        <v/>
      </c>
      <c r="AI474" s="3" t="str">
        <f t="shared" ref="AI474:AI500" si="210">IF(A474&lt;&gt;"", AG474*(1+$X$3)^-(AH474/365), "")</f>
        <v/>
      </c>
      <c r="AL474" s="3" t="str">
        <f t="shared" ref="AL474:AL500" si="211">IF($A474&lt;&gt;"", AG474-IF(ISNUMBER(K474),K474*L474,0), "")</f>
        <v/>
      </c>
      <c r="AM474" s="3" t="str">
        <f t="shared" ref="AM474:AM500" si="212">IF(A474&lt;&gt;"", AL474*(1+$X$6/CompoundingRate)^-(AH474/(365/CompoundingRate)), "")</f>
        <v/>
      </c>
      <c r="AQ474" s="4">
        <f t="shared" ca="1" si="199"/>
        <v>44822</v>
      </c>
      <c r="AR474" s="3">
        <f t="shared" ca="1" si="201"/>
        <v>619294.88999999955</v>
      </c>
      <c r="AS474" s="63">
        <f ca="1">IF($AQ474&lt;&gt;"", INDEX(Inputs!$B$3:$B$101, MATCH($AQ474,Inputs!$A$3:$A$101,1)), "")</f>
        <v>2.35E-2</v>
      </c>
      <c r="AT474" s="48">
        <f t="shared" ref="AT474:AT500" ca="1" si="213">IF($AQ474&lt;&gt;"", AR474*AS474/365, "")</f>
        <v>39.872410726027368</v>
      </c>
      <c r="AU474" s="3">
        <f t="shared" ref="AU474:AU500" ca="1" si="214">IF($AQ474&lt;&gt;"", SUMIFS($AL$3:$AL$1054, $A$3:$A$1054,$AQ474) + SUMIFS($M$3:$M$1054, $A$3:$A$1054,$AQ474)*IFERROR(AVERAGEIFS($L$3:$L$1054, $A$3:$A$1054,$AQ474, $M$3:$M$1054,"&gt;0"),0) - AT474, "")</f>
        <v>-39.872410726027368</v>
      </c>
      <c r="AV474" s="3">
        <f t="shared" ref="AV474:AV500" ca="1" si="215">IF(AQ474&lt;&gt;"", AU474*(1+$X$9/CompoundingRate)^-((AQ474-AQ$3)/(365/CompoundingRate)), "")</f>
        <v>-39.872410726027368</v>
      </c>
    </row>
    <row r="475" spans="13:48" x14ac:dyDescent="0.2">
      <c r="M475" s="3" t="str">
        <f t="shared" si="203"/>
        <v/>
      </c>
      <c r="AA475" s="3" t="str">
        <f t="shared" si="204"/>
        <v/>
      </c>
      <c r="AB475" s="3" t="str">
        <f t="shared" si="205"/>
        <v/>
      </c>
      <c r="AC475" s="3" t="str">
        <f t="shared" si="206"/>
        <v/>
      </c>
      <c r="AD475" s="3" t="str">
        <f t="shared" si="207"/>
        <v/>
      </c>
      <c r="AE475" s="1" t="str">
        <f t="shared" ca="1" si="208"/>
        <v/>
      </c>
      <c r="AG475" s="3" t="str">
        <f t="shared" si="202"/>
        <v/>
      </c>
      <c r="AH475" s="1" t="str">
        <f t="shared" si="209"/>
        <v/>
      </c>
      <c r="AI475" s="3" t="str">
        <f t="shared" si="210"/>
        <v/>
      </c>
      <c r="AL475" s="3" t="str">
        <f t="shared" si="211"/>
        <v/>
      </c>
      <c r="AM475" s="3" t="str">
        <f t="shared" si="212"/>
        <v/>
      </c>
      <c r="AQ475" s="4">
        <f t="shared" ca="1" si="199"/>
        <v>44823</v>
      </c>
      <c r="AR475" s="3">
        <f t="shared" ca="1" si="201"/>
        <v>619294.88999999955</v>
      </c>
      <c r="AS475" s="63">
        <f ca="1">IF($AQ475&lt;&gt;"", INDEX(Inputs!$B$3:$B$101, MATCH($AQ475,Inputs!$A$3:$A$101,1)), "")</f>
        <v>2.35E-2</v>
      </c>
      <c r="AT475" s="48">
        <f t="shared" ca="1" si="213"/>
        <v>39.872410726027368</v>
      </c>
      <c r="AU475" s="3">
        <f t="shared" ca="1" si="214"/>
        <v>-39.872410726027368</v>
      </c>
      <c r="AV475" s="3">
        <f t="shared" ca="1" si="215"/>
        <v>-39.872410726027368</v>
      </c>
    </row>
    <row r="476" spans="13:48" x14ac:dyDescent="0.2">
      <c r="M476" s="3" t="str">
        <f t="shared" si="203"/>
        <v/>
      </c>
      <c r="AA476" s="3" t="str">
        <f t="shared" si="204"/>
        <v/>
      </c>
      <c r="AB476" s="3" t="str">
        <f t="shared" si="205"/>
        <v/>
      </c>
      <c r="AC476" s="3" t="str">
        <f t="shared" si="206"/>
        <v/>
      </c>
      <c r="AD476" s="3" t="str">
        <f t="shared" si="207"/>
        <v/>
      </c>
      <c r="AE476" s="1" t="str">
        <f t="shared" ca="1" si="208"/>
        <v/>
      </c>
      <c r="AG476" s="3" t="str">
        <f t="shared" si="202"/>
        <v/>
      </c>
      <c r="AH476" s="1" t="str">
        <f t="shared" si="209"/>
        <v/>
      </c>
      <c r="AI476" s="3" t="str">
        <f t="shared" si="210"/>
        <v/>
      </c>
      <c r="AL476" s="3" t="str">
        <f t="shared" si="211"/>
        <v/>
      </c>
      <c r="AM476" s="3" t="str">
        <f t="shared" si="212"/>
        <v/>
      </c>
      <c r="AQ476" s="4">
        <f t="shared" ca="1" si="199"/>
        <v>44824</v>
      </c>
      <c r="AR476" s="3">
        <f t="shared" ca="1" si="201"/>
        <v>619294.88999999955</v>
      </c>
      <c r="AS476" s="63">
        <f ca="1">IF($AQ476&lt;&gt;"", INDEX(Inputs!$B$3:$B$101, MATCH($AQ476,Inputs!$A$3:$A$101,1)), "")</f>
        <v>2.35E-2</v>
      </c>
      <c r="AT476" s="48">
        <f t="shared" ca="1" si="213"/>
        <v>39.872410726027368</v>
      </c>
      <c r="AU476" s="3">
        <f t="shared" ca="1" si="214"/>
        <v>-39.872410726027368</v>
      </c>
      <c r="AV476" s="3">
        <f t="shared" ca="1" si="215"/>
        <v>-39.872410726027368</v>
      </c>
    </row>
    <row r="477" spans="13:48" x14ac:dyDescent="0.2">
      <c r="M477" s="3" t="str">
        <f t="shared" si="203"/>
        <v/>
      </c>
      <c r="AA477" s="3" t="str">
        <f t="shared" si="204"/>
        <v/>
      </c>
      <c r="AB477" s="3" t="str">
        <f t="shared" si="205"/>
        <v/>
      </c>
      <c r="AC477" s="3" t="str">
        <f t="shared" si="206"/>
        <v/>
      </c>
      <c r="AD477" s="3" t="str">
        <f t="shared" si="207"/>
        <v/>
      </c>
      <c r="AE477" s="1" t="str">
        <f t="shared" ca="1" si="208"/>
        <v/>
      </c>
      <c r="AG477" s="3" t="str">
        <f t="shared" si="202"/>
        <v/>
      </c>
      <c r="AH477" s="1" t="str">
        <f t="shared" si="209"/>
        <v/>
      </c>
      <c r="AI477" s="3" t="str">
        <f t="shared" si="210"/>
        <v/>
      </c>
      <c r="AL477" s="3" t="str">
        <f t="shared" si="211"/>
        <v/>
      </c>
      <c r="AM477" s="3" t="str">
        <f t="shared" si="212"/>
        <v/>
      </c>
      <c r="AQ477" s="4">
        <f t="shared" ca="1" si="199"/>
        <v>44825</v>
      </c>
      <c r="AR477" s="3">
        <f t="shared" ca="1" si="201"/>
        <v>619294.88999999955</v>
      </c>
      <c r="AS477" s="63">
        <f ca="1">IF($AQ477&lt;&gt;"", INDEX(Inputs!$B$3:$B$101, MATCH($AQ477,Inputs!$A$3:$A$101,1)), "")</f>
        <v>2.35E-2</v>
      </c>
      <c r="AT477" s="48">
        <f t="shared" ca="1" si="213"/>
        <v>39.872410726027368</v>
      </c>
      <c r="AU477" s="3">
        <f t="shared" ca="1" si="214"/>
        <v>-39.872410726027368</v>
      </c>
      <c r="AV477" s="3">
        <f t="shared" ca="1" si="215"/>
        <v>-39.872410726027368</v>
      </c>
    </row>
    <row r="478" spans="13:48" x14ac:dyDescent="0.2">
      <c r="M478" s="3" t="str">
        <f t="shared" si="203"/>
        <v/>
      </c>
      <c r="AA478" s="3" t="str">
        <f t="shared" si="204"/>
        <v/>
      </c>
      <c r="AB478" s="3" t="str">
        <f t="shared" si="205"/>
        <v/>
      </c>
      <c r="AC478" s="3" t="str">
        <f t="shared" si="206"/>
        <v/>
      </c>
      <c r="AD478" s="3" t="str">
        <f t="shared" si="207"/>
        <v/>
      </c>
      <c r="AE478" s="1" t="str">
        <f t="shared" ca="1" si="208"/>
        <v/>
      </c>
      <c r="AG478" s="3" t="str">
        <f t="shared" si="202"/>
        <v/>
      </c>
      <c r="AH478" s="1" t="str">
        <f t="shared" si="209"/>
        <v/>
      </c>
      <c r="AI478" s="3" t="str">
        <f t="shared" si="210"/>
        <v/>
      </c>
      <c r="AL478" s="3" t="str">
        <f t="shared" si="211"/>
        <v/>
      </c>
      <c r="AM478" s="3" t="str">
        <f t="shared" si="212"/>
        <v/>
      </c>
      <c r="AQ478" s="4">
        <f t="shared" ca="1" si="199"/>
        <v>44826</v>
      </c>
      <c r="AR478" s="3">
        <f t="shared" ca="1" si="201"/>
        <v>619294.88999999955</v>
      </c>
      <c r="AS478" s="63">
        <f ca="1">IF($AQ478&lt;&gt;"", INDEX(Inputs!$B$3:$B$101, MATCH($AQ478,Inputs!$A$3:$A$101,1)), "")</f>
        <v>2.35E-2</v>
      </c>
      <c r="AT478" s="48">
        <f t="shared" ca="1" si="213"/>
        <v>39.872410726027368</v>
      </c>
      <c r="AU478" s="3">
        <f t="shared" ca="1" si="214"/>
        <v>-39.872410726027368</v>
      </c>
      <c r="AV478" s="3">
        <f t="shared" ca="1" si="215"/>
        <v>-39.872410726027368</v>
      </c>
    </row>
    <row r="479" spans="13:48" x14ac:dyDescent="0.2">
      <c r="M479" s="3" t="str">
        <f t="shared" si="203"/>
        <v/>
      </c>
      <c r="AA479" s="3" t="str">
        <f t="shared" si="204"/>
        <v/>
      </c>
      <c r="AB479" s="3" t="str">
        <f t="shared" si="205"/>
        <v/>
      </c>
      <c r="AC479" s="3" t="str">
        <f t="shared" si="206"/>
        <v/>
      </c>
      <c r="AD479" s="3" t="str">
        <f t="shared" si="207"/>
        <v/>
      </c>
      <c r="AE479" s="1" t="str">
        <f t="shared" ca="1" si="208"/>
        <v/>
      </c>
      <c r="AG479" s="3" t="str">
        <f t="shared" si="202"/>
        <v/>
      </c>
      <c r="AH479" s="1" t="str">
        <f t="shared" si="209"/>
        <v/>
      </c>
      <c r="AI479" s="3" t="str">
        <f t="shared" si="210"/>
        <v/>
      </c>
      <c r="AL479" s="3" t="str">
        <f t="shared" si="211"/>
        <v/>
      </c>
      <c r="AM479" s="3" t="str">
        <f t="shared" si="212"/>
        <v/>
      </c>
      <c r="AQ479" s="4">
        <f t="shared" ca="1" si="199"/>
        <v>44827</v>
      </c>
      <c r="AR479" s="3">
        <f t="shared" ca="1" si="201"/>
        <v>619294.88999999955</v>
      </c>
      <c r="AS479" s="63">
        <f ca="1">IF($AQ479&lt;&gt;"", INDEX(Inputs!$B$3:$B$101, MATCH($AQ479,Inputs!$A$3:$A$101,1)), "")</f>
        <v>2.35E-2</v>
      </c>
      <c r="AT479" s="48">
        <f t="shared" ca="1" si="213"/>
        <v>39.872410726027368</v>
      </c>
      <c r="AU479" s="3">
        <f t="shared" ca="1" si="214"/>
        <v>1860.1275892739727</v>
      </c>
      <c r="AV479" s="3">
        <f t="shared" ca="1" si="215"/>
        <v>1860.1275892739727</v>
      </c>
    </row>
    <row r="480" spans="13:48" x14ac:dyDescent="0.2">
      <c r="M480" s="3" t="str">
        <f t="shared" si="203"/>
        <v/>
      </c>
      <c r="AA480" s="3" t="str">
        <f t="shared" si="204"/>
        <v/>
      </c>
      <c r="AB480" s="3" t="str">
        <f t="shared" si="205"/>
        <v/>
      </c>
      <c r="AC480" s="3" t="str">
        <f t="shared" si="206"/>
        <v/>
      </c>
      <c r="AD480" s="3" t="str">
        <f t="shared" si="207"/>
        <v/>
      </c>
      <c r="AE480" s="1" t="str">
        <f t="shared" ca="1" si="208"/>
        <v/>
      </c>
      <c r="AG480" s="3" t="str">
        <f t="shared" si="202"/>
        <v/>
      </c>
      <c r="AH480" s="1" t="str">
        <f t="shared" si="209"/>
        <v/>
      </c>
      <c r="AI480" s="3" t="str">
        <f t="shared" si="210"/>
        <v/>
      </c>
      <c r="AL480" s="3" t="str">
        <f t="shared" si="211"/>
        <v/>
      </c>
      <c r="AM480" s="3" t="str">
        <f t="shared" si="212"/>
        <v/>
      </c>
      <c r="AQ480" s="4">
        <f t="shared" ca="1" si="199"/>
        <v>44828</v>
      </c>
      <c r="AR480" s="3">
        <f t="shared" ca="1" si="201"/>
        <v>619294.88999999955</v>
      </c>
      <c r="AS480" s="63">
        <f ca="1">IF($AQ480&lt;&gt;"", INDEX(Inputs!$B$3:$B$101, MATCH($AQ480,Inputs!$A$3:$A$101,1)), "")</f>
        <v>2.35E-2</v>
      </c>
      <c r="AT480" s="48">
        <f t="shared" ca="1" si="213"/>
        <v>39.872410726027368</v>
      </c>
      <c r="AU480" s="3">
        <f t="shared" ca="1" si="214"/>
        <v>-39.872410726027368</v>
      </c>
      <c r="AV480" s="3">
        <f t="shared" ca="1" si="215"/>
        <v>-39.872410726027368</v>
      </c>
    </row>
    <row r="481" spans="13:48" x14ac:dyDescent="0.2">
      <c r="M481" s="3" t="str">
        <f t="shared" si="203"/>
        <v/>
      </c>
      <c r="AA481" s="3" t="str">
        <f t="shared" si="204"/>
        <v/>
      </c>
      <c r="AB481" s="3" t="str">
        <f t="shared" si="205"/>
        <v/>
      </c>
      <c r="AC481" s="3" t="str">
        <f t="shared" si="206"/>
        <v/>
      </c>
      <c r="AD481" s="3" t="str">
        <f t="shared" si="207"/>
        <v/>
      </c>
      <c r="AE481" s="1" t="str">
        <f t="shared" ca="1" si="208"/>
        <v/>
      </c>
      <c r="AG481" s="3" t="str">
        <f t="shared" si="202"/>
        <v/>
      </c>
      <c r="AH481" s="1" t="str">
        <f t="shared" si="209"/>
        <v/>
      </c>
      <c r="AI481" s="3" t="str">
        <f t="shared" si="210"/>
        <v/>
      </c>
      <c r="AL481" s="3" t="str">
        <f t="shared" si="211"/>
        <v/>
      </c>
      <c r="AM481" s="3" t="str">
        <f t="shared" si="212"/>
        <v/>
      </c>
      <c r="AQ481" s="4">
        <f t="shared" ca="1" si="199"/>
        <v>44829</v>
      </c>
      <c r="AR481" s="3">
        <f t="shared" ca="1" si="201"/>
        <v>619294.88999999955</v>
      </c>
      <c r="AS481" s="63">
        <f ca="1">IF($AQ481&lt;&gt;"", INDEX(Inputs!$B$3:$B$101, MATCH($AQ481,Inputs!$A$3:$A$101,1)), "")</f>
        <v>2.35E-2</v>
      </c>
      <c r="AT481" s="48">
        <f t="shared" ca="1" si="213"/>
        <v>39.872410726027368</v>
      </c>
      <c r="AU481" s="3">
        <f t="shared" ca="1" si="214"/>
        <v>-39.872410726027368</v>
      </c>
      <c r="AV481" s="3">
        <f t="shared" ca="1" si="215"/>
        <v>-39.872410726027368</v>
      </c>
    </row>
    <row r="482" spans="13:48" x14ac:dyDescent="0.2">
      <c r="M482" s="3" t="str">
        <f t="shared" si="203"/>
        <v/>
      </c>
      <c r="AA482" s="3" t="str">
        <f t="shared" si="204"/>
        <v/>
      </c>
      <c r="AB482" s="3" t="str">
        <f t="shared" si="205"/>
        <v/>
      </c>
      <c r="AC482" s="3" t="str">
        <f t="shared" si="206"/>
        <v/>
      </c>
      <c r="AD482" s="3" t="str">
        <f t="shared" si="207"/>
        <v/>
      </c>
      <c r="AE482" s="1" t="str">
        <f t="shared" ca="1" si="208"/>
        <v/>
      </c>
      <c r="AG482" s="3" t="str">
        <f t="shared" si="202"/>
        <v/>
      </c>
      <c r="AH482" s="1" t="str">
        <f t="shared" si="209"/>
        <v/>
      </c>
      <c r="AI482" s="3" t="str">
        <f t="shared" si="210"/>
        <v/>
      </c>
      <c r="AL482" s="3" t="str">
        <f t="shared" si="211"/>
        <v/>
      </c>
      <c r="AM482" s="3" t="str">
        <f t="shared" si="212"/>
        <v/>
      </c>
      <c r="AQ482" s="4">
        <f t="shared" ca="1" si="199"/>
        <v>44830</v>
      </c>
      <c r="AR482" s="3">
        <f t="shared" ca="1" si="201"/>
        <v>619294.88999999955</v>
      </c>
      <c r="AS482" s="63">
        <f ca="1">IF($AQ482&lt;&gt;"", INDEX(Inputs!$B$3:$B$101, MATCH($AQ482,Inputs!$A$3:$A$101,1)), "")</f>
        <v>2.35E-2</v>
      </c>
      <c r="AT482" s="48">
        <f t="shared" ca="1" si="213"/>
        <v>39.872410726027368</v>
      </c>
      <c r="AU482" s="3">
        <f t="shared" ca="1" si="214"/>
        <v>-306.58241072602732</v>
      </c>
      <c r="AV482" s="3">
        <f t="shared" ca="1" si="215"/>
        <v>-306.58241072602732</v>
      </c>
    </row>
    <row r="483" spans="13:48" x14ac:dyDescent="0.2">
      <c r="M483" s="3" t="str">
        <f t="shared" si="203"/>
        <v/>
      </c>
      <c r="AA483" s="3" t="str">
        <f t="shared" si="204"/>
        <v/>
      </c>
      <c r="AB483" s="3" t="str">
        <f t="shared" si="205"/>
        <v/>
      </c>
      <c r="AC483" s="3" t="str">
        <f t="shared" si="206"/>
        <v/>
      </c>
      <c r="AD483" s="3" t="str">
        <f t="shared" si="207"/>
        <v/>
      </c>
      <c r="AE483" s="1" t="str">
        <f t="shared" ca="1" si="208"/>
        <v/>
      </c>
      <c r="AG483" s="3" t="str">
        <f t="shared" si="202"/>
        <v/>
      </c>
      <c r="AH483" s="1" t="str">
        <f t="shared" si="209"/>
        <v/>
      </c>
      <c r="AI483" s="3" t="str">
        <f t="shared" si="210"/>
        <v/>
      </c>
      <c r="AL483" s="3" t="str">
        <f t="shared" si="211"/>
        <v/>
      </c>
      <c r="AM483" s="3" t="str">
        <f t="shared" si="212"/>
        <v/>
      </c>
      <c r="AQ483" s="4">
        <f t="shared" ca="1" si="199"/>
        <v>44831</v>
      </c>
      <c r="AR483" s="3">
        <f t="shared" ca="1" si="201"/>
        <v>619294.88999999955</v>
      </c>
      <c r="AS483" s="63">
        <f ca="1">IF($AQ483&lt;&gt;"", INDEX(Inputs!$B$3:$B$101, MATCH($AQ483,Inputs!$A$3:$A$101,1)), "")</f>
        <v>2.35E-2</v>
      </c>
      <c r="AT483" s="48">
        <f t="shared" ca="1" si="213"/>
        <v>39.872410726027368</v>
      </c>
      <c r="AU483" s="3">
        <f t="shared" ca="1" si="214"/>
        <v>-39.872410726027368</v>
      </c>
      <c r="AV483" s="3">
        <f t="shared" ca="1" si="215"/>
        <v>-39.872410726027368</v>
      </c>
    </row>
    <row r="484" spans="13:48" x14ac:dyDescent="0.2">
      <c r="M484" s="3" t="str">
        <f t="shared" si="203"/>
        <v/>
      </c>
      <c r="AA484" s="3" t="str">
        <f t="shared" si="204"/>
        <v/>
      </c>
      <c r="AB484" s="3" t="str">
        <f t="shared" si="205"/>
        <v/>
      </c>
      <c r="AC484" s="3" t="str">
        <f t="shared" si="206"/>
        <v/>
      </c>
      <c r="AD484" s="3" t="str">
        <f t="shared" si="207"/>
        <v/>
      </c>
      <c r="AE484" s="1" t="str">
        <f t="shared" ca="1" si="208"/>
        <v/>
      </c>
      <c r="AG484" s="3" t="str">
        <f t="shared" si="202"/>
        <v/>
      </c>
      <c r="AH484" s="1" t="str">
        <f t="shared" si="209"/>
        <v/>
      </c>
      <c r="AI484" s="3" t="str">
        <f t="shared" si="210"/>
        <v/>
      </c>
      <c r="AL484" s="3" t="str">
        <f t="shared" si="211"/>
        <v/>
      </c>
      <c r="AM484" s="3" t="str">
        <f t="shared" si="212"/>
        <v/>
      </c>
      <c r="AQ484" s="4">
        <f t="shared" ca="1" si="199"/>
        <v>44832</v>
      </c>
      <c r="AR484" s="3">
        <f t="shared" ca="1" si="201"/>
        <v>619294.88999999955</v>
      </c>
      <c r="AS484" s="63">
        <f ca="1">IF($AQ484&lt;&gt;"", INDEX(Inputs!$B$3:$B$101, MATCH($AQ484,Inputs!$A$3:$A$101,1)), "")</f>
        <v>2.35E-2</v>
      </c>
      <c r="AT484" s="48">
        <f t="shared" ca="1" si="213"/>
        <v>39.872410726027368</v>
      </c>
      <c r="AU484" s="3">
        <f t="shared" ca="1" si="214"/>
        <v>-39.872410726027368</v>
      </c>
      <c r="AV484" s="3">
        <f t="shared" ca="1" si="215"/>
        <v>-39.872410726027368</v>
      </c>
    </row>
    <row r="485" spans="13:48" x14ac:dyDescent="0.2">
      <c r="M485" s="3" t="str">
        <f t="shared" si="203"/>
        <v/>
      </c>
      <c r="AA485" s="3" t="str">
        <f t="shared" si="204"/>
        <v/>
      </c>
      <c r="AB485" s="3" t="str">
        <f t="shared" si="205"/>
        <v/>
      </c>
      <c r="AC485" s="3" t="str">
        <f t="shared" si="206"/>
        <v/>
      </c>
      <c r="AD485" s="3" t="str">
        <f t="shared" si="207"/>
        <v/>
      </c>
      <c r="AE485" s="1" t="str">
        <f t="shared" ca="1" si="208"/>
        <v/>
      </c>
      <c r="AG485" s="3" t="str">
        <f t="shared" si="202"/>
        <v/>
      </c>
      <c r="AH485" s="1" t="str">
        <f t="shared" si="209"/>
        <v/>
      </c>
      <c r="AI485" s="3" t="str">
        <f t="shared" si="210"/>
        <v/>
      </c>
      <c r="AL485" s="3" t="str">
        <f t="shared" si="211"/>
        <v/>
      </c>
      <c r="AM485" s="3" t="str">
        <f t="shared" si="212"/>
        <v/>
      </c>
      <c r="AQ485" s="4">
        <f t="shared" ca="1" si="199"/>
        <v>44833</v>
      </c>
      <c r="AR485" s="3">
        <f t="shared" ca="1" si="201"/>
        <v>619294.88999999955</v>
      </c>
      <c r="AS485" s="63">
        <f ca="1">IF($AQ485&lt;&gt;"", INDEX(Inputs!$B$3:$B$101, MATCH($AQ485,Inputs!$A$3:$A$101,1)), "")</f>
        <v>2.35E-2</v>
      </c>
      <c r="AT485" s="48">
        <f t="shared" ca="1" si="213"/>
        <v>39.872410726027368</v>
      </c>
      <c r="AU485" s="3">
        <f t="shared" ca="1" si="214"/>
        <v>-39.872410726027368</v>
      </c>
      <c r="AV485" s="3">
        <f t="shared" ca="1" si="215"/>
        <v>-39.872410726027368</v>
      </c>
    </row>
    <row r="486" spans="13:48" x14ac:dyDescent="0.2">
      <c r="M486" s="3" t="str">
        <f t="shared" si="203"/>
        <v/>
      </c>
      <c r="AA486" s="3" t="str">
        <f t="shared" si="204"/>
        <v/>
      </c>
      <c r="AB486" s="3" t="str">
        <f t="shared" si="205"/>
        <v/>
      </c>
      <c r="AC486" s="3" t="str">
        <f t="shared" si="206"/>
        <v/>
      </c>
      <c r="AD486" s="3" t="str">
        <f t="shared" si="207"/>
        <v/>
      </c>
      <c r="AE486" s="1" t="str">
        <f t="shared" ca="1" si="208"/>
        <v/>
      </c>
      <c r="AG486" s="3" t="str">
        <f t="shared" si="202"/>
        <v/>
      </c>
      <c r="AH486" s="1" t="str">
        <f t="shared" si="209"/>
        <v/>
      </c>
      <c r="AI486" s="3" t="str">
        <f t="shared" si="210"/>
        <v/>
      </c>
      <c r="AL486" s="3" t="str">
        <f t="shared" si="211"/>
        <v/>
      </c>
      <c r="AM486" s="3" t="str">
        <f t="shared" si="212"/>
        <v/>
      </c>
      <c r="AQ486" s="4">
        <f t="shared" ca="1" si="199"/>
        <v>44834</v>
      </c>
      <c r="AR486" s="3">
        <f t="shared" ca="1" si="201"/>
        <v>613696.11999999953</v>
      </c>
      <c r="AS486" s="63">
        <f ca="1">IF($AQ486&lt;&gt;"", INDEX(Inputs!$B$3:$B$101, MATCH($AQ486,Inputs!$A$3:$A$101,1)), "")</f>
        <v>2.35E-2</v>
      </c>
      <c r="AT486" s="48">
        <f t="shared" ca="1" si="213"/>
        <v>39.511941972602706</v>
      </c>
      <c r="AU486" s="3">
        <f t="shared" ca="1" si="214"/>
        <v>1860.4880580273973</v>
      </c>
      <c r="AV486" s="3">
        <f t="shared" ca="1" si="215"/>
        <v>1860.4880580273973</v>
      </c>
    </row>
    <row r="487" spans="13:48" x14ac:dyDescent="0.2">
      <c r="M487" s="3" t="str">
        <f t="shared" si="203"/>
        <v/>
      </c>
      <c r="AA487" s="3" t="str">
        <f t="shared" si="204"/>
        <v/>
      </c>
      <c r="AB487" s="3" t="str">
        <f t="shared" si="205"/>
        <v/>
      </c>
      <c r="AC487" s="3" t="str">
        <f t="shared" si="206"/>
        <v/>
      </c>
      <c r="AD487" s="3" t="str">
        <f t="shared" si="207"/>
        <v/>
      </c>
      <c r="AE487" s="1" t="str">
        <f t="shared" ca="1" si="208"/>
        <v/>
      </c>
      <c r="AG487" s="3" t="str">
        <f t="shared" si="202"/>
        <v/>
      </c>
      <c r="AH487" s="1" t="str">
        <f t="shared" si="209"/>
        <v/>
      </c>
      <c r="AI487" s="3" t="str">
        <f t="shared" si="210"/>
        <v/>
      </c>
      <c r="AL487" s="3" t="str">
        <f t="shared" si="211"/>
        <v/>
      </c>
      <c r="AM487" s="3" t="str">
        <f t="shared" si="212"/>
        <v/>
      </c>
      <c r="AQ487" s="4">
        <f t="shared" ca="1" si="199"/>
        <v>44835</v>
      </c>
      <c r="AR487" s="3">
        <f t="shared" ca="1" si="201"/>
        <v>613696.11999999953</v>
      </c>
      <c r="AS487" s="63">
        <f ca="1">IF($AQ487&lt;&gt;"", INDEX(Inputs!$B$3:$B$101, MATCH($AQ487,Inputs!$A$3:$A$101,1)), "")</f>
        <v>2.35E-2</v>
      </c>
      <c r="AT487" s="48">
        <f t="shared" ca="1" si="213"/>
        <v>39.511941972602706</v>
      </c>
      <c r="AU487" s="3">
        <f t="shared" ca="1" si="214"/>
        <v>-39.511941972602706</v>
      </c>
      <c r="AV487" s="3">
        <f t="shared" ca="1" si="215"/>
        <v>-39.511941972602706</v>
      </c>
    </row>
    <row r="488" spans="13:48" x14ac:dyDescent="0.2">
      <c r="M488" s="3" t="str">
        <f t="shared" si="203"/>
        <v/>
      </c>
      <c r="AA488" s="3" t="str">
        <f t="shared" si="204"/>
        <v/>
      </c>
      <c r="AB488" s="3" t="str">
        <f t="shared" si="205"/>
        <v/>
      </c>
      <c r="AC488" s="3" t="str">
        <f t="shared" si="206"/>
        <v/>
      </c>
      <c r="AD488" s="3" t="str">
        <f t="shared" si="207"/>
        <v/>
      </c>
      <c r="AE488" s="1" t="str">
        <f t="shared" ca="1" si="208"/>
        <v/>
      </c>
      <c r="AG488" s="3" t="str">
        <f t="shared" si="202"/>
        <v/>
      </c>
      <c r="AH488" s="1" t="str">
        <f t="shared" si="209"/>
        <v/>
      </c>
      <c r="AI488" s="3" t="str">
        <f t="shared" si="210"/>
        <v/>
      </c>
      <c r="AL488" s="3" t="str">
        <f t="shared" si="211"/>
        <v/>
      </c>
      <c r="AM488" s="3" t="str">
        <f t="shared" si="212"/>
        <v/>
      </c>
      <c r="AQ488" s="4">
        <f t="shared" ca="1" si="199"/>
        <v>44836</v>
      </c>
      <c r="AR488" s="3">
        <f t="shared" ca="1" si="201"/>
        <v>613696.11999999953</v>
      </c>
      <c r="AS488" s="63">
        <f ca="1">IF($AQ488&lt;&gt;"", INDEX(Inputs!$B$3:$B$101, MATCH($AQ488,Inputs!$A$3:$A$101,1)), "")</f>
        <v>2.35E-2</v>
      </c>
      <c r="AT488" s="48">
        <f t="shared" ca="1" si="213"/>
        <v>39.511941972602706</v>
      </c>
      <c r="AU488" s="3">
        <f t="shared" ca="1" si="214"/>
        <v>-39.511941972602706</v>
      </c>
      <c r="AV488" s="3">
        <f t="shared" ca="1" si="215"/>
        <v>-39.511941972602706</v>
      </c>
    </row>
    <row r="489" spans="13:48" x14ac:dyDescent="0.2">
      <c r="M489" s="3" t="str">
        <f t="shared" si="203"/>
        <v/>
      </c>
      <c r="AA489" s="3" t="str">
        <f t="shared" si="204"/>
        <v/>
      </c>
      <c r="AB489" s="3" t="str">
        <f t="shared" si="205"/>
        <v/>
      </c>
      <c r="AC489" s="3" t="str">
        <f t="shared" si="206"/>
        <v/>
      </c>
      <c r="AD489" s="3" t="str">
        <f t="shared" si="207"/>
        <v/>
      </c>
      <c r="AE489" s="1" t="str">
        <f t="shared" ca="1" si="208"/>
        <v/>
      </c>
      <c r="AG489" s="3" t="str">
        <f t="shared" si="202"/>
        <v/>
      </c>
      <c r="AH489" s="1" t="str">
        <f t="shared" si="209"/>
        <v/>
      </c>
      <c r="AI489" s="3" t="str">
        <f t="shared" si="210"/>
        <v/>
      </c>
      <c r="AL489" s="3" t="str">
        <f t="shared" si="211"/>
        <v/>
      </c>
      <c r="AM489" s="3" t="str">
        <f t="shared" si="212"/>
        <v/>
      </c>
      <c r="AQ489" s="4">
        <f t="shared" ca="1" si="199"/>
        <v>44837</v>
      </c>
      <c r="AR489" s="3">
        <f t="shared" ca="1" si="201"/>
        <v>613696.11999999953</v>
      </c>
      <c r="AS489" s="63">
        <f ca="1">IF($AQ489&lt;&gt;"", INDEX(Inputs!$B$3:$B$101, MATCH($AQ489,Inputs!$A$3:$A$101,1)), "")</f>
        <v>2.35E-2</v>
      </c>
      <c r="AT489" s="48">
        <f t="shared" ca="1" si="213"/>
        <v>39.511941972602706</v>
      </c>
      <c r="AU489" s="3">
        <f t="shared" ca="1" si="214"/>
        <v>-39.511941972602706</v>
      </c>
      <c r="AV489" s="3">
        <f t="shared" ca="1" si="215"/>
        <v>-39.511941972602706</v>
      </c>
    </row>
    <row r="490" spans="13:48" x14ac:dyDescent="0.2">
      <c r="M490" s="3" t="str">
        <f t="shared" si="203"/>
        <v/>
      </c>
      <c r="AA490" s="3" t="str">
        <f t="shared" si="204"/>
        <v/>
      </c>
      <c r="AB490" s="3" t="str">
        <f t="shared" si="205"/>
        <v/>
      </c>
      <c r="AC490" s="3" t="str">
        <f t="shared" si="206"/>
        <v/>
      </c>
      <c r="AD490" s="3" t="str">
        <f t="shared" si="207"/>
        <v/>
      </c>
      <c r="AE490" s="1" t="str">
        <f t="shared" ca="1" si="208"/>
        <v/>
      </c>
      <c r="AG490" s="3" t="str">
        <f t="shared" si="202"/>
        <v/>
      </c>
      <c r="AH490" s="1" t="str">
        <f t="shared" si="209"/>
        <v/>
      </c>
      <c r="AI490" s="3" t="str">
        <f t="shared" si="210"/>
        <v/>
      </c>
      <c r="AL490" s="3" t="str">
        <f t="shared" si="211"/>
        <v/>
      </c>
      <c r="AM490" s="3" t="str">
        <f t="shared" si="212"/>
        <v/>
      </c>
      <c r="AQ490" s="4">
        <f t="shared" ca="1" si="199"/>
        <v>44838</v>
      </c>
      <c r="AR490" s="3">
        <f t="shared" ca="1" si="201"/>
        <v>613696.11999999953</v>
      </c>
      <c r="AS490" s="63">
        <f ca="1">IF($AQ490&lt;&gt;"", INDEX(Inputs!$B$3:$B$101, MATCH($AQ490,Inputs!$A$3:$A$101,1)), "")</f>
        <v>2.35E-2</v>
      </c>
      <c r="AT490" s="48">
        <f t="shared" ca="1" si="213"/>
        <v>39.511941972602706</v>
      </c>
      <c r="AU490" s="3">
        <f t="shared" ca="1" si="214"/>
        <v>-39.511941972602706</v>
      </c>
      <c r="AV490" s="3">
        <f t="shared" ca="1" si="215"/>
        <v>-39.511941972602706</v>
      </c>
    </row>
    <row r="491" spans="13:48" x14ac:dyDescent="0.2">
      <c r="M491" s="3" t="str">
        <f t="shared" si="203"/>
        <v/>
      </c>
      <c r="AA491" s="3" t="str">
        <f t="shared" si="204"/>
        <v/>
      </c>
      <c r="AB491" s="3" t="str">
        <f t="shared" si="205"/>
        <v/>
      </c>
      <c r="AC491" s="3" t="str">
        <f t="shared" si="206"/>
        <v/>
      </c>
      <c r="AD491" s="3" t="str">
        <f t="shared" si="207"/>
        <v/>
      </c>
      <c r="AE491" s="1" t="str">
        <f t="shared" ca="1" si="208"/>
        <v/>
      </c>
      <c r="AG491" s="3" t="str">
        <f t="shared" si="202"/>
        <v/>
      </c>
      <c r="AH491" s="1" t="str">
        <f t="shared" si="209"/>
        <v/>
      </c>
      <c r="AI491" s="3" t="str">
        <f t="shared" si="210"/>
        <v/>
      </c>
      <c r="AL491" s="3" t="str">
        <f t="shared" si="211"/>
        <v/>
      </c>
      <c r="AM491" s="3" t="str">
        <f t="shared" si="212"/>
        <v/>
      </c>
      <c r="AQ491" s="4">
        <f t="shared" ca="1" si="199"/>
        <v>44839</v>
      </c>
      <c r="AR491" s="3">
        <f t="shared" ca="1" si="201"/>
        <v>613696.11999999953</v>
      </c>
      <c r="AS491" s="63">
        <f ca="1">IF($AQ491&lt;&gt;"", INDEX(Inputs!$B$3:$B$101, MATCH($AQ491,Inputs!$A$3:$A$101,1)), "")</f>
        <v>2.5999999999999999E-2</v>
      </c>
      <c r="AT491" s="48">
        <f t="shared" ca="1" si="213"/>
        <v>43.715340054794481</v>
      </c>
      <c r="AU491" s="3">
        <f t="shared" ca="1" si="214"/>
        <v>-43.715340054794481</v>
      </c>
      <c r="AV491" s="3">
        <f t="shared" ca="1" si="215"/>
        <v>-43.715340054794481</v>
      </c>
    </row>
    <row r="492" spans="13:48" x14ac:dyDescent="0.2">
      <c r="M492" s="3" t="str">
        <f t="shared" si="203"/>
        <v/>
      </c>
      <c r="AA492" s="3" t="str">
        <f t="shared" si="204"/>
        <v/>
      </c>
      <c r="AB492" s="3" t="str">
        <f t="shared" si="205"/>
        <v/>
      </c>
      <c r="AC492" s="3" t="str">
        <f t="shared" si="206"/>
        <v/>
      </c>
      <c r="AD492" s="3" t="str">
        <f t="shared" si="207"/>
        <v/>
      </c>
      <c r="AE492" s="1" t="str">
        <f t="shared" ca="1" si="208"/>
        <v/>
      </c>
      <c r="AG492" s="3" t="str">
        <f t="shared" si="202"/>
        <v/>
      </c>
      <c r="AH492" s="1" t="str">
        <f t="shared" si="209"/>
        <v/>
      </c>
      <c r="AI492" s="3" t="str">
        <f t="shared" si="210"/>
        <v/>
      </c>
      <c r="AL492" s="3" t="str">
        <f t="shared" si="211"/>
        <v/>
      </c>
      <c r="AM492" s="3" t="str">
        <f t="shared" si="212"/>
        <v/>
      </c>
      <c r="AQ492" s="4">
        <f t="shared" ca="1" si="199"/>
        <v>44840</v>
      </c>
      <c r="AR492" s="3">
        <f t="shared" ca="1" si="201"/>
        <v>613696.11999999953</v>
      </c>
      <c r="AS492" s="63">
        <f ca="1">IF($AQ492&lt;&gt;"", INDEX(Inputs!$B$3:$B$101, MATCH($AQ492,Inputs!$A$3:$A$101,1)), "")</f>
        <v>2.5999999999999999E-2</v>
      </c>
      <c r="AT492" s="48">
        <f t="shared" ca="1" si="213"/>
        <v>43.715340054794481</v>
      </c>
      <c r="AU492" s="3">
        <f t="shared" ca="1" si="214"/>
        <v>-43.715340054794481</v>
      </c>
      <c r="AV492" s="3">
        <f t="shared" ca="1" si="215"/>
        <v>-43.715340054794481</v>
      </c>
    </row>
    <row r="493" spans="13:48" x14ac:dyDescent="0.2">
      <c r="M493" s="3" t="str">
        <f t="shared" si="203"/>
        <v/>
      </c>
      <c r="AA493" s="3" t="str">
        <f t="shared" si="204"/>
        <v/>
      </c>
      <c r="AB493" s="3" t="str">
        <f t="shared" si="205"/>
        <v/>
      </c>
      <c r="AC493" s="3" t="str">
        <f t="shared" si="206"/>
        <v/>
      </c>
      <c r="AD493" s="3" t="str">
        <f t="shared" si="207"/>
        <v/>
      </c>
      <c r="AE493" s="1" t="str">
        <f t="shared" ca="1" si="208"/>
        <v/>
      </c>
      <c r="AG493" s="3" t="str">
        <f t="shared" si="202"/>
        <v/>
      </c>
      <c r="AH493" s="1" t="str">
        <f t="shared" si="209"/>
        <v/>
      </c>
      <c r="AI493" s="3" t="str">
        <f t="shared" si="210"/>
        <v/>
      </c>
      <c r="AL493" s="3" t="str">
        <f t="shared" si="211"/>
        <v/>
      </c>
      <c r="AM493" s="3" t="str">
        <f t="shared" si="212"/>
        <v/>
      </c>
      <c r="AQ493" s="4">
        <f t="shared" ca="1" si="199"/>
        <v>44841</v>
      </c>
      <c r="AR493" s="3">
        <f t="shared" ca="1" si="201"/>
        <v>613696.11999999953</v>
      </c>
      <c r="AS493" s="63">
        <f ca="1">IF($AQ493&lt;&gt;"", INDEX(Inputs!$B$3:$B$101, MATCH($AQ493,Inputs!$A$3:$A$101,1)), "")</f>
        <v>2.5999999999999999E-2</v>
      </c>
      <c r="AT493" s="48">
        <f t="shared" ca="1" si="213"/>
        <v>43.715340054794481</v>
      </c>
      <c r="AU493" s="3">
        <f t="shared" ca="1" si="214"/>
        <v>1856.2846599452055</v>
      </c>
      <c r="AV493" s="3">
        <f t="shared" ca="1" si="215"/>
        <v>1856.2846599452055</v>
      </c>
    </row>
    <row r="494" spans="13:48" x14ac:dyDescent="0.2">
      <c r="M494" s="3" t="str">
        <f t="shared" si="203"/>
        <v/>
      </c>
      <c r="AA494" s="3" t="str">
        <f t="shared" si="204"/>
        <v/>
      </c>
      <c r="AB494" s="3" t="str">
        <f t="shared" si="205"/>
        <v/>
      </c>
      <c r="AC494" s="3" t="str">
        <f t="shared" si="206"/>
        <v/>
      </c>
      <c r="AD494" s="3" t="str">
        <f t="shared" si="207"/>
        <v/>
      </c>
      <c r="AE494" s="1" t="str">
        <f t="shared" ca="1" si="208"/>
        <v/>
      </c>
      <c r="AG494" s="3" t="str">
        <f t="shared" si="202"/>
        <v/>
      </c>
      <c r="AH494" s="1" t="str">
        <f t="shared" si="209"/>
        <v/>
      </c>
      <c r="AI494" s="3" t="str">
        <f t="shared" si="210"/>
        <v/>
      </c>
      <c r="AL494" s="3" t="str">
        <f t="shared" si="211"/>
        <v/>
      </c>
      <c r="AM494" s="3" t="str">
        <f t="shared" si="212"/>
        <v/>
      </c>
      <c r="AQ494" s="4">
        <f t="shared" ca="1" si="199"/>
        <v>44842</v>
      </c>
      <c r="AR494" s="3">
        <f t="shared" ca="1" si="201"/>
        <v>613696.11999999953</v>
      </c>
      <c r="AS494" s="63">
        <f ca="1">IF($AQ494&lt;&gt;"", INDEX(Inputs!$B$3:$B$101, MATCH($AQ494,Inputs!$A$3:$A$101,1)), "")</f>
        <v>2.5999999999999999E-2</v>
      </c>
      <c r="AT494" s="48">
        <f t="shared" ca="1" si="213"/>
        <v>43.715340054794481</v>
      </c>
      <c r="AU494" s="3">
        <f t="shared" ca="1" si="214"/>
        <v>-43.715340054794481</v>
      </c>
      <c r="AV494" s="3">
        <f t="shared" ca="1" si="215"/>
        <v>-43.715340054794481</v>
      </c>
    </row>
    <row r="495" spans="13:48" x14ac:dyDescent="0.2">
      <c r="M495" s="3" t="str">
        <f t="shared" si="203"/>
        <v/>
      </c>
      <c r="AA495" s="3" t="str">
        <f t="shared" si="204"/>
        <v/>
      </c>
      <c r="AB495" s="3" t="str">
        <f t="shared" si="205"/>
        <v/>
      </c>
      <c r="AC495" s="3" t="str">
        <f t="shared" si="206"/>
        <v/>
      </c>
      <c r="AD495" s="3" t="str">
        <f t="shared" si="207"/>
        <v/>
      </c>
      <c r="AE495" s="1" t="str">
        <f t="shared" ca="1" si="208"/>
        <v/>
      </c>
      <c r="AG495" s="3" t="str">
        <f t="shared" si="202"/>
        <v/>
      </c>
      <c r="AH495" s="1" t="str">
        <f t="shared" si="209"/>
        <v/>
      </c>
      <c r="AI495" s="3" t="str">
        <f t="shared" si="210"/>
        <v/>
      </c>
      <c r="AL495" s="3" t="str">
        <f t="shared" si="211"/>
        <v/>
      </c>
      <c r="AM495" s="3" t="str">
        <f t="shared" si="212"/>
        <v/>
      </c>
      <c r="AQ495" s="4">
        <f t="shared" ca="1" si="199"/>
        <v>44843</v>
      </c>
      <c r="AR495" s="3">
        <f t="shared" ca="1" si="201"/>
        <v>613696.11999999953</v>
      </c>
      <c r="AS495" s="63">
        <f ca="1">IF($AQ495&lt;&gt;"", INDEX(Inputs!$B$3:$B$101, MATCH($AQ495,Inputs!$A$3:$A$101,1)), "")</f>
        <v>2.5999999999999999E-2</v>
      </c>
      <c r="AT495" s="48">
        <f t="shared" ca="1" si="213"/>
        <v>43.715340054794481</v>
      </c>
      <c r="AU495" s="3">
        <f t="shared" ca="1" si="214"/>
        <v>-43.715340054794481</v>
      </c>
      <c r="AV495" s="3">
        <f t="shared" ca="1" si="215"/>
        <v>-43.715340054794481</v>
      </c>
    </row>
    <row r="496" spans="13:48" x14ac:dyDescent="0.2">
      <c r="M496" s="3" t="str">
        <f t="shared" si="203"/>
        <v/>
      </c>
      <c r="AA496" s="3" t="str">
        <f t="shared" si="204"/>
        <v/>
      </c>
      <c r="AB496" s="3" t="str">
        <f t="shared" si="205"/>
        <v/>
      </c>
      <c r="AC496" s="3" t="str">
        <f t="shared" si="206"/>
        <v/>
      </c>
      <c r="AD496" s="3" t="str">
        <f t="shared" si="207"/>
        <v/>
      </c>
      <c r="AE496" s="1" t="str">
        <f t="shared" ca="1" si="208"/>
        <v/>
      </c>
      <c r="AG496" s="3" t="str">
        <f t="shared" si="202"/>
        <v/>
      </c>
      <c r="AH496" s="1" t="str">
        <f t="shared" si="209"/>
        <v/>
      </c>
      <c r="AI496" s="3" t="str">
        <f t="shared" si="210"/>
        <v/>
      </c>
      <c r="AL496" s="3" t="str">
        <f t="shared" si="211"/>
        <v/>
      </c>
      <c r="AM496" s="3" t="str">
        <f t="shared" si="212"/>
        <v/>
      </c>
      <c r="AQ496" s="4">
        <f t="shared" ca="1" si="199"/>
        <v>44844</v>
      </c>
      <c r="AR496" s="3">
        <f t="shared" ca="1" si="201"/>
        <v>613696.11999999953</v>
      </c>
      <c r="AS496" s="63">
        <f ca="1">IF($AQ496&lt;&gt;"", INDEX(Inputs!$B$3:$B$101, MATCH($AQ496,Inputs!$A$3:$A$101,1)), "")</f>
        <v>2.5999999999999999E-2</v>
      </c>
      <c r="AT496" s="48">
        <f t="shared" ca="1" si="213"/>
        <v>43.715340054794481</v>
      </c>
      <c r="AU496" s="3">
        <f t="shared" ca="1" si="214"/>
        <v>-43.715340054794481</v>
      </c>
      <c r="AV496" s="3">
        <f t="shared" ca="1" si="215"/>
        <v>-43.715340054794481</v>
      </c>
    </row>
    <row r="497" spans="13:48" x14ac:dyDescent="0.2">
      <c r="M497" s="3" t="str">
        <f t="shared" si="203"/>
        <v/>
      </c>
      <c r="AA497" s="3" t="str">
        <f t="shared" si="204"/>
        <v/>
      </c>
      <c r="AB497" s="3" t="str">
        <f t="shared" si="205"/>
        <v/>
      </c>
      <c r="AC497" s="3" t="str">
        <f t="shared" si="206"/>
        <v/>
      </c>
      <c r="AD497" s="3" t="str">
        <f t="shared" si="207"/>
        <v/>
      </c>
      <c r="AE497" s="1" t="str">
        <f t="shared" ca="1" si="208"/>
        <v/>
      </c>
      <c r="AG497" s="3" t="str">
        <f t="shared" si="202"/>
        <v/>
      </c>
      <c r="AH497" s="1" t="str">
        <f t="shared" si="209"/>
        <v/>
      </c>
      <c r="AI497" s="3" t="str">
        <f t="shared" si="210"/>
        <v/>
      </c>
      <c r="AL497" s="3" t="str">
        <f t="shared" si="211"/>
        <v/>
      </c>
      <c r="AM497" s="3" t="str">
        <f t="shared" si="212"/>
        <v/>
      </c>
      <c r="AQ497" s="4">
        <f t="shared" ref="AQ497:AQ500" ca="1" si="216">IF(AQ496&lt;$AP$3,AQ496+1,"")</f>
        <v>44845</v>
      </c>
      <c r="AR497" s="3">
        <f t="shared" ca="1" si="201"/>
        <v>613696.11999999953</v>
      </c>
      <c r="AS497" s="63">
        <f ca="1">IF($AQ497&lt;&gt;"", INDEX(Inputs!$B$3:$B$101, MATCH($AQ497,Inputs!$A$3:$A$101,1)), "")</f>
        <v>2.5999999999999999E-2</v>
      </c>
      <c r="AT497" s="48">
        <f t="shared" ca="1" si="213"/>
        <v>43.715340054794481</v>
      </c>
      <c r="AU497" s="3">
        <f t="shared" ca="1" si="214"/>
        <v>-43.715340054794481</v>
      </c>
      <c r="AV497" s="3">
        <f t="shared" ca="1" si="215"/>
        <v>-43.715340054794481</v>
      </c>
    </row>
    <row r="498" spans="13:48" x14ac:dyDescent="0.2">
      <c r="M498" s="3" t="str">
        <f t="shared" si="203"/>
        <v/>
      </c>
      <c r="AA498" s="3" t="str">
        <f t="shared" si="204"/>
        <v/>
      </c>
      <c r="AB498" s="3" t="str">
        <f t="shared" si="205"/>
        <v/>
      </c>
      <c r="AC498" s="3" t="str">
        <f t="shared" si="206"/>
        <v/>
      </c>
      <c r="AD498" s="3" t="str">
        <f t="shared" si="207"/>
        <v/>
      </c>
      <c r="AE498" s="1" t="str">
        <f t="shared" ca="1" si="208"/>
        <v/>
      </c>
      <c r="AG498" s="3" t="str">
        <f t="shared" si="202"/>
        <v/>
      </c>
      <c r="AH498" s="1" t="str">
        <f t="shared" si="209"/>
        <v/>
      </c>
      <c r="AI498" s="3" t="str">
        <f t="shared" si="210"/>
        <v/>
      </c>
      <c r="AL498" s="3" t="str">
        <f t="shared" si="211"/>
        <v/>
      </c>
      <c r="AM498" s="3" t="str">
        <f t="shared" si="212"/>
        <v/>
      </c>
      <c r="AQ498" s="4">
        <f t="shared" ca="1" si="216"/>
        <v>44846</v>
      </c>
      <c r="AR498" s="3">
        <f t="shared" ca="1" si="201"/>
        <v>613696.11999999953</v>
      </c>
      <c r="AS498" s="63">
        <f ca="1">IF($AQ498&lt;&gt;"", INDEX(Inputs!$B$3:$B$101, MATCH($AQ498,Inputs!$A$3:$A$101,1)), "")</f>
        <v>2.5999999999999999E-2</v>
      </c>
      <c r="AT498" s="48">
        <f t="shared" ca="1" si="213"/>
        <v>43.715340054794481</v>
      </c>
      <c r="AU498" s="3">
        <f t="shared" ca="1" si="214"/>
        <v>-43.715340054794481</v>
      </c>
      <c r="AV498" s="3">
        <f t="shared" ca="1" si="215"/>
        <v>-43.715340054794481</v>
      </c>
    </row>
    <row r="499" spans="13:48" x14ac:dyDescent="0.2">
      <c r="M499" s="3" t="str">
        <f t="shared" si="203"/>
        <v/>
      </c>
      <c r="AA499" s="3" t="str">
        <f t="shared" si="204"/>
        <v/>
      </c>
      <c r="AB499" s="3" t="str">
        <f t="shared" si="205"/>
        <v/>
      </c>
      <c r="AC499" s="3" t="str">
        <f t="shared" si="206"/>
        <v/>
      </c>
      <c r="AD499" s="3" t="str">
        <f t="shared" si="207"/>
        <v/>
      </c>
      <c r="AE499" s="1" t="str">
        <f t="shared" ca="1" si="208"/>
        <v/>
      </c>
      <c r="AG499" s="3" t="str">
        <f t="shared" si="202"/>
        <v/>
      </c>
      <c r="AH499" s="1" t="str">
        <f t="shared" si="209"/>
        <v/>
      </c>
      <c r="AI499" s="3" t="str">
        <f t="shared" si="210"/>
        <v/>
      </c>
      <c r="AL499" s="3" t="str">
        <f t="shared" si="211"/>
        <v/>
      </c>
      <c r="AM499" s="3" t="str">
        <f t="shared" si="212"/>
        <v/>
      </c>
      <c r="AQ499" s="4">
        <f t="shared" ca="1" si="216"/>
        <v>44847</v>
      </c>
      <c r="AR499" s="3">
        <f t="shared" ca="1" si="201"/>
        <v>613696.11999999953</v>
      </c>
      <c r="AS499" s="63">
        <f ca="1">IF($AQ499&lt;&gt;"", INDEX(Inputs!$B$3:$B$101, MATCH($AQ499,Inputs!$A$3:$A$101,1)), "")</f>
        <v>2.5999999999999999E-2</v>
      </c>
      <c r="AT499" s="48">
        <f t="shared" ca="1" si="213"/>
        <v>43.715340054794481</v>
      </c>
      <c r="AU499" s="3">
        <f t="shared" ca="1" si="214"/>
        <v>-43.715340054794481</v>
      </c>
      <c r="AV499" s="3">
        <f t="shared" ca="1" si="215"/>
        <v>-43.715340054794481</v>
      </c>
    </row>
    <row r="500" spans="13:48" x14ac:dyDescent="0.2">
      <c r="M500" s="3" t="str">
        <f t="shared" ref="M500:M531" si="217">IF($A500&lt;&gt;"", IF(ISNUMBER(SEARCH("Debt Cost (est.)",B500)), SUMIFS(AT:AT, AQ:AQ, "&gt;="&amp;DATE("20"&amp;RIGHT(LEFT(B500,4),2)-1,7,1), AQ:AQ, "&lt;="&amp;DATE("20"&amp;RIGHT(LEFT(B500,4),2),6,30)), ""), "")</f>
        <v/>
      </c>
      <c r="AA500" s="3" t="str">
        <f t="shared" si="204"/>
        <v/>
      </c>
      <c r="AB500" s="3" t="str">
        <f t="shared" si="205"/>
        <v/>
      </c>
      <c r="AC500" s="3" t="str">
        <f t="shared" si="206"/>
        <v/>
      </c>
      <c r="AD500" s="3" t="str">
        <f t="shared" si="207"/>
        <v/>
      </c>
      <c r="AE500" s="1" t="str">
        <f t="shared" ca="1" si="208"/>
        <v/>
      </c>
      <c r="AG500" s="3" t="str">
        <f t="shared" si="202"/>
        <v/>
      </c>
      <c r="AH500" s="1" t="str">
        <f t="shared" si="209"/>
        <v/>
      </c>
      <c r="AI500" s="3" t="str">
        <f t="shared" si="210"/>
        <v/>
      </c>
      <c r="AL500" s="3" t="str">
        <f t="shared" si="211"/>
        <v/>
      </c>
      <c r="AM500" s="3" t="str">
        <f t="shared" si="212"/>
        <v/>
      </c>
      <c r="AQ500" s="4">
        <f t="shared" ca="1" si="216"/>
        <v>44848</v>
      </c>
      <c r="AR500" s="3">
        <f t="shared" ca="1" si="201"/>
        <v>613696.11999999953</v>
      </c>
      <c r="AS500" s="63">
        <f ca="1">IF($AQ500&lt;&gt;"", INDEX(Inputs!$B$3:$B$101, MATCH($AQ500,Inputs!$A$3:$A$101,1)), "")</f>
        <v>2.5999999999999999E-2</v>
      </c>
      <c r="AT500" s="48">
        <f t="shared" ca="1" si="213"/>
        <v>43.715340054794481</v>
      </c>
      <c r="AU500" s="3">
        <f t="shared" ca="1" si="214"/>
        <v>1856.2846599452055</v>
      </c>
      <c r="AV500" s="3">
        <f t="shared" ca="1" si="215"/>
        <v>1856.2846599452055</v>
      </c>
    </row>
    <row r="501" spans="13:48" x14ac:dyDescent="0.2">
      <c r="M501" s="3" t="str">
        <f t="shared" si="217"/>
        <v/>
      </c>
      <c r="AQ501" s="4">
        <f ca="1">IF(AQ500&lt;$AP$3,AQ500+1,"")</f>
        <v>44849</v>
      </c>
      <c r="AR501" s="3">
        <f t="shared" ref="AR501:AR536" ca="1" si="218">IF($AQ501&lt;&gt;"", INDEX($AC$3:$AC$1055, MATCH($AQ501,$A$3:$A$1055,1)), "")</f>
        <v>613696.11999999953</v>
      </c>
      <c r="AS501" s="63">
        <f ca="1">IF($AQ501&lt;&gt;"", INDEX(Inputs!$B$3:$B$101, MATCH($AQ501,Inputs!$A$3:$A$101,1)), "")</f>
        <v>2.5999999999999999E-2</v>
      </c>
      <c r="AT501" s="48">
        <f ca="1">IF($AQ501&lt;&gt;"", AR501*AS501/365, "")</f>
        <v>43.715340054794481</v>
      </c>
      <c r="AU501" s="3">
        <f t="shared" ref="AU501:AU536" ca="1" si="219">IF($AQ501&lt;&gt;"", SUMIFS($AL$3:$AL$1054, $A$3:$A$1054,$AQ501) + SUMIFS($M$3:$M$1054, $A$3:$A$1054,$AQ501)*IFERROR(AVERAGEIFS($L$3:$L$1054, $A$3:$A$1054,$AQ501, $M$3:$M$1054,"&gt;0"),0) - AT501, "")</f>
        <v>-43.715340054794481</v>
      </c>
      <c r="AV501" s="3">
        <f t="shared" ref="AV501:AV543" ca="1" si="220">IF(AQ501&lt;&gt;"", AU501*(1+$X$9/CompoundingRate)^-((AQ501-AQ$3)/(365/CompoundingRate)), "")</f>
        <v>-43.715340054794481</v>
      </c>
    </row>
    <row r="502" spans="13:48" x14ac:dyDescent="0.2">
      <c r="M502" s="3" t="str">
        <f t="shared" si="217"/>
        <v/>
      </c>
      <c r="AQ502" s="4">
        <f ca="1">IF(AQ501&lt;$AP$3,AQ501+1,"")</f>
        <v>44850</v>
      </c>
      <c r="AR502" s="3">
        <f t="shared" ca="1" si="218"/>
        <v>613696.11999999953</v>
      </c>
      <c r="AS502" s="63">
        <f ca="1">IF($AQ502&lt;&gt;"", INDEX(Inputs!$B$3:$B$101, MATCH($AQ502,Inputs!$A$3:$A$101,1)), "")</f>
        <v>2.5999999999999999E-2</v>
      </c>
      <c r="AT502" s="48">
        <f ca="1">IF($AQ502&lt;&gt;"", AR502*AS502/365, "")</f>
        <v>43.715340054794481</v>
      </c>
      <c r="AU502" s="3">
        <f t="shared" ca="1" si="219"/>
        <v>-43.715340054794481</v>
      </c>
      <c r="AV502" s="3">
        <f t="shared" ca="1" si="220"/>
        <v>-43.715340054794481</v>
      </c>
    </row>
    <row r="503" spans="13:48" x14ac:dyDescent="0.2">
      <c r="M503" s="3" t="str">
        <f t="shared" si="217"/>
        <v/>
      </c>
      <c r="AQ503" s="4">
        <f ca="1">IF(AQ502&lt;$AP$3,AQ502+1,"")</f>
        <v>44851</v>
      </c>
      <c r="AR503" s="3">
        <f t="shared" ca="1" si="218"/>
        <v>625769.16999999958</v>
      </c>
      <c r="AS503" s="63">
        <f ca="1">IF($AQ503&lt;&gt;"", INDEX(Inputs!$B$3:$B$101, MATCH($AQ503,Inputs!$A$3:$A$101,1)), "")</f>
        <v>2.5999999999999999E-2</v>
      </c>
      <c r="AT503" s="48">
        <f ca="1">IF($AQ503&lt;&gt;"", AR503*AS503/365, "")</f>
        <v>44.575338136986268</v>
      </c>
      <c r="AU503" s="3">
        <f t="shared" ca="1" si="219"/>
        <v>-12117.625338136986</v>
      </c>
      <c r="AV503" s="3">
        <f t="shared" ca="1" si="220"/>
        <v>-12117.625338136986</v>
      </c>
    </row>
    <row r="504" spans="13:48" x14ac:dyDescent="0.2">
      <c r="M504" s="3" t="str">
        <f t="shared" si="217"/>
        <v/>
      </c>
      <c r="AQ504" s="4">
        <f ca="1">IF(AQ503&lt;$AP$3,AQ503+1,"")</f>
        <v>44852</v>
      </c>
      <c r="AR504" s="3">
        <f t="shared" ca="1" si="218"/>
        <v>625769.16999999958</v>
      </c>
      <c r="AS504" s="63">
        <f ca="1">IF($AQ504&lt;&gt;"", INDEX(Inputs!$B$3:$B$101, MATCH($AQ504,Inputs!$A$3:$A$101,1)), "")</f>
        <v>2.5999999999999999E-2</v>
      </c>
      <c r="AT504" s="48">
        <f ca="1">IF($AQ504&lt;&gt;"", AR504*AS504/365, "")</f>
        <v>44.575338136986268</v>
      </c>
      <c r="AU504" s="3">
        <f t="shared" ca="1" si="219"/>
        <v>-44.575338136986268</v>
      </c>
      <c r="AV504" s="3">
        <f t="shared" ca="1" si="220"/>
        <v>-44.575338136986268</v>
      </c>
    </row>
    <row r="505" spans="13:48" x14ac:dyDescent="0.2">
      <c r="M505" s="3" t="str">
        <f t="shared" si="217"/>
        <v/>
      </c>
      <c r="AQ505" s="4">
        <f t="shared" ref="AQ505:AQ568" ca="1" si="221">IF(AQ504&lt;$AP$3,AQ504+1,"")</f>
        <v>44853</v>
      </c>
      <c r="AR505" s="3">
        <f t="shared" ca="1" si="218"/>
        <v>625769.16999999958</v>
      </c>
      <c r="AS505" s="63">
        <f ca="1">IF($AQ505&lt;&gt;"", INDEX(Inputs!$B$3:$B$101, MATCH($AQ505,Inputs!$A$3:$A$101,1)), "")</f>
        <v>2.5999999999999999E-2</v>
      </c>
      <c r="AT505" s="48">
        <f t="shared" ref="AT505:AT568" ca="1" si="222">IF($AQ505&lt;&gt;"", AR505*AS505/365, "")</f>
        <v>44.575338136986268</v>
      </c>
      <c r="AU505" s="3">
        <f t="shared" ca="1" si="219"/>
        <v>-44.575338136986268</v>
      </c>
      <c r="AV505" s="3">
        <f t="shared" ca="1" si="220"/>
        <v>-44.575338136986268</v>
      </c>
    </row>
    <row r="506" spans="13:48" x14ac:dyDescent="0.2">
      <c r="M506" s="3" t="str">
        <f t="shared" si="217"/>
        <v/>
      </c>
      <c r="AQ506" s="4">
        <f t="shared" ca="1" si="221"/>
        <v>44854</v>
      </c>
      <c r="AR506" s="3">
        <f t="shared" ca="1" si="218"/>
        <v>625769.16999999958</v>
      </c>
      <c r="AS506" s="63">
        <f ca="1">IF($AQ506&lt;&gt;"", INDEX(Inputs!$B$3:$B$101, MATCH($AQ506,Inputs!$A$3:$A$101,1)), "")</f>
        <v>2.5999999999999999E-2</v>
      </c>
      <c r="AT506" s="48">
        <f t="shared" ca="1" si="222"/>
        <v>44.575338136986268</v>
      </c>
      <c r="AU506" s="3">
        <f t="shared" ca="1" si="219"/>
        <v>-44.575338136986268</v>
      </c>
      <c r="AV506" s="3">
        <f t="shared" ca="1" si="220"/>
        <v>-44.575338136986268</v>
      </c>
    </row>
    <row r="507" spans="13:48" x14ac:dyDescent="0.2">
      <c r="M507" s="3" t="str">
        <f t="shared" si="217"/>
        <v/>
      </c>
      <c r="AQ507" s="4">
        <f t="shared" ca="1" si="221"/>
        <v>44855</v>
      </c>
      <c r="AR507" s="3">
        <f t="shared" ca="1" si="218"/>
        <v>625769.16999999958</v>
      </c>
      <c r="AS507" s="63">
        <f ca="1">IF($AQ507&lt;&gt;"", INDEX(Inputs!$B$3:$B$101, MATCH($AQ507,Inputs!$A$3:$A$101,1)), "")</f>
        <v>2.5999999999999999E-2</v>
      </c>
      <c r="AT507" s="48">
        <f t="shared" ca="1" si="222"/>
        <v>44.575338136986268</v>
      </c>
      <c r="AU507" s="3">
        <f t="shared" ca="1" si="219"/>
        <v>1855.4246618630136</v>
      </c>
      <c r="AV507" s="3">
        <f t="shared" ca="1" si="220"/>
        <v>1855.4246618630136</v>
      </c>
    </row>
    <row r="508" spans="13:48" x14ac:dyDescent="0.2">
      <c r="M508" s="3" t="str">
        <f t="shared" si="217"/>
        <v/>
      </c>
      <c r="AQ508" s="4">
        <f t="shared" ca="1" si="221"/>
        <v>44856</v>
      </c>
      <c r="AR508" s="3">
        <f t="shared" ca="1" si="218"/>
        <v>625769.16999999958</v>
      </c>
      <c r="AS508" s="63">
        <f ca="1">IF($AQ508&lt;&gt;"", INDEX(Inputs!$B$3:$B$101, MATCH($AQ508,Inputs!$A$3:$A$101,1)), "")</f>
        <v>2.5999999999999999E-2</v>
      </c>
      <c r="AT508" s="48">
        <f t="shared" ca="1" si="222"/>
        <v>44.575338136986268</v>
      </c>
      <c r="AU508" s="3">
        <f t="shared" ca="1" si="219"/>
        <v>-44.575338136986268</v>
      </c>
      <c r="AV508" s="3">
        <f t="shared" ca="1" si="220"/>
        <v>-44.575338136986268</v>
      </c>
    </row>
    <row r="509" spans="13:48" x14ac:dyDescent="0.2">
      <c r="M509" s="3" t="str">
        <f t="shared" si="217"/>
        <v/>
      </c>
      <c r="AQ509" s="4">
        <f t="shared" ca="1" si="221"/>
        <v>44857</v>
      </c>
      <c r="AR509" s="3">
        <f t="shared" ca="1" si="218"/>
        <v>625769.16999999958</v>
      </c>
      <c r="AS509" s="63">
        <f ca="1">IF($AQ509&lt;&gt;"", INDEX(Inputs!$B$3:$B$101, MATCH($AQ509,Inputs!$A$3:$A$101,1)), "")</f>
        <v>2.5999999999999999E-2</v>
      </c>
      <c r="AT509" s="48">
        <f t="shared" ca="1" si="222"/>
        <v>44.575338136986268</v>
      </c>
      <c r="AU509" s="3">
        <f t="shared" ca="1" si="219"/>
        <v>-44.575338136986268</v>
      </c>
      <c r="AV509" s="3">
        <f t="shared" ca="1" si="220"/>
        <v>-44.575338136986268</v>
      </c>
    </row>
    <row r="510" spans="13:48" x14ac:dyDescent="0.2">
      <c r="M510" s="3" t="str">
        <f t="shared" si="217"/>
        <v/>
      </c>
      <c r="AQ510" s="4">
        <f t="shared" ca="1" si="221"/>
        <v>44858</v>
      </c>
      <c r="AR510" s="3">
        <f t="shared" ca="1" si="218"/>
        <v>625769.16999999958</v>
      </c>
      <c r="AS510" s="63">
        <f ca="1">IF($AQ510&lt;&gt;"", INDEX(Inputs!$B$3:$B$101, MATCH($AQ510,Inputs!$A$3:$A$101,1)), "")</f>
        <v>2.5999999999999999E-2</v>
      </c>
      <c r="AT510" s="48">
        <f t="shared" ca="1" si="222"/>
        <v>44.575338136986268</v>
      </c>
      <c r="AU510" s="3">
        <f t="shared" ca="1" si="219"/>
        <v>-44.575338136986268</v>
      </c>
      <c r="AV510" s="3">
        <f t="shared" ca="1" si="220"/>
        <v>-44.575338136986268</v>
      </c>
    </row>
    <row r="511" spans="13:48" x14ac:dyDescent="0.2">
      <c r="M511" s="3" t="str">
        <f t="shared" si="217"/>
        <v/>
      </c>
      <c r="AQ511" s="4">
        <f t="shared" ca="1" si="221"/>
        <v>44859</v>
      </c>
      <c r="AR511" s="3">
        <f t="shared" ca="1" si="218"/>
        <v>625769.16999999958</v>
      </c>
      <c r="AS511" s="63">
        <f ca="1">IF($AQ511&lt;&gt;"", INDEX(Inputs!$B$3:$B$101, MATCH($AQ511,Inputs!$A$3:$A$101,1)), "")</f>
        <v>2.5999999999999999E-2</v>
      </c>
      <c r="AT511" s="48">
        <f t="shared" ca="1" si="222"/>
        <v>44.575338136986268</v>
      </c>
      <c r="AU511" s="3">
        <f t="shared" ca="1" si="219"/>
        <v>-44.575338136986268</v>
      </c>
      <c r="AV511" s="3">
        <f t="shared" ca="1" si="220"/>
        <v>-44.575338136986268</v>
      </c>
    </row>
    <row r="512" spans="13:48" x14ac:dyDescent="0.2">
      <c r="M512" s="3" t="str">
        <f t="shared" si="217"/>
        <v/>
      </c>
      <c r="AQ512" s="4">
        <f t="shared" ca="1" si="221"/>
        <v>44860</v>
      </c>
      <c r="AR512" s="3">
        <f t="shared" ca="1" si="218"/>
        <v>625769.16999999958</v>
      </c>
      <c r="AS512" s="63">
        <f ca="1">IF($AQ512&lt;&gt;"", INDEX(Inputs!$B$3:$B$101, MATCH($AQ512,Inputs!$A$3:$A$101,1)), "")</f>
        <v>2.5999999999999999E-2</v>
      </c>
      <c r="AT512" s="48">
        <f t="shared" ca="1" si="222"/>
        <v>44.575338136986268</v>
      </c>
      <c r="AU512" s="3">
        <f t="shared" ca="1" si="219"/>
        <v>-44.575338136986268</v>
      </c>
      <c r="AV512" s="3">
        <f t="shared" ca="1" si="220"/>
        <v>-44.575338136986268</v>
      </c>
    </row>
    <row r="513" spans="13:48" x14ac:dyDescent="0.2">
      <c r="M513" s="3" t="str">
        <f t="shared" si="217"/>
        <v/>
      </c>
      <c r="AQ513" s="4">
        <f t="shared" ca="1" si="221"/>
        <v>44861</v>
      </c>
      <c r="AR513" s="3">
        <f t="shared" ca="1" si="218"/>
        <v>625769.16999999958</v>
      </c>
      <c r="AS513" s="63">
        <f ca="1">IF($AQ513&lt;&gt;"", INDEX(Inputs!$B$3:$B$101, MATCH($AQ513,Inputs!$A$3:$A$101,1)), "")</f>
        <v>2.5999999999999999E-2</v>
      </c>
      <c r="AT513" s="48">
        <f t="shared" ca="1" si="222"/>
        <v>44.575338136986268</v>
      </c>
      <c r="AU513" s="3">
        <f t="shared" ca="1" si="219"/>
        <v>-44.575338136986268</v>
      </c>
      <c r="AV513" s="3">
        <f t="shared" ca="1" si="220"/>
        <v>-44.575338136986268</v>
      </c>
    </row>
    <row r="514" spans="13:48" x14ac:dyDescent="0.2">
      <c r="M514" s="3" t="str">
        <f t="shared" si="217"/>
        <v/>
      </c>
      <c r="AQ514" s="4">
        <f t="shared" ca="1" si="221"/>
        <v>44862</v>
      </c>
      <c r="AR514" s="3">
        <f t="shared" ca="1" si="218"/>
        <v>625769.16999999958</v>
      </c>
      <c r="AS514" s="63">
        <f ca="1">IF($AQ514&lt;&gt;"", INDEX(Inputs!$B$3:$B$101, MATCH($AQ514,Inputs!$A$3:$A$101,1)), "")</f>
        <v>2.5999999999999999E-2</v>
      </c>
      <c r="AT514" s="48">
        <f t="shared" ca="1" si="222"/>
        <v>44.575338136986268</v>
      </c>
      <c r="AU514" s="3">
        <f t="shared" ca="1" si="219"/>
        <v>1855.4246618630136</v>
      </c>
      <c r="AV514" s="3">
        <f t="shared" ca="1" si="220"/>
        <v>1855.4246618630136</v>
      </c>
    </row>
    <row r="515" spans="13:48" x14ac:dyDescent="0.2">
      <c r="M515" s="3" t="str">
        <f t="shared" si="217"/>
        <v/>
      </c>
      <c r="AQ515" s="4">
        <f t="shared" ca="1" si="221"/>
        <v>44863</v>
      </c>
      <c r="AR515" s="3">
        <f t="shared" ca="1" si="218"/>
        <v>625769.16999999958</v>
      </c>
      <c r="AS515" s="63">
        <f ca="1">IF($AQ515&lt;&gt;"", INDEX(Inputs!$B$3:$B$101, MATCH($AQ515,Inputs!$A$3:$A$101,1)), "")</f>
        <v>2.5999999999999999E-2</v>
      </c>
      <c r="AT515" s="48">
        <f t="shared" ca="1" si="222"/>
        <v>44.575338136986268</v>
      </c>
      <c r="AU515" s="3">
        <f t="shared" ca="1" si="219"/>
        <v>-44.575338136986268</v>
      </c>
      <c r="AV515" s="3">
        <f t="shared" ca="1" si="220"/>
        <v>-44.575338136986268</v>
      </c>
    </row>
    <row r="516" spans="13:48" x14ac:dyDescent="0.2">
      <c r="M516" s="3" t="str">
        <f t="shared" si="217"/>
        <v/>
      </c>
      <c r="AQ516" s="4">
        <f t="shared" ca="1" si="221"/>
        <v>44864</v>
      </c>
      <c r="AR516" s="3">
        <f t="shared" ca="1" si="218"/>
        <v>625769.16999999958</v>
      </c>
      <c r="AS516" s="63">
        <f ca="1">IF($AQ516&lt;&gt;"", INDEX(Inputs!$B$3:$B$101, MATCH($AQ516,Inputs!$A$3:$A$101,1)), "")</f>
        <v>2.5999999999999999E-2</v>
      </c>
      <c r="AT516" s="48">
        <f t="shared" ca="1" si="222"/>
        <v>44.575338136986268</v>
      </c>
      <c r="AU516" s="3">
        <f t="shared" ca="1" si="219"/>
        <v>-44.575338136986268</v>
      </c>
      <c r="AV516" s="3">
        <f t="shared" ca="1" si="220"/>
        <v>-44.575338136986268</v>
      </c>
    </row>
    <row r="517" spans="13:48" x14ac:dyDescent="0.2">
      <c r="M517" s="3" t="str">
        <f t="shared" si="217"/>
        <v/>
      </c>
      <c r="AQ517" s="4">
        <f t="shared" ca="1" si="221"/>
        <v>44865</v>
      </c>
      <c r="AR517" s="3">
        <f t="shared" ca="1" si="218"/>
        <v>619853.79999999958</v>
      </c>
      <c r="AS517" s="63">
        <f ca="1">IF($AQ517&lt;&gt;"", INDEX(Inputs!$B$3:$B$101, MATCH($AQ517,Inputs!$A$3:$A$101,1)), "")</f>
        <v>2.5999999999999999E-2</v>
      </c>
      <c r="AT517" s="48">
        <f t="shared" ca="1" si="222"/>
        <v>44.153969315068466</v>
      </c>
      <c r="AU517" s="3">
        <f t="shared" ca="1" si="219"/>
        <v>-44.153969315068466</v>
      </c>
      <c r="AV517" s="3">
        <f t="shared" ca="1" si="220"/>
        <v>-44.153969315068466</v>
      </c>
    </row>
    <row r="518" spans="13:48" x14ac:dyDescent="0.2">
      <c r="M518" s="3" t="str">
        <f t="shared" si="217"/>
        <v/>
      </c>
      <c r="AQ518" s="4">
        <f t="shared" ca="1" si="221"/>
        <v>44866</v>
      </c>
      <c r="AR518" s="3">
        <f t="shared" ca="1" si="218"/>
        <v>619853.79999999958</v>
      </c>
      <c r="AS518" s="63">
        <f ca="1">IF($AQ518&lt;&gt;"", INDEX(Inputs!$B$3:$B$101, MATCH($AQ518,Inputs!$A$3:$A$101,1)), "")</f>
        <v>2.5999999999999999E-2</v>
      </c>
      <c r="AT518" s="48">
        <f t="shared" ca="1" si="222"/>
        <v>44.153969315068466</v>
      </c>
      <c r="AU518" s="3">
        <f t="shared" ca="1" si="219"/>
        <v>-44.153969315068466</v>
      </c>
      <c r="AV518" s="3">
        <f t="shared" ca="1" si="220"/>
        <v>-44.153969315068466</v>
      </c>
    </row>
    <row r="519" spans="13:48" x14ac:dyDescent="0.2">
      <c r="M519" s="3" t="str">
        <f t="shared" si="217"/>
        <v/>
      </c>
      <c r="AQ519" s="4">
        <f t="shared" ca="1" si="221"/>
        <v>44867</v>
      </c>
      <c r="AR519" s="3">
        <f t="shared" ca="1" si="218"/>
        <v>619853.79999999958</v>
      </c>
      <c r="AS519" s="63">
        <f ca="1">IF($AQ519&lt;&gt;"", INDEX(Inputs!$B$3:$B$101, MATCH($AQ519,Inputs!$A$3:$A$101,1)), "")</f>
        <v>2.8500000000000001E-2</v>
      </c>
      <c r="AT519" s="48">
        <f t="shared" ca="1" si="222"/>
        <v>48.3995432876712</v>
      </c>
      <c r="AU519" s="3">
        <f t="shared" ca="1" si="219"/>
        <v>-48.3995432876712</v>
      </c>
      <c r="AV519" s="3">
        <f t="shared" ca="1" si="220"/>
        <v>-48.3995432876712</v>
      </c>
    </row>
    <row r="520" spans="13:48" x14ac:dyDescent="0.2">
      <c r="M520" s="3" t="str">
        <f t="shared" si="217"/>
        <v/>
      </c>
      <c r="AQ520" s="4">
        <f t="shared" ca="1" si="221"/>
        <v>44868</v>
      </c>
      <c r="AR520" s="3">
        <f t="shared" ca="1" si="218"/>
        <v>619853.79999999958</v>
      </c>
      <c r="AS520" s="63">
        <f ca="1">IF($AQ520&lt;&gt;"", INDEX(Inputs!$B$3:$B$101, MATCH($AQ520,Inputs!$A$3:$A$101,1)), "")</f>
        <v>2.8500000000000001E-2</v>
      </c>
      <c r="AT520" s="48">
        <f t="shared" ca="1" si="222"/>
        <v>48.3995432876712</v>
      </c>
      <c r="AU520" s="3">
        <f t="shared" ca="1" si="219"/>
        <v>-48.3995432876712</v>
      </c>
      <c r="AV520" s="3">
        <f t="shared" ca="1" si="220"/>
        <v>-48.3995432876712</v>
      </c>
    </row>
    <row r="521" spans="13:48" x14ac:dyDescent="0.2">
      <c r="M521" s="3" t="str">
        <f t="shared" si="217"/>
        <v/>
      </c>
      <c r="AQ521" s="4">
        <f t="shared" ca="1" si="221"/>
        <v>44869</v>
      </c>
      <c r="AR521" s="3">
        <f t="shared" ca="1" si="218"/>
        <v>619853.79999999958</v>
      </c>
      <c r="AS521" s="63">
        <f ca="1">IF($AQ521&lt;&gt;"", INDEX(Inputs!$B$3:$B$101, MATCH($AQ521,Inputs!$A$3:$A$101,1)), "")</f>
        <v>2.8500000000000001E-2</v>
      </c>
      <c r="AT521" s="48">
        <f t="shared" ca="1" si="222"/>
        <v>48.3995432876712</v>
      </c>
      <c r="AU521" s="3">
        <f t="shared" ca="1" si="219"/>
        <v>1851.6004567123289</v>
      </c>
      <c r="AV521" s="3">
        <f t="shared" ca="1" si="220"/>
        <v>1851.6004567123289</v>
      </c>
    </row>
    <row r="522" spans="13:48" x14ac:dyDescent="0.2">
      <c r="M522" s="3" t="str">
        <f t="shared" si="217"/>
        <v/>
      </c>
      <c r="AQ522" s="4">
        <f t="shared" ca="1" si="221"/>
        <v>44870</v>
      </c>
      <c r="AR522" s="3">
        <f t="shared" ca="1" si="218"/>
        <v>619853.79999999958</v>
      </c>
      <c r="AS522" s="63">
        <f ca="1">IF($AQ522&lt;&gt;"", INDEX(Inputs!$B$3:$B$101, MATCH($AQ522,Inputs!$A$3:$A$101,1)), "")</f>
        <v>2.8500000000000001E-2</v>
      </c>
      <c r="AT522" s="48">
        <f t="shared" ca="1" si="222"/>
        <v>48.3995432876712</v>
      </c>
      <c r="AU522" s="3">
        <f t="shared" ca="1" si="219"/>
        <v>-48.3995432876712</v>
      </c>
      <c r="AV522" s="3">
        <f t="shared" ca="1" si="220"/>
        <v>-48.3995432876712</v>
      </c>
    </row>
    <row r="523" spans="13:48" x14ac:dyDescent="0.2">
      <c r="M523" s="3" t="str">
        <f t="shared" si="217"/>
        <v/>
      </c>
      <c r="AQ523" s="4">
        <f t="shared" ca="1" si="221"/>
        <v>44871</v>
      </c>
      <c r="AR523" s="3">
        <f t="shared" ca="1" si="218"/>
        <v>619853.79999999958</v>
      </c>
      <c r="AS523" s="63">
        <f ca="1">IF($AQ523&lt;&gt;"", INDEX(Inputs!$B$3:$B$101, MATCH($AQ523,Inputs!$A$3:$A$101,1)), "")</f>
        <v>2.8500000000000001E-2</v>
      </c>
      <c r="AT523" s="48">
        <f t="shared" ca="1" si="222"/>
        <v>48.3995432876712</v>
      </c>
      <c r="AU523" s="3">
        <f t="shared" ca="1" si="219"/>
        <v>-48.3995432876712</v>
      </c>
      <c r="AV523" s="3">
        <f t="shared" ca="1" si="220"/>
        <v>-48.3995432876712</v>
      </c>
    </row>
    <row r="524" spans="13:48" x14ac:dyDescent="0.2">
      <c r="M524" s="3" t="str">
        <f t="shared" si="217"/>
        <v/>
      </c>
      <c r="AQ524" s="4">
        <f t="shared" ca="1" si="221"/>
        <v>44872</v>
      </c>
      <c r="AR524" s="3">
        <f t="shared" ca="1" si="218"/>
        <v>619853.79999999958</v>
      </c>
      <c r="AS524" s="63">
        <f ca="1">IF($AQ524&lt;&gt;"", INDEX(Inputs!$B$3:$B$101, MATCH($AQ524,Inputs!$A$3:$A$101,1)), "")</f>
        <v>2.8500000000000001E-2</v>
      </c>
      <c r="AT524" s="48">
        <f t="shared" ca="1" si="222"/>
        <v>48.3995432876712</v>
      </c>
      <c r="AU524" s="3">
        <f t="shared" ca="1" si="219"/>
        <v>-48.3995432876712</v>
      </c>
      <c r="AV524" s="3">
        <f t="shared" ca="1" si="220"/>
        <v>-48.3995432876712</v>
      </c>
    </row>
    <row r="525" spans="13:48" x14ac:dyDescent="0.2">
      <c r="M525" s="3" t="str">
        <f t="shared" si="217"/>
        <v/>
      </c>
      <c r="AQ525" s="4">
        <f t="shared" ca="1" si="221"/>
        <v>44873</v>
      </c>
      <c r="AR525" s="3">
        <f t="shared" ca="1" si="218"/>
        <v>619853.79999999958</v>
      </c>
      <c r="AS525" s="63">
        <f ca="1">IF($AQ525&lt;&gt;"", INDEX(Inputs!$B$3:$B$101, MATCH($AQ525,Inputs!$A$3:$A$101,1)), "")</f>
        <v>2.8500000000000001E-2</v>
      </c>
      <c r="AT525" s="48">
        <f t="shared" ca="1" si="222"/>
        <v>48.3995432876712</v>
      </c>
      <c r="AU525" s="3">
        <f t="shared" ca="1" si="219"/>
        <v>-48.3995432876712</v>
      </c>
      <c r="AV525" s="3">
        <f t="shared" ca="1" si="220"/>
        <v>-48.3995432876712</v>
      </c>
    </row>
    <row r="526" spans="13:48" x14ac:dyDescent="0.2">
      <c r="M526" s="3" t="str">
        <f t="shared" si="217"/>
        <v/>
      </c>
      <c r="AQ526" s="4">
        <f t="shared" ca="1" si="221"/>
        <v>44874</v>
      </c>
      <c r="AR526" s="3">
        <f t="shared" ca="1" si="218"/>
        <v>619853.79999999958</v>
      </c>
      <c r="AS526" s="63">
        <f ca="1">IF($AQ526&lt;&gt;"", INDEX(Inputs!$B$3:$B$101, MATCH($AQ526,Inputs!$A$3:$A$101,1)), "")</f>
        <v>2.8500000000000001E-2</v>
      </c>
      <c r="AT526" s="48">
        <f t="shared" ca="1" si="222"/>
        <v>48.3995432876712</v>
      </c>
      <c r="AU526" s="3">
        <f t="shared" ca="1" si="219"/>
        <v>-48.3995432876712</v>
      </c>
      <c r="AV526" s="3">
        <f t="shared" ca="1" si="220"/>
        <v>-48.3995432876712</v>
      </c>
    </row>
    <row r="527" spans="13:48" x14ac:dyDescent="0.2">
      <c r="M527" s="3" t="str">
        <f t="shared" si="217"/>
        <v/>
      </c>
      <c r="AQ527" s="4">
        <f t="shared" ca="1" si="221"/>
        <v>44875</v>
      </c>
      <c r="AR527" s="3">
        <f t="shared" ca="1" si="218"/>
        <v>619853.79999999958</v>
      </c>
      <c r="AS527" s="63">
        <f ca="1">IF($AQ527&lt;&gt;"", INDEX(Inputs!$B$3:$B$101, MATCH($AQ527,Inputs!$A$3:$A$101,1)), "")</f>
        <v>2.8500000000000001E-2</v>
      </c>
      <c r="AT527" s="48">
        <f t="shared" ca="1" si="222"/>
        <v>48.3995432876712</v>
      </c>
      <c r="AU527" s="3">
        <f t="shared" ca="1" si="219"/>
        <v>-48.3995432876712</v>
      </c>
      <c r="AV527" s="3">
        <f t="shared" ca="1" si="220"/>
        <v>-48.3995432876712</v>
      </c>
    </row>
    <row r="528" spans="13:48" x14ac:dyDescent="0.2">
      <c r="M528" s="3" t="str">
        <f t="shared" si="217"/>
        <v/>
      </c>
      <c r="AQ528" s="4">
        <f t="shared" ca="1" si="221"/>
        <v>44876</v>
      </c>
      <c r="AR528" s="3">
        <f t="shared" ca="1" si="218"/>
        <v>619853.79999999958</v>
      </c>
      <c r="AS528" s="63">
        <f ca="1">IF($AQ528&lt;&gt;"", INDEX(Inputs!$B$3:$B$101, MATCH($AQ528,Inputs!$A$3:$A$101,1)), "")</f>
        <v>2.8500000000000001E-2</v>
      </c>
      <c r="AT528" s="48">
        <f t="shared" ca="1" si="222"/>
        <v>48.3995432876712</v>
      </c>
      <c r="AU528" s="3">
        <f t="shared" ca="1" si="219"/>
        <v>1851.6004567123289</v>
      </c>
      <c r="AV528" s="3">
        <f t="shared" ca="1" si="220"/>
        <v>1851.6004567123289</v>
      </c>
    </row>
    <row r="529" spans="13:48" x14ac:dyDescent="0.2">
      <c r="M529" s="3" t="str">
        <f t="shared" si="217"/>
        <v/>
      </c>
      <c r="AQ529" s="4">
        <f t="shared" ca="1" si="221"/>
        <v>44877</v>
      </c>
      <c r="AR529" s="3">
        <f t="shared" ca="1" si="218"/>
        <v>619853.79999999958</v>
      </c>
      <c r="AS529" s="63">
        <f ca="1">IF($AQ529&lt;&gt;"", INDEX(Inputs!$B$3:$B$101, MATCH($AQ529,Inputs!$A$3:$A$101,1)), "")</f>
        <v>2.8500000000000001E-2</v>
      </c>
      <c r="AT529" s="48">
        <f t="shared" ca="1" si="222"/>
        <v>48.3995432876712</v>
      </c>
      <c r="AU529" s="3">
        <f t="shared" ca="1" si="219"/>
        <v>-48.3995432876712</v>
      </c>
      <c r="AV529" s="3">
        <f t="shared" ca="1" si="220"/>
        <v>-48.3995432876712</v>
      </c>
    </row>
    <row r="530" spans="13:48" x14ac:dyDescent="0.2">
      <c r="M530" s="3" t="str">
        <f t="shared" si="217"/>
        <v/>
      </c>
      <c r="AQ530" s="4">
        <f t="shared" ca="1" si="221"/>
        <v>44878</v>
      </c>
      <c r="AR530" s="3">
        <f t="shared" ca="1" si="218"/>
        <v>619853.79999999958</v>
      </c>
      <c r="AS530" s="63">
        <f ca="1">IF($AQ530&lt;&gt;"", INDEX(Inputs!$B$3:$B$101, MATCH($AQ530,Inputs!$A$3:$A$101,1)), "")</f>
        <v>2.8500000000000001E-2</v>
      </c>
      <c r="AT530" s="48">
        <f t="shared" ca="1" si="222"/>
        <v>48.3995432876712</v>
      </c>
      <c r="AU530" s="3">
        <f t="shared" ca="1" si="219"/>
        <v>-48.3995432876712</v>
      </c>
      <c r="AV530" s="3">
        <f t="shared" ca="1" si="220"/>
        <v>-48.3995432876712</v>
      </c>
    </row>
    <row r="531" spans="13:48" x14ac:dyDescent="0.2">
      <c r="M531" s="3" t="str">
        <f t="shared" si="217"/>
        <v/>
      </c>
      <c r="AQ531" s="4">
        <f t="shared" ca="1" si="221"/>
        <v>44879</v>
      </c>
      <c r="AR531" s="3">
        <f t="shared" ca="1" si="218"/>
        <v>619853.79999999958</v>
      </c>
      <c r="AS531" s="63">
        <f ca="1">IF($AQ531&lt;&gt;"", INDEX(Inputs!$B$3:$B$101, MATCH($AQ531,Inputs!$A$3:$A$101,1)), "")</f>
        <v>2.8500000000000001E-2</v>
      </c>
      <c r="AT531" s="48">
        <f t="shared" ca="1" si="222"/>
        <v>48.3995432876712</v>
      </c>
      <c r="AU531" s="3">
        <f t="shared" ca="1" si="219"/>
        <v>-48.3995432876712</v>
      </c>
      <c r="AV531" s="3">
        <f t="shared" ca="1" si="220"/>
        <v>-48.3995432876712</v>
      </c>
    </row>
    <row r="532" spans="13:48" x14ac:dyDescent="0.2">
      <c r="M532" s="3" t="str">
        <f t="shared" ref="M532:M563" si="223">IF($A532&lt;&gt;"", IF(ISNUMBER(SEARCH("Debt Cost (est.)",B532)), SUMIFS(AT:AT, AQ:AQ, "&gt;="&amp;DATE("20"&amp;RIGHT(LEFT(B532,4),2)-1,7,1), AQ:AQ, "&lt;="&amp;DATE("20"&amp;RIGHT(LEFT(B532,4),2),6,30)), ""), "")</f>
        <v/>
      </c>
      <c r="AQ532" s="4">
        <f t="shared" ca="1" si="221"/>
        <v>44880</v>
      </c>
      <c r="AR532" s="3">
        <f t="shared" ca="1" si="218"/>
        <v>619853.79999999958</v>
      </c>
      <c r="AS532" s="63">
        <f ca="1">IF($AQ532&lt;&gt;"", INDEX(Inputs!$B$3:$B$101, MATCH($AQ532,Inputs!$A$3:$A$101,1)), "")</f>
        <v>2.8500000000000001E-2</v>
      </c>
      <c r="AT532" s="48">
        <f t="shared" ca="1" si="222"/>
        <v>48.3995432876712</v>
      </c>
      <c r="AU532" s="3">
        <f t="shared" ca="1" si="219"/>
        <v>-48.3995432876712</v>
      </c>
      <c r="AV532" s="3">
        <f t="shared" ca="1" si="220"/>
        <v>-48.3995432876712</v>
      </c>
    </row>
    <row r="533" spans="13:48" x14ac:dyDescent="0.2">
      <c r="M533" s="3" t="str">
        <f t="shared" si="223"/>
        <v/>
      </c>
      <c r="AQ533" s="4">
        <f t="shared" ca="1" si="221"/>
        <v>44881</v>
      </c>
      <c r="AR533" s="3">
        <f t="shared" ca="1" si="218"/>
        <v>632325.67999999959</v>
      </c>
      <c r="AS533" s="63">
        <f ca="1">IF($AQ533&lt;&gt;"", INDEX(Inputs!$B$3:$B$101, MATCH($AQ533,Inputs!$A$3:$A$101,1)), "")</f>
        <v>2.8500000000000001E-2</v>
      </c>
      <c r="AT533" s="48">
        <f t="shared" ca="1" si="222"/>
        <v>49.373375013698599</v>
      </c>
      <c r="AU533" s="3">
        <f t="shared" ca="1" si="219"/>
        <v>-12521.253375013699</v>
      </c>
      <c r="AV533" s="3">
        <f t="shared" ca="1" si="220"/>
        <v>-12521.253375013699</v>
      </c>
    </row>
    <row r="534" spans="13:48" x14ac:dyDescent="0.2">
      <c r="M534" s="3" t="str">
        <f t="shared" si="223"/>
        <v/>
      </c>
      <c r="AQ534" s="4">
        <f t="shared" ca="1" si="221"/>
        <v>44882</v>
      </c>
      <c r="AR534" s="3">
        <f t="shared" ca="1" si="218"/>
        <v>632325.67999999959</v>
      </c>
      <c r="AS534" s="63">
        <f ca="1">IF($AQ534&lt;&gt;"", INDEX(Inputs!$B$3:$B$101, MATCH($AQ534,Inputs!$A$3:$A$101,1)), "")</f>
        <v>2.8500000000000001E-2</v>
      </c>
      <c r="AT534" s="48">
        <f t="shared" ca="1" si="222"/>
        <v>49.373375013698599</v>
      </c>
      <c r="AU534" s="3">
        <f t="shared" ca="1" si="219"/>
        <v>-49.373375013698599</v>
      </c>
      <c r="AV534" s="3">
        <f t="shared" ca="1" si="220"/>
        <v>-49.373375013698599</v>
      </c>
    </row>
    <row r="535" spans="13:48" x14ac:dyDescent="0.2">
      <c r="M535" s="3" t="str">
        <f t="shared" si="223"/>
        <v/>
      </c>
      <c r="AQ535" s="4">
        <f t="shared" ca="1" si="221"/>
        <v>44883</v>
      </c>
      <c r="AR535" s="3">
        <f t="shared" ca="1" si="218"/>
        <v>632325.67999999959</v>
      </c>
      <c r="AS535" s="63">
        <f ca="1">IF($AQ535&lt;&gt;"", INDEX(Inputs!$B$3:$B$101, MATCH($AQ535,Inputs!$A$3:$A$101,1)), "")</f>
        <v>2.8500000000000001E-2</v>
      </c>
      <c r="AT535" s="48">
        <f t="shared" ca="1" si="222"/>
        <v>49.373375013698599</v>
      </c>
      <c r="AU535" s="3">
        <f t="shared" ca="1" si="219"/>
        <v>1850.6266249863013</v>
      </c>
      <c r="AV535" s="3">
        <f t="shared" ca="1" si="220"/>
        <v>1850.6266249863013</v>
      </c>
    </row>
    <row r="536" spans="13:48" x14ac:dyDescent="0.2">
      <c r="M536" s="3" t="str">
        <f t="shared" si="223"/>
        <v/>
      </c>
      <c r="AQ536" s="4">
        <f t="shared" ca="1" si="221"/>
        <v>44884</v>
      </c>
      <c r="AR536" s="3">
        <f t="shared" ca="1" si="218"/>
        <v>632325.67999999959</v>
      </c>
      <c r="AS536" s="63">
        <f ca="1">IF($AQ536&lt;&gt;"", INDEX(Inputs!$B$3:$B$101, MATCH($AQ536,Inputs!$A$3:$A$101,1)), "")</f>
        <v>2.8500000000000001E-2</v>
      </c>
      <c r="AT536" s="48">
        <f t="shared" ca="1" si="222"/>
        <v>49.373375013698599</v>
      </c>
      <c r="AU536" s="3">
        <f t="shared" ca="1" si="219"/>
        <v>-49.373375013698599</v>
      </c>
      <c r="AV536" s="3">
        <f t="shared" ca="1" si="220"/>
        <v>-49.373375013698599</v>
      </c>
    </row>
    <row r="537" spans="13:48" x14ac:dyDescent="0.2">
      <c r="M537" s="3" t="str">
        <f t="shared" si="223"/>
        <v/>
      </c>
      <c r="AQ537" s="4">
        <f t="shared" ca="1" si="221"/>
        <v>44885</v>
      </c>
      <c r="AR537" s="3">
        <f t="shared" ref="AR537:AR600" ca="1" si="224">IF($AQ537&lt;&gt;"", INDEX($AC$3:$AC$1055, MATCH($AQ537,$A$3:$A$1055,1)), "")</f>
        <v>632325.67999999959</v>
      </c>
      <c r="AS537" s="63">
        <f ca="1">IF($AQ537&lt;&gt;"", INDEX(Inputs!$B$3:$B$101, MATCH($AQ537,Inputs!$A$3:$A$101,1)), "")</f>
        <v>2.8500000000000001E-2</v>
      </c>
      <c r="AT537" s="48">
        <f t="shared" ca="1" si="222"/>
        <v>49.373375013698599</v>
      </c>
      <c r="AU537" s="3">
        <f t="shared" ref="AU537:AU600" ca="1" si="225">IF($AQ537&lt;&gt;"", SUMIFS($AL$3:$AL$1054, $A$3:$A$1054,$AQ537) + SUMIFS($M$3:$M$1054, $A$3:$A$1054,$AQ537)*IFERROR(AVERAGEIFS($L$3:$L$1054, $A$3:$A$1054,$AQ537, $M$3:$M$1054,"&gt;0"),0) - AT537, "")</f>
        <v>-49.373375013698599</v>
      </c>
      <c r="AV537" s="3">
        <f t="shared" ca="1" si="220"/>
        <v>-49.373375013698599</v>
      </c>
    </row>
    <row r="538" spans="13:48" x14ac:dyDescent="0.2">
      <c r="M538" s="3" t="str">
        <f t="shared" si="223"/>
        <v/>
      </c>
      <c r="AQ538" s="4">
        <f t="shared" ca="1" si="221"/>
        <v>44886</v>
      </c>
      <c r="AR538" s="3">
        <f t="shared" ca="1" si="224"/>
        <v>632325.67999999959</v>
      </c>
      <c r="AS538" s="63">
        <f ca="1">IF($AQ538&lt;&gt;"", INDEX(Inputs!$B$3:$B$101, MATCH($AQ538,Inputs!$A$3:$A$101,1)), "")</f>
        <v>2.8500000000000001E-2</v>
      </c>
      <c r="AT538" s="48">
        <f t="shared" ca="1" si="222"/>
        <v>49.373375013698599</v>
      </c>
      <c r="AU538" s="3">
        <f t="shared" ca="1" si="225"/>
        <v>-49.373375013698599</v>
      </c>
      <c r="AV538" s="3">
        <f t="shared" ca="1" si="220"/>
        <v>-49.373375013698599</v>
      </c>
    </row>
    <row r="539" spans="13:48" x14ac:dyDescent="0.2">
      <c r="M539" s="3" t="str">
        <f t="shared" si="223"/>
        <v/>
      </c>
      <c r="AQ539" s="4">
        <f t="shared" ca="1" si="221"/>
        <v>44887</v>
      </c>
      <c r="AR539" s="3">
        <f t="shared" ca="1" si="224"/>
        <v>632325.67999999959</v>
      </c>
      <c r="AS539" s="63">
        <f ca="1">IF($AQ539&lt;&gt;"", INDEX(Inputs!$B$3:$B$101, MATCH($AQ539,Inputs!$A$3:$A$101,1)), "")</f>
        <v>2.8500000000000001E-2</v>
      </c>
      <c r="AT539" s="48">
        <f t="shared" ca="1" si="222"/>
        <v>49.373375013698599</v>
      </c>
      <c r="AU539" s="3">
        <f t="shared" ca="1" si="225"/>
        <v>-49.373375013698599</v>
      </c>
      <c r="AV539" s="3">
        <f t="shared" ca="1" si="220"/>
        <v>-49.373375013698599</v>
      </c>
    </row>
    <row r="540" spans="13:48" x14ac:dyDescent="0.2">
      <c r="M540" s="3" t="str">
        <f t="shared" si="223"/>
        <v/>
      </c>
      <c r="AQ540" s="4">
        <f t="shared" ca="1" si="221"/>
        <v>44888</v>
      </c>
      <c r="AR540" s="3">
        <f t="shared" ca="1" si="224"/>
        <v>632325.67999999959</v>
      </c>
      <c r="AS540" s="63">
        <f ca="1">IF($AQ540&lt;&gt;"", INDEX(Inputs!$B$3:$B$101, MATCH($AQ540,Inputs!$A$3:$A$101,1)), "")</f>
        <v>2.8500000000000001E-2</v>
      </c>
      <c r="AT540" s="48">
        <f t="shared" ca="1" si="222"/>
        <v>49.373375013698599</v>
      </c>
      <c r="AU540" s="3">
        <f t="shared" ca="1" si="225"/>
        <v>-49.373375013698599</v>
      </c>
      <c r="AV540" s="3">
        <f t="shared" ca="1" si="220"/>
        <v>-49.373375013698599</v>
      </c>
    </row>
    <row r="541" spans="13:48" x14ac:dyDescent="0.2">
      <c r="M541" s="3" t="str">
        <f t="shared" si="223"/>
        <v/>
      </c>
      <c r="AQ541" s="4">
        <f t="shared" ca="1" si="221"/>
        <v>44889</v>
      </c>
      <c r="AR541" s="3">
        <f t="shared" ca="1" si="224"/>
        <v>632325.67999999959</v>
      </c>
      <c r="AS541" s="63">
        <f ca="1">IF($AQ541&lt;&gt;"", INDEX(Inputs!$B$3:$B$101, MATCH($AQ541,Inputs!$A$3:$A$101,1)), "")</f>
        <v>2.8500000000000001E-2</v>
      </c>
      <c r="AT541" s="48">
        <f t="shared" ca="1" si="222"/>
        <v>49.373375013698599</v>
      </c>
      <c r="AU541" s="3">
        <f t="shared" ca="1" si="225"/>
        <v>-49.373375013698599</v>
      </c>
      <c r="AV541" s="3">
        <f t="shared" ca="1" si="220"/>
        <v>-49.373375013698599</v>
      </c>
    </row>
    <row r="542" spans="13:48" x14ac:dyDescent="0.2">
      <c r="M542" s="3" t="str">
        <f t="shared" si="223"/>
        <v/>
      </c>
      <c r="AQ542" s="4">
        <f t="shared" ca="1" si="221"/>
        <v>44890</v>
      </c>
      <c r="AR542" s="3">
        <f t="shared" ca="1" si="224"/>
        <v>632325.67999999959</v>
      </c>
      <c r="AS542" s="63">
        <f ca="1">IF($AQ542&lt;&gt;"", INDEX(Inputs!$B$3:$B$101, MATCH($AQ542,Inputs!$A$3:$A$101,1)), "")</f>
        <v>2.8500000000000001E-2</v>
      </c>
      <c r="AT542" s="48">
        <f t="shared" ca="1" si="222"/>
        <v>49.373375013698599</v>
      </c>
      <c r="AU542" s="3">
        <f t="shared" ca="1" si="225"/>
        <v>-1273.4233750136989</v>
      </c>
      <c r="AV542" s="3">
        <f t="shared" ca="1" si="220"/>
        <v>-1273.4233750136989</v>
      </c>
    </row>
    <row r="543" spans="13:48" x14ac:dyDescent="0.2">
      <c r="M543" s="3" t="str">
        <f t="shared" si="223"/>
        <v/>
      </c>
      <c r="AQ543" s="4">
        <f t="shared" ca="1" si="221"/>
        <v>44891</v>
      </c>
      <c r="AR543" s="3">
        <f t="shared" ca="1" si="224"/>
        <v>632325.67999999959</v>
      </c>
      <c r="AS543" s="63">
        <f ca="1">IF($AQ543&lt;&gt;"", INDEX(Inputs!$B$3:$B$101, MATCH($AQ543,Inputs!$A$3:$A$101,1)), "")</f>
        <v>2.8500000000000001E-2</v>
      </c>
      <c r="AT543" s="48">
        <f t="shared" ca="1" si="222"/>
        <v>49.373375013698599</v>
      </c>
      <c r="AU543" s="3">
        <f t="shared" ca="1" si="225"/>
        <v>-49.373375013698599</v>
      </c>
      <c r="AV543" s="3">
        <f t="shared" ca="1" si="220"/>
        <v>-49.373375013698599</v>
      </c>
    </row>
    <row r="544" spans="13:48" x14ac:dyDescent="0.2">
      <c r="M544" s="3" t="str">
        <f t="shared" si="223"/>
        <v/>
      </c>
      <c r="AQ544" s="4">
        <f t="shared" ca="1" si="221"/>
        <v>44892</v>
      </c>
      <c r="AR544" s="3">
        <f t="shared" ca="1" si="224"/>
        <v>632325.67999999959</v>
      </c>
      <c r="AS544" s="63">
        <f ca="1">IF($AQ544&lt;&gt;"", INDEX(Inputs!$B$3:$B$101, MATCH($AQ544,Inputs!$A$3:$A$101,1)), "")</f>
        <v>2.8500000000000001E-2</v>
      </c>
      <c r="AT544" s="48">
        <f t="shared" ca="1" si="222"/>
        <v>49.373375013698599</v>
      </c>
      <c r="AU544" s="3">
        <f t="shared" ca="1" si="225"/>
        <v>-49.373375013698599</v>
      </c>
      <c r="AV544" s="3">
        <f t="shared" ref="AV544:AV607" ca="1" si="226">IF(AQ544&lt;&gt;"", AU544*(1+$X$9/CompoundingRate)^-((AQ544-AQ$3)/(365/CompoundingRate)), "")</f>
        <v>-49.373375013698599</v>
      </c>
    </row>
    <row r="545" spans="13:48" x14ac:dyDescent="0.2">
      <c r="M545" s="3" t="str">
        <f t="shared" si="223"/>
        <v/>
      </c>
      <c r="AQ545" s="4">
        <f t="shared" ca="1" si="221"/>
        <v>44893</v>
      </c>
      <c r="AR545" s="3">
        <f t="shared" ca="1" si="224"/>
        <v>632325.67999999959</v>
      </c>
      <c r="AS545" s="63">
        <f ca="1">IF($AQ545&lt;&gt;"", INDEX(Inputs!$B$3:$B$101, MATCH($AQ545,Inputs!$A$3:$A$101,1)), "")</f>
        <v>2.8500000000000001E-2</v>
      </c>
      <c r="AT545" s="48">
        <f t="shared" ca="1" si="222"/>
        <v>49.373375013698599</v>
      </c>
      <c r="AU545" s="3">
        <f t="shared" ca="1" si="225"/>
        <v>-49.373375013698599</v>
      </c>
      <c r="AV545" s="3">
        <f t="shared" ca="1" si="226"/>
        <v>-49.373375013698599</v>
      </c>
    </row>
    <row r="546" spans="13:48" x14ac:dyDescent="0.2">
      <c r="M546" s="3" t="str">
        <f t="shared" si="223"/>
        <v/>
      </c>
      <c r="AQ546" s="4">
        <f t="shared" ca="1" si="221"/>
        <v>44894</v>
      </c>
      <c r="AR546" s="3">
        <f t="shared" ca="1" si="224"/>
        <v>632325.67999999959</v>
      </c>
      <c r="AS546" s="63">
        <f ca="1">IF($AQ546&lt;&gt;"", INDEX(Inputs!$B$3:$B$101, MATCH($AQ546,Inputs!$A$3:$A$101,1)), "")</f>
        <v>2.8500000000000001E-2</v>
      </c>
      <c r="AT546" s="48">
        <f t="shared" ca="1" si="222"/>
        <v>49.373375013698599</v>
      </c>
      <c r="AU546" s="3">
        <f t="shared" ca="1" si="225"/>
        <v>-49.373375013698599</v>
      </c>
      <c r="AV546" s="3">
        <f t="shared" ca="1" si="226"/>
        <v>-49.373375013698599</v>
      </c>
    </row>
    <row r="547" spans="13:48" x14ac:dyDescent="0.2">
      <c r="M547" s="3" t="str">
        <f t="shared" si="223"/>
        <v/>
      </c>
      <c r="AQ547" s="4">
        <f t="shared" ca="1" si="221"/>
        <v>44895</v>
      </c>
      <c r="AR547" s="3">
        <f t="shared" ca="1" si="224"/>
        <v>626320.82999999961</v>
      </c>
      <c r="AS547" s="63">
        <f ca="1">IF($AQ547&lt;&gt;"", INDEX(Inputs!$B$3:$B$101, MATCH($AQ547,Inputs!$A$3:$A$101,1)), "")</f>
        <v>2.8500000000000001E-2</v>
      </c>
      <c r="AT547" s="48">
        <f t="shared" ca="1" si="222"/>
        <v>48.904503164383534</v>
      </c>
      <c r="AU547" s="3">
        <f t="shared" ca="1" si="225"/>
        <v>-48.904503164383534</v>
      </c>
      <c r="AV547" s="3">
        <f t="shared" ca="1" si="226"/>
        <v>-48.904503164383534</v>
      </c>
    </row>
    <row r="548" spans="13:48" x14ac:dyDescent="0.2">
      <c r="M548" s="3" t="str">
        <f t="shared" si="223"/>
        <v/>
      </c>
      <c r="AQ548" s="4">
        <f t="shared" ca="1" si="221"/>
        <v>44896</v>
      </c>
      <c r="AR548" s="3">
        <f t="shared" ca="1" si="224"/>
        <v>626320.82999999961</v>
      </c>
      <c r="AS548" s="63">
        <f ca="1">IF($AQ548&lt;&gt;"", INDEX(Inputs!$B$3:$B$101, MATCH($AQ548,Inputs!$A$3:$A$101,1)), "")</f>
        <v>2.8500000000000001E-2</v>
      </c>
      <c r="AT548" s="48">
        <f t="shared" ca="1" si="222"/>
        <v>48.904503164383534</v>
      </c>
      <c r="AU548" s="3">
        <f t="shared" ca="1" si="225"/>
        <v>-48.904503164383534</v>
      </c>
      <c r="AV548" s="3">
        <f t="shared" ca="1" si="226"/>
        <v>-48.904503164383534</v>
      </c>
    </row>
    <row r="549" spans="13:48" x14ac:dyDescent="0.2">
      <c r="M549" s="3" t="str">
        <f t="shared" si="223"/>
        <v/>
      </c>
      <c r="AQ549" s="4">
        <f t="shared" ca="1" si="221"/>
        <v>44897</v>
      </c>
      <c r="AR549" s="3">
        <f t="shared" ca="1" si="224"/>
        <v>626320.82999999961</v>
      </c>
      <c r="AS549" s="63">
        <f ca="1">IF($AQ549&lt;&gt;"", INDEX(Inputs!$B$3:$B$101, MATCH($AQ549,Inputs!$A$3:$A$101,1)), "")</f>
        <v>2.8500000000000001E-2</v>
      </c>
      <c r="AT549" s="48">
        <f t="shared" ca="1" si="222"/>
        <v>48.904503164383534</v>
      </c>
      <c r="AU549" s="3">
        <f t="shared" ca="1" si="225"/>
        <v>1851.0954968356164</v>
      </c>
      <c r="AV549" s="3">
        <f t="shared" ca="1" si="226"/>
        <v>1851.0954968356164</v>
      </c>
    </row>
    <row r="550" spans="13:48" x14ac:dyDescent="0.2">
      <c r="M550" s="3" t="str">
        <f t="shared" si="223"/>
        <v/>
      </c>
      <c r="AQ550" s="4">
        <f t="shared" ca="1" si="221"/>
        <v>44898</v>
      </c>
      <c r="AR550" s="3">
        <f t="shared" ca="1" si="224"/>
        <v>626320.82999999961</v>
      </c>
      <c r="AS550" s="63">
        <f ca="1">IF($AQ550&lt;&gt;"", INDEX(Inputs!$B$3:$B$101, MATCH($AQ550,Inputs!$A$3:$A$101,1)), "")</f>
        <v>2.8500000000000001E-2</v>
      </c>
      <c r="AT550" s="48">
        <f t="shared" ca="1" si="222"/>
        <v>48.904503164383534</v>
      </c>
      <c r="AU550" s="3">
        <f t="shared" ca="1" si="225"/>
        <v>-48.904503164383534</v>
      </c>
      <c r="AV550" s="3">
        <f t="shared" ca="1" si="226"/>
        <v>-48.904503164383534</v>
      </c>
    </row>
    <row r="551" spans="13:48" x14ac:dyDescent="0.2">
      <c r="M551" s="3" t="str">
        <f t="shared" si="223"/>
        <v/>
      </c>
      <c r="AQ551" s="4">
        <f t="shared" ca="1" si="221"/>
        <v>44899</v>
      </c>
      <c r="AR551" s="3">
        <f t="shared" ca="1" si="224"/>
        <v>626320.82999999961</v>
      </c>
      <c r="AS551" s="63">
        <f ca="1">IF($AQ551&lt;&gt;"", INDEX(Inputs!$B$3:$B$101, MATCH($AQ551,Inputs!$A$3:$A$101,1)), "")</f>
        <v>2.8500000000000001E-2</v>
      </c>
      <c r="AT551" s="48">
        <f t="shared" ca="1" si="222"/>
        <v>48.904503164383534</v>
      </c>
      <c r="AU551" s="3">
        <f t="shared" ca="1" si="225"/>
        <v>-48.904503164383534</v>
      </c>
      <c r="AV551" s="3">
        <f t="shared" ca="1" si="226"/>
        <v>-48.904503164383534</v>
      </c>
    </row>
    <row r="552" spans="13:48" x14ac:dyDescent="0.2">
      <c r="M552" s="3" t="str">
        <f t="shared" si="223"/>
        <v/>
      </c>
      <c r="AQ552" s="4">
        <f t="shared" ca="1" si="221"/>
        <v>44900</v>
      </c>
      <c r="AR552" s="3">
        <f t="shared" ca="1" si="224"/>
        <v>626320.82999999961</v>
      </c>
      <c r="AS552" s="63">
        <f ca="1">IF($AQ552&lt;&gt;"", INDEX(Inputs!$B$3:$B$101, MATCH($AQ552,Inputs!$A$3:$A$101,1)), "")</f>
        <v>2.8500000000000001E-2</v>
      </c>
      <c r="AT552" s="48">
        <f t="shared" ca="1" si="222"/>
        <v>48.904503164383534</v>
      </c>
      <c r="AU552" s="3">
        <f t="shared" ca="1" si="225"/>
        <v>-48.904503164383534</v>
      </c>
      <c r="AV552" s="3">
        <f t="shared" ca="1" si="226"/>
        <v>-48.904503164383534</v>
      </c>
    </row>
    <row r="553" spans="13:48" x14ac:dyDescent="0.2">
      <c r="M553" s="3" t="str">
        <f t="shared" si="223"/>
        <v/>
      </c>
      <c r="AQ553" s="4">
        <f t="shared" ca="1" si="221"/>
        <v>44901</v>
      </c>
      <c r="AR553" s="3">
        <f t="shared" ca="1" si="224"/>
        <v>626320.82999999961</v>
      </c>
      <c r="AS553" s="63">
        <f ca="1">IF($AQ553&lt;&gt;"", INDEX(Inputs!$B$3:$B$101, MATCH($AQ553,Inputs!$A$3:$A$101,1)), "")</f>
        <v>2.8500000000000001E-2</v>
      </c>
      <c r="AT553" s="48">
        <f t="shared" ca="1" si="222"/>
        <v>48.904503164383534</v>
      </c>
      <c r="AU553" s="3">
        <f t="shared" ca="1" si="225"/>
        <v>-48.904503164383534</v>
      </c>
      <c r="AV553" s="3">
        <f t="shared" ca="1" si="226"/>
        <v>-48.904503164383534</v>
      </c>
    </row>
    <row r="554" spans="13:48" x14ac:dyDescent="0.2">
      <c r="M554" s="3" t="str">
        <f t="shared" si="223"/>
        <v/>
      </c>
      <c r="AQ554" s="4">
        <f t="shared" ca="1" si="221"/>
        <v>44902</v>
      </c>
      <c r="AR554" s="3">
        <f t="shared" ca="1" si="224"/>
        <v>626320.82999999961</v>
      </c>
      <c r="AS554" s="63">
        <f ca="1">IF($AQ554&lt;&gt;"", INDEX(Inputs!$B$3:$B$101, MATCH($AQ554,Inputs!$A$3:$A$101,1)), "")</f>
        <v>3.1E-2</v>
      </c>
      <c r="AT554" s="48">
        <f t="shared" ca="1" si="222"/>
        <v>53.194371863013664</v>
      </c>
      <c r="AU554" s="3">
        <f t="shared" ca="1" si="225"/>
        <v>-53.194371863013664</v>
      </c>
      <c r="AV554" s="3">
        <f t="shared" ca="1" si="226"/>
        <v>-53.194371863013664</v>
      </c>
    </row>
    <row r="555" spans="13:48" x14ac:dyDescent="0.2">
      <c r="M555" s="3" t="str">
        <f t="shared" si="223"/>
        <v/>
      </c>
      <c r="AQ555" s="4">
        <f t="shared" ca="1" si="221"/>
        <v>44903</v>
      </c>
      <c r="AR555" s="3">
        <f t="shared" ca="1" si="224"/>
        <v>626320.82999999961</v>
      </c>
      <c r="AS555" s="63">
        <f ca="1">IF($AQ555&lt;&gt;"", INDEX(Inputs!$B$3:$B$101, MATCH($AQ555,Inputs!$A$3:$A$101,1)), "")</f>
        <v>3.1E-2</v>
      </c>
      <c r="AT555" s="48">
        <f t="shared" ca="1" si="222"/>
        <v>53.194371863013664</v>
      </c>
      <c r="AU555" s="3">
        <f t="shared" ca="1" si="225"/>
        <v>-53.194371863013664</v>
      </c>
      <c r="AV555" s="3">
        <f t="shared" ca="1" si="226"/>
        <v>-53.194371863013664</v>
      </c>
    </row>
    <row r="556" spans="13:48" x14ac:dyDescent="0.2">
      <c r="M556" s="3" t="str">
        <f t="shared" si="223"/>
        <v/>
      </c>
      <c r="AQ556" s="4">
        <f t="shared" ca="1" si="221"/>
        <v>44904</v>
      </c>
      <c r="AR556" s="3">
        <f t="shared" ca="1" si="224"/>
        <v>626320.82999999961</v>
      </c>
      <c r="AS556" s="63">
        <f ca="1">IF($AQ556&lt;&gt;"", INDEX(Inputs!$B$3:$B$101, MATCH($AQ556,Inputs!$A$3:$A$101,1)), "")</f>
        <v>3.1E-2</v>
      </c>
      <c r="AT556" s="48">
        <f t="shared" ca="1" si="222"/>
        <v>53.194371863013664</v>
      </c>
      <c r="AU556" s="3">
        <f t="shared" ca="1" si="225"/>
        <v>1846.8056281369863</v>
      </c>
      <c r="AV556" s="3">
        <f t="shared" ca="1" si="226"/>
        <v>1846.8056281369863</v>
      </c>
    </row>
    <row r="557" spans="13:48" x14ac:dyDescent="0.2">
      <c r="M557" s="3" t="str">
        <f t="shared" si="223"/>
        <v/>
      </c>
      <c r="AQ557" s="4">
        <f t="shared" ca="1" si="221"/>
        <v>44905</v>
      </c>
      <c r="AR557" s="3">
        <f t="shared" ca="1" si="224"/>
        <v>626320.82999999961</v>
      </c>
      <c r="AS557" s="63">
        <f ca="1">IF($AQ557&lt;&gt;"", INDEX(Inputs!$B$3:$B$101, MATCH($AQ557,Inputs!$A$3:$A$101,1)), "")</f>
        <v>3.1E-2</v>
      </c>
      <c r="AT557" s="48">
        <f t="shared" ca="1" si="222"/>
        <v>53.194371863013664</v>
      </c>
      <c r="AU557" s="3">
        <f t="shared" ca="1" si="225"/>
        <v>-53.194371863013664</v>
      </c>
      <c r="AV557" s="3">
        <f t="shared" ca="1" si="226"/>
        <v>-53.194371863013664</v>
      </c>
    </row>
    <row r="558" spans="13:48" x14ac:dyDescent="0.2">
      <c r="M558" s="3" t="str">
        <f t="shared" si="223"/>
        <v/>
      </c>
      <c r="AQ558" s="4">
        <f t="shared" ca="1" si="221"/>
        <v>44906</v>
      </c>
      <c r="AR558" s="3">
        <f t="shared" ca="1" si="224"/>
        <v>626320.82999999961</v>
      </c>
      <c r="AS558" s="63">
        <f ca="1">IF($AQ558&lt;&gt;"", INDEX(Inputs!$B$3:$B$101, MATCH($AQ558,Inputs!$A$3:$A$101,1)), "")</f>
        <v>3.1E-2</v>
      </c>
      <c r="AT558" s="48">
        <f t="shared" ca="1" si="222"/>
        <v>53.194371863013664</v>
      </c>
      <c r="AU558" s="3">
        <f t="shared" ca="1" si="225"/>
        <v>-53.194371863013664</v>
      </c>
      <c r="AV558" s="3">
        <f t="shared" ca="1" si="226"/>
        <v>-53.194371863013664</v>
      </c>
    </row>
    <row r="559" spans="13:48" x14ac:dyDescent="0.2">
      <c r="M559" s="3" t="str">
        <f t="shared" si="223"/>
        <v/>
      </c>
      <c r="AQ559" s="4">
        <f t="shared" ca="1" si="221"/>
        <v>44907</v>
      </c>
      <c r="AR559" s="3">
        <f t="shared" ca="1" si="224"/>
        <v>626320.82999999961</v>
      </c>
      <c r="AS559" s="63">
        <f ca="1">IF($AQ559&lt;&gt;"", INDEX(Inputs!$B$3:$B$101, MATCH($AQ559,Inputs!$A$3:$A$101,1)), "")</f>
        <v>3.1E-2</v>
      </c>
      <c r="AT559" s="48">
        <f t="shared" ca="1" si="222"/>
        <v>53.194371863013664</v>
      </c>
      <c r="AU559" s="3">
        <f t="shared" ca="1" si="225"/>
        <v>-53.194371863013664</v>
      </c>
      <c r="AV559" s="3">
        <f t="shared" ca="1" si="226"/>
        <v>-53.194371863013664</v>
      </c>
    </row>
    <row r="560" spans="13:48" x14ac:dyDescent="0.2">
      <c r="M560" s="3" t="str">
        <f t="shared" si="223"/>
        <v/>
      </c>
      <c r="AQ560" s="4">
        <f t="shared" ca="1" si="221"/>
        <v>44908</v>
      </c>
      <c r="AR560" s="3">
        <f t="shared" ca="1" si="224"/>
        <v>626320.82999999961</v>
      </c>
      <c r="AS560" s="63">
        <f ca="1">IF($AQ560&lt;&gt;"", INDEX(Inputs!$B$3:$B$101, MATCH($AQ560,Inputs!$A$3:$A$101,1)), "")</f>
        <v>3.1E-2</v>
      </c>
      <c r="AT560" s="48">
        <f t="shared" ca="1" si="222"/>
        <v>53.194371863013664</v>
      </c>
      <c r="AU560" s="3">
        <f t="shared" ca="1" si="225"/>
        <v>-53.194371863013664</v>
      </c>
      <c r="AV560" s="3">
        <f t="shared" ca="1" si="226"/>
        <v>-53.194371863013664</v>
      </c>
    </row>
    <row r="561" spans="13:48" x14ac:dyDescent="0.2">
      <c r="M561" s="3" t="str">
        <f t="shared" si="223"/>
        <v/>
      </c>
      <c r="AQ561" s="4">
        <f t="shared" ca="1" si="221"/>
        <v>44909</v>
      </c>
      <c r="AR561" s="3">
        <f t="shared" ca="1" si="224"/>
        <v>626320.82999999961</v>
      </c>
      <c r="AS561" s="63">
        <f ca="1">IF($AQ561&lt;&gt;"", INDEX(Inputs!$B$3:$B$101, MATCH($AQ561,Inputs!$A$3:$A$101,1)), "")</f>
        <v>3.1E-2</v>
      </c>
      <c r="AT561" s="48">
        <f t="shared" ca="1" si="222"/>
        <v>53.194371863013664</v>
      </c>
      <c r="AU561" s="3">
        <f t="shared" ca="1" si="225"/>
        <v>-53.194371863013664</v>
      </c>
      <c r="AV561" s="3">
        <f t="shared" ca="1" si="226"/>
        <v>-53.194371863013664</v>
      </c>
    </row>
    <row r="562" spans="13:48" x14ac:dyDescent="0.2">
      <c r="M562" s="3" t="str">
        <f t="shared" si="223"/>
        <v/>
      </c>
      <c r="AQ562" s="4">
        <f t="shared" ca="1" si="221"/>
        <v>44910</v>
      </c>
      <c r="AR562" s="3">
        <f t="shared" ca="1" si="224"/>
        <v>626320.82999999961</v>
      </c>
      <c r="AS562" s="63">
        <f ca="1">IF($AQ562&lt;&gt;"", INDEX(Inputs!$B$3:$B$101, MATCH($AQ562,Inputs!$A$3:$A$101,1)), "")</f>
        <v>3.1E-2</v>
      </c>
      <c r="AT562" s="48">
        <f t="shared" ca="1" si="222"/>
        <v>53.194371863013664</v>
      </c>
      <c r="AU562" s="3">
        <f t="shared" ca="1" si="225"/>
        <v>-53.194371863013664</v>
      </c>
      <c r="AV562" s="3">
        <f t="shared" ca="1" si="226"/>
        <v>-53.194371863013664</v>
      </c>
    </row>
    <row r="563" spans="13:48" x14ac:dyDescent="0.2">
      <c r="M563" s="3" t="str">
        <f t="shared" si="223"/>
        <v/>
      </c>
      <c r="AQ563" s="4">
        <f t="shared" ca="1" si="221"/>
        <v>44911</v>
      </c>
      <c r="AR563" s="3">
        <f t="shared" ca="1" si="224"/>
        <v>638792.70999999961</v>
      </c>
      <c r="AS563" s="63">
        <f ca="1">IF($AQ563&lt;&gt;"", INDEX(Inputs!$B$3:$B$101, MATCH($AQ563,Inputs!$A$3:$A$101,1)), "")</f>
        <v>3.1E-2</v>
      </c>
      <c r="AT563" s="48">
        <f t="shared" ca="1" si="222"/>
        <v>54.253627424657502</v>
      </c>
      <c r="AU563" s="3">
        <f t="shared" ca="1" si="225"/>
        <v>-10626.133627424659</v>
      </c>
      <c r="AV563" s="3">
        <f t="shared" ca="1" si="226"/>
        <v>-10626.133627424659</v>
      </c>
    </row>
    <row r="564" spans="13:48" x14ac:dyDescent="0.2">
      <c r="M564" s="3" t="str">
        <f t="shared" ref="M564:M583" si="227">IF($A564&lt;&gt;"", IF(ISNUMBER(SEARCH("Debt Cost (est.)",B564)), SUMIFS(AT:AT, AQ:AQ, "&gt;="&amp;DATE("20"&amp;RIGHT(LEFT(B564,4),2)-1,7,1), AQ:AQ, "&lt;="&amp;DATE("20"&amp;RIGHT(LEFT(B564,4),2),6,30)), ""), "")</f>
        <v/>
      </c>
      <c r="AQ564" s="4">
        <f t="shared" ca="1" si="221"/>
        <v>44912</v>
      </c>
      <c r="AR564" s="3">
        <f t="shared" ca="1" si="224"/>
        <v>638792.70999999961</v>
      </c>
      <c r="AS564" s="63">
        <f ca="1">IF($AQ564&lt;&gt;"", INDEX(Inputs!$B$3:$B$101, MATCH($AQ564,Inputs!$A$3:$A$101,1)), "")</f>
        <v>3.1E-2</v>
      </c>
      <c r="AT564" s="48">
        <f t="shared" ca="1" si="222"/>
        <v>54.253627424657502</v>
      </c>
      <c r="AU564" s="3">
        <f t="shared" ca="1" si="225"/>
        <v>-54.253627424657502</v>
      </c>
      <c r="AV564" s="3">
        <f t="shared" ca="1" si="226"/>
        <v>-54.253627424657502</v>
      </c>
    </row>
    <row r="565" spans="13:48" x14ac:dyDescent="0.2">
      <c r="M565" s="3" t="str">
        <f t="shared" si="227"/>
        <v/>
      </c>
      <c r="AQ565" s="4">
        <f t="shared" ca="1" si="221"/>
        <v>44913</v>
      </c>
      <c r="AR565" s="3">
        <f t="shared" ca="1" si="224"/>
        <v>638792.70999999961</v>
      </c>
      <c r="AS565" s="63">
        <f ca="1">IF($AQ565&lt;&gt;"", INDEX(Inputs!$B$3:$B$101, MATCH($AQ565,Inputs!$A$3:$A$101,1)), "")</f>
        <v>3.1E-2</v>
      </c>
      <c r="AT565" s="48">
        <f t="shared" ca="1" si="222"/>
        <v>54.253627424657502</v>
      </c>
      <c r="AU565" s="3">
        <f t="shared" ca="1" si="225"/>
        <v>-54.253627424657502</v>
      </c>
      <c r="AV565" s="3">
        <f t="shared" ca="1" si="226"/>
        <v>-54.253627424657502</v>
      </c>
    </row>
    <row r="566" spans="13:48" x14ac:dyDescent="0.2">
      <c r="M566" s="3" t="str">
        <f t="shared" si="227"/>
        <v/>
      </c>
      <c r="AQ566" s="4">
        <f t="shared" ca="1" si="221"/>
        <v>44914</v>
      </c>
      <c r="AR566" s="3">
        <f t="shared" ca="1" si="224"/>
        <v>638792.70999999961</v>
      </c>
      <c r="AS566" s="63">
        <f ca="1">IF($AQ566&lt;&gt;"", INDEX(Inputs!$B$3:$B$101, MATCH($AQ566,Inputs!$A$3:$A$101,1)), "")</f>
        <v>3.1E-2</v>
      </c>
      <c r="AT566" s="48">
        <f t="shared" ca="1" si="222"/>
        <v>54.253627424657502</v>
      </c>
      <c r="AU566" s="3">
        <f t="shared" ca="1" si="225"/>
        <v>-54.253627424657502</v>
      </c>
      <c r="AV566" s="3">
        <f t="shared" ca="1" si="226"/>
        <v>-54.253627424657502</v>
      </c>
    </row>
    <row r="567" spans="13:48" x14ac:dyDescent="0.2">
      <c r="M567" s="3" t="str">
        <f t="shared" si="227"/>
        <v/>
      </c>
      <c r="AQ567" s="4">
        <f t="shared" ca="1" si="221"/>
        <v>44915</v>
      </c>
      <c r="AR567" s="3">
        <f t="shared" ca="1" si="224"/>
        <v>638792.70999999961</v>
      </c>
      <c r="AS567" s="63">
        <f ca="1">IF($AQ567&lt;&gt;"", INDEX(Inputs!$B$3:$B$101, MATCH($AQ567,Inputs!$A$3:$A$101,1)), "")</f>
        <v>3.1E-2</v>
      </c>
      <c r="AT567" s="48">
        <f t="shared" ca="1" si="222"/>
        <v>54.253627424657502</v>
      </c>
      <c r="AU567" s="3">
        <f t="shared" ca="1" si="225"/>
        <v>-54.253627424657502</v>
      </c>
      <c r="AV567" s="3">
        <f t="shared" ca="1" si="226"/>
        <v>-54.253627424657502</v>
      </c>
    </row>
    <row r="568" spans="13:48" x14ac:dyDescent="0.2">
      <c r="M568" s="3" t="str">
        <f t="shared" si="227"/>
        <v/>
      </c>
      <c r="AQ568" s="4">
        <f t="shared" ca="1" si="221"/>
        <v>44916</v>
      </c>
      <c r="AR568" s="3">
        <f t="shared" ca="1" si="224"/>
        <v>638792.70999999961</v>
      </c>
      <c r="AS568" s="63">
        <f ca="1">IF($AQ568&lt;&gt;"", INDEX(Inputs!$B$3:$B$101, MATCH($AQ568,Inputs!$A$3:$A$101,1)), "")</f>
        <v>3.1E-2</v>
      </c>
      <c r="AT568" s="48">
        <f t="shared" ca="1" si="222"/>
        <v>54.253627424657502</v>
      </c>
      <c r="AU568" s="3">
        <f t="shared" ca="1" si="225"/>
        <v>-54.253627424657502</v>
      </c>
      <c r="AV568" s="3">
        <f t="shared" ca="1" si="226"/>
        <v>-54.253627424657502</v>
      </c>
    </row>
    <row r="569" spans="13:48" x14ac:dyDescent="0.2">
      <c r="M569" s="3" t="str">
        <f t="shared" si="227"/>
        <v/>
      </c>
      <c r="AQ569" s="4">
        <f t="shared" ref="AQ569:AQ632" ca="1" si="228">IF(AQ568&lt;$AP$3,AQ568+1,"")</f>
        <v>44917</v>
      </c>
      <c r="AR569" s="3">
        <f t="shared" ca="1" si="224"/>
        <v>638792.70999999961</v>
      </c>
      <c r="AS569" s="63">
        <f ca="1">IF($AQ569&lt;&gt;"", INDEX(Inputs!$B$3:$B$101, MATCH($AQ569,Inputs!$A$3:$A$101,1)), "")</f>
        <v>3.1E-2</v>
      </c>
      <c r="AT569" s="48">
        <f t="shared" ref="AT569:AT632" ca="1" si="229">IF($AQ569&lt;&gt;"", AR569*AS569/365, "")</f>
        <v>54.253627424657502</v>
      </c>
      <c r="AU569" s="3">
        <f t="shared" ca="1" si="225"/>
        <v>-54.253627424657502</v>
      </c>
      <c r="AV569" s="3">
        <f t="shared" ca="1" si="226"/>
        <v>-54.253627424657502</v>
      </c>
    </row>
    <row r="570" spans="13:48" x14ac:dyDescent="0.2">
      <c r="M570" s="3" t="str">
        <f t="shared" si="227"/>
        <v/>
      </c>
      <c r="AQ570" s="4">
        <f t="shared" ca="1" si="228"/>
        <v>44918</v>
      </c>
      <c r="AR570" s="3">
        <f t="shared" ca="1" si="224"/>
        <v>638792.70999999961</v>
      </c>
      <c r="AS570" s="63">
        <f ca="1">IF($AQ570&lt;&gt;"", INDEX(Inputs!$B$3:$B$101, MATCH($AQ570,Inputs!$A$3:$A$101,1)), "")</f>
        <v>3.1E-2</v>
      </c>
      <c r="AT570" s="48">
        <f t="shared" ca="1" si="229"/>
        <v>54.253627424657502</v>
      </c>
      <c r="AU570" s="3">
        <f t="shared" ca="1" si="225"/>
        <v>1845.7463725753425</v>
      </c>
      <c r="AV570" s="3">
        <f t="shared" ca="1" si="226"/>
        <v>1845.7463725753425</v>
      </c>
    </row>
    <row r="571" spans="13:48" x14ac:dyDescent="0.2">
      <c r="M571" s="3" t="str">
        <f t="shared" si="227"/>
        <v/>
      </c>
      <c r="AQ571" s="4">
        <f t="shared" ca="1" si="228"/>
        <v>44919</v>
      </c>
      <c r="AR571" s="3">
        <f t="shared" ca="1" si="224"/>
        <v>638792.70999999961</v>
      </c>
      <c r="AS571" s="63">
        <f ca="1">IF($AQ571&lt;&gt;"", INDEX(Inputs!$B$3:$B$101, MATCH($AQ571,Inputs!$A$3:$A$101,1)), "")</f>
        <v>3.1E-2</v>
      </c>
      <c r="AT571" s="48">
        <f t="shared" ca="1" si="229"/>
        <v>54.253627424657502</v>
      </c>
      <c r="AU571" s="3">
        <f t="shared" ca="1" si="225"/>
        <v>-54.253627424657502</v>
      </c>
      <c r="AV571" s="3">
        <f t="shared" ca="1" si="226"/>
        <v>-54.253627424657502</v>
      </c>
    </row>
    <row r="572" spans="13:48" x14ac:dyDescent="0.2">
      <c r="M572" s="3" t="str">
        <f t="shared" si="227"/>
        <v/>
      </c>
      <c r="AQ572" s="4">
        <f t="shared" ca="1" si="228"/>
        <v>44920</v>
      </c>
      <c r="AR572" s="3">
        <f t="shared" ca="1" si="224"/>
        <v>638792.70999999961</v>
      </c>
      <c r="AS572" s="63">
        <f ca="1">IF($AQ572&lt;&gt;"", INDEX(Inputs!$B$3:$B$101, MATCH($AQ572,Inputs!$A$3:$A$101,1)), "")</f>
        <v>3.1E-2</v>
      </c>
      <c r="AT572" s="48">
        <f t="shared" ca="1" si="229"/>
        <v>54.253627424657502</v>
      </c>
      <c r="AU572" s="3">
        <f t="shared" ca="1" si="225"/>
        <v>-54.253627424657502</v>
      </c>
      <c r="AV572" s="3">
        <f t="shared" ca="1" si="226"/>
        <v>-54.253627424657502</v>
      </c>
    </row>
    <row r="573" spans="13:48" x14ac:dyDescent="0.2">
      <c r="M573" s="3" t="str">
        <f t="shared" si="227"/>
        <v/>
      </c>
      <c r="AQ573" s="4">
        <f t="shared" ca="1" si="228"/>
        <v>44921</v>
      </c>
      <c r="AR573" s="3">
        <f t="shared" ca="1" si="224"/>
        <v>638792.70999999961</v>
      </c>
      <c r="AS573" s="63">
        <f ca="1">IF($AQ573&lt;&gt;"", INDEX(Inputs!$B$3:$B$101, MATCH($AQ573,Inputs!$A$3:$A$101,1)), "")</f>
        <v>3.1E-2</v>
      </c>
      <c r="AT573" s="48">
        <f t="shared" ca="1" si="229"/>
        <v>54.253627424657502</v>
      </c>
      <c r="AU573" s="3">
        <f t="shared" ca="1" si="225"/>
        <v>-54.253627424657502</v>
      </c>
      <c r="AV573" s="3">
        <f t="shared" ca="1" si="226"/>
        <v>-54.253627424657502</v>
      </c>
    </row>
    <row r="574" spans="13:48" x14ac:dyDescent="0.2">
      <c r="M574" s="3" t="str">
        <f t="shared" si="227"/>
        <v/>
      </c>
      <c r="AQ574" s="4">
        <f t="shared" ca="1" si="228"/>
        <v>44922</v>
      </c>
      <c r="AR574" s="3">
        <f t="shared" ca="1" si="224"/>
        <v>638792.70999999961</v>
      </c>
      <c r="AS574" s="63">
        <f ca="1">IF($AQ574&lt;&gt;"", INDEX(Inputs!$B$3:$B$101, MATCH($AQ574,Inputs!$A$3:$A$101,1)), "")</f>
        <v>3.1E-2</v>
      </c>
      <c r="AT574" s="48">
        <f t="shared" ca="1" si="229"/>
        <v>54.253627424657502</v>
      </c>
      <c r="AU574" s="3">
        <f t="shared" ca="1" si="225"/>
        <v>-54.253627424657502</v>
      </c>
      <c r="AV574" s="3">
        <f t="shared" ca="1" si="226"/>
        <v>-54.253627424657502</v>
      </c>
    </row>
    <row r="575" spans="13:48" x14ac:dyDescent="0.2">
      <c r="M575" s="3" t="str">
        <f t="shared" si="227"/>
        <v/>
      </c>
      <c r="AQ575" s="4">
        <f t="shared" ca="1" si="228"/>
        <v>44923</v>
      </c>
      <c r="AR575" s="3">
        <f t="shared" ca="1" si="224"/>
        <v>638792.70999999961</v>
      </c>
      <c r="AS575" s="63">
        <f ca="1">IF($AQ575&lt;&gt;"", INDEX(Inputs!$B$3:$B$101, MATCH($AQ575,Inputs!$A$3:$A$101,1)), "")</f>
        <v>3.1E-2</v>
      </c>
      <c r="AT575" s="48">
        <f t="shared" ca="1" si="229"/>
        <v>54.253627424657502</v>
      </c>
      <c r="AU575" s="3">
        <f t="shared" ca="1" si="225"/>
        <v>-342.1436274246575</v>
      </c>
      <c r="AV575" s="3">
        <f t="shared" ca="1" si="226"/>
        <v>-342.1436274246575</v>
      </c>
    </row>
    <row r="576" spans="13:48" x14ac:dyDescent="0.2">
      <c r="M576" s="3" t="str">
        <f t="shared" si="227"/>
        <v/>
      </c>
      <c r="AQ576" s="4">
        <f t="shared" ca="1" si="228"/>
        <v>44924</v>
      </c>
      <c r="AR576" s="3">
        <f t="shared" ca="1" si="224"/>
        <v>638792.70999999961</v>
      </c>
      <c r="AS576" s="63">
        <f ca="1">IF($AQ576&lt;&gt;"", INDEX(Inputs!$B$3:$B$101, MATCH($AQ576,Inputs!$A$3:$A$101,1)), "")</f>
        <v>3.1E-2</v>
      </c>
      <c r="AT576" s="48">
        <f t="shared" ca="1" si="229"/>
        <v>54.253627424657502</v>
      </c>
      <c r="AU576" s="3">
        <f t="shared" ca="1" si="225"/>
        <v>-54.253627424657502</v>
      </c>
      <c r="AV576" s="3">
        <f t="shared" ca="1" si="226"/>
        <v>-54.253627424657502</v>
      </c>
    </row>
    <row r="577" spans="13:48" x14ac:dyDescent="0.2">
      <c r="M577" s="3" t="str">
        <f t="shared" si="227"/>
        <v/>
      </c>
      <c r="AQ577" s="4">
        <f t="shared" ca="1" si="228"/>
        <v>44925</v>
      </c>
      <c r="AR577" s="3">
        <f t="shared" ca="1" si="224"/>
        <v>638792.70999999961</v>
      </c>
      <c r="AS577" s="63">
        <f ca="1">IF($AQ577&lt;&gt;"", INDEX(Inputs!$B$3:$B$101, MATCH($AQ577,Inputs!$A$3:$A$101,1)), "")</f>
        <v>3.1E-2</v>
      </c>
      <c r="AT577" s="48">
        <f t="shared" ca="1" si="229"/>
        <v>54.253627424657502</v>
      </c>
      <c r="AU577" s="3">
        <f t="shared" ca="1" si="225"/>
        <v>1845.7463725753425</v>
      </c>
      <c r="AV577" s="3">
        <f t="shared" ca="1" si="226"/>
        <v>1845.7463725753425</v>
      </c>
    </row>
    <row r="578" spans="13:48" x14ac:dyDescent="0.2">
      <c r="M578" s="3" t="str">
        <f t="shared" si="227"/>
        <v/>
      </c>
      <c r="AQ578" s="4">
        <f t="shared" ca="1" si="228"/>
        <v>44926</v>
      </c>
      <c r="AR578" s="3">
        <f t="shared" ca="1" si="224"/>
        <v>632750.23999999964</v>
      </c>
      <c r="AS578" s="63">
        <f ca="1">IF($AQ578&lt;&gt;"", INDEX(Inputs!$B$3:$B$101, MATCH($AQ578,Inputs!$A$3:$A$101,1)), "")</f>
        <v>3.1E-2</v>
      </c>
      <c r="AT578" s="48">
        <f t="shared" ca="1" si="229"/>
        <v>53.740431342465726</v>
      </c>
      <c r="AU578" s="3">
        <f t="shared" ca="1" si="225"/>
        <v>-53.740431342465726</v>
      </c>
      <c r="AV578" s="3">
        <f t="shared" ca="1" si="226"/>
        <v>-53.740431342465726</v>
      </c>
    </row>
    <row r="579" spans="13:48" x14ac:dyDescent="0.2">
      <c r="M579" s="3" t="str">
        <f t="shared" si="227"/>
        <v/>
      </c>
      <c r="AQ579" s="4">
        <f t="shared" ca="1" si="228"/>
        <v>44927</v>
      </c>
      <c r="AR579" s="3">
        <f t="shared" ca="1" si="224"/>
        <v>632750.23999999964</v>
      </c>
      <c r="AS579" s="63">
        <f ca="1">IF($AQ579&lt;&gt;"", INDEX(Inputs!$B$3:$B$101, MATCH($AQ579,Inputs!$A$3:$A$101,1)), "")</f>
        <v>3.1E-2</v>
      </c>
      <c r="AT579" s="48">
        <f t="shared" ca="1" si="229"/>
        <v>53.740431342465726</v>
      </c>
      <c r="AU579" s="3">
        <f t="shared" ca="1" si="225"/>
        <v>-53.740431342465726</v>
      </c>
      <c r="AV579" s="3">
        <f t="shared" ca="1" si="226"/>
        <v>-53.740431342465726</v>
      </c>
    </row>
    <row r="580" spans="13:48" x14ac:dyDescent="0.2">
      <c r="M580" s="3" t="str">
        <f t="shared" si="227"/>
        <v/>
      </c>
      <c r="AQ580" s="4">
        <f t="shared" ca="1" si="228"/>
        <v>44928</v>
      </c>
      <c r="AR580" s="3">
        <f t="shared" ca="1" si="224"/>
        <v>632750.23999999964</v>
      </c>
      <c r="AS580" s="63">
        <f ca="1">IF($AQ580&lt;&gt;"", INDEX(Inputs!$B$3:$B$101, MATCH($AQ580,Inputs!$A$3:$A$101,1)), "")</f>
        <v>3.1E-2</v>
      </c>
      <c r="AT580" s="48">
        <f t="shared" ca="1" si="229"/>
        <v>53.740431342465726</v>
      </c>
      <c r="AU580" s="3">
        <f t="shared" ca="1" si="225"/>
        <v>-53.740431342465726</v>
      </c>
      <c r="AV580" s="3">
        <f t="shared" ca="1" si="226"/>
        <v>-53.740431342465726</v>
      </c>
    </row>
    <row r="581" spans="13:48" x14ac:dyDescent="0.2">
      <c r="M581" s="3" t="str">
        <f t="shared" si="227"/>
        <v/>
      </c>
      <c r="AQ581" s="4">
        <f t="shared" ca="1" si="228"/>
        <v>44929</v>
      </c>
      <c r="AR581" s="3">
        <f t="shared" ca="1" si="224"/>
        <v>632750.23999999964</v>
      </c>
      <c r="AS581" s="63">
        <f ca="1">IF($AQ581&lt;&gt;"", INDEX(Inputs!$B$3:$B$101, MATCH($AQ581,Inputs!$A$3:$A$101,1)), "")</f>
        <v>3.1E-2</v>
      </c>
      <c r="AT581" s="48">
        <f t="shared" ca="1" si="229"/>
        <v>53.740431342465726</v>
      </c>
      <c r="AU581" s="3">
        <f t="shared" ca="1" si="225"/>
        <v>-53.740431342465726</v>
      </c>
      <c r="AV581" s="3">
        <f t="shared" ca="1" si="226"/>
        <v>-53.740431342465726</v>
      </c>
    </row>
    <row r="582" spans="13:48" x14ac:dyDescent="0.2">
      <c r="M582" s="3" t="str">
        <f t="shared" si="227"/>
        <v/>
      </c>
      <c r="AQ582" s="4">
        <f t="shared" ca="1" si="228"/>
        <v>44930</v>
      </c>
      <c r="AR582" s="3">
        <f t="shared" ca="1" si="224"/>
        <v>632750.23999999964</v>
      </c>
      <c r="AS582" s="63">
        <f ca="1">IF($AQ582&lt;&gt;"", INDEX(Inputs!$B$3:$B$101, MATCH($AQ582,Inputs!$A$3:$A$101,1)), "")</f>
        <v>3.1E-2</v>
      </c>
      <c r="AT582" s="48">
        <f t="shared" ca="1" si="229"/>
        <v>53.740431342465726</v>
      </c>
      <c r="AU582" s="3">
        <f t="shared" ca="1" si="225"/>
        <v>-53.740431342465726</v>
      </c>
      <c r="AV582" s="3">
        <f t="shared" ca="1" si="226"/>
        <v>-53.740431342465726</v>
      </c>
    </row>
    <row r="583" spans="13:48" x14ac:dyDescent="0.2">
      <c r="M583" s="3" t="str">
        <f t="shared" si="227"/>
        <v/>
      </c>
      <c r="AQ583" s="4">
        <f t="shared" ca="1" si="228"/>
        <v>44931</v>
      </c>
      <c r="AR583" s="3">
        <f t="shared" ca="1" si="224"/>
        <v>632750.23999999964</v>
      </c>
      <c r="AS583" s="63">
        <f ca="1">IF($AQ583&lt;&gt;"", INDEX(Inputs!$B$3:$B$101, MATCH($AQ583,Inputs!$A$3:$A$101,1)), "")</f>
        <v>3.1E-2</v>
      </c>
      <c r="AT583" s="48">
        <f t="shared" ca="1" si="229"/>
        <v>53.740431342465726</v>
      </c>
      <c r="AU583" s="3">
        <f t="shared" ca="1" si="225"/>
        <v>-53.740431342465726</v>
      </c>
      <c r="AV583" s="3">
        <f t="shared" ca="1" si="226"/>
        <v>-53.740431342465726</v>
      </c>
    </row>
    <row r="584" spans="13:48" x14ac:dyDescent="0.2">
      <c r="AQ584" s="4">
        <f t="shared" ca="1" si="228"/>
        <v>44932</v>
      </c>
      <c r="AR584" s="3">
        <f t="shared" ca="1" si="224"/>
        <v>632750.23999999964</v>
      </c>
      <c r="AS584" s="63">
        <f ca="1">IF($AQ584&lt;&gt;"", INDEX(Inputs!$B$3:$B$101, MATCH($AQ584,Inputs!$A$3:$A$101,1)), "")</f>
        <v>3.1E-2</v>
      </c>
      <c r="AT584" s="48">
        <f t="shared" ca="1" si="229"/>
        <v>53.740431342465726</v>
      </c>
      <c r="AU584" s="3">
        <f t="shared" ca="1" si="225"/>
        <v>1846.2595686575344</v>
      </c>
      <c r="AV584" s="3">
        <f t="shared" ca="1" si="226"/>
        <v>1846.2595686575344</v>
      </c>
    </row>
    <row r="585" spans="13:48" x14ac:dyDescent="0.2">
      <c r="AQ585" s="4">
        <f t="shared" ca="1" si="228"/>
        <v>44933</v>
      </c>
      <c r="AR585" s="3">
        <f t="shared" ca="1" si="224"/>
        <v>632750.23999999964</v>
      </c>
      <c r="AS585" s="63">
        <f ca="1">IF($AQ585&lt;&gt;"", INDEX(Inputs!$B$3:$B$101, MATCH($AQ585,Inputs!$A$3:$A$101,1)), "")</f>
        <v>3.1E-2</v>
      </c>
      <c r="AT585" s="48">
        <f t="shared" ca="1" si="229"/>
        <v>53.740431342465726</v>
      </c>
      <c r="AU585" s="3">
        <f t="shared" ca="1" si="225"/>
        <v>-53.740431342465726</v>
      </c>
      <c r="AV585" s="3">
        <f t="shared" ca="1" si="226"/>
        <v>-53.740431342465726</v>
      </c>
    </row>
    <row r="586" spans="13:48" x14ac:dyDescent="0.2">
      <c r="AQ586" s="4">
        <f t="shared" ca="1" si="228"/>
        <v>44934</v>
      </c>
      <c r="AR586" s="3">
        <f t="shared" ca="1" si="224"/>
        <v>632750.23999999964</v>
      </c>
      <c r="AS586" s="63">
        <f ca="1">IF($AQ586&lt;&gt;"", INDEX(Inputs!$B$3:$B$101, MATCH($AQ586,Inputs!$A$3:$A$101,1)), "")</f>
        <v>3.1E-2</v>
      </c>
      <c r="AT586" s="48">
        <f t="shared" ca="1" si="229"/>
        <v>53.740431342465726</v>
      </c>
      <c r="AU586" s="3">
        <f t="shared" ca="1" si="225"/>
        <v>-53.740431342465726</v>
      </c>
      <c r="AV586" s="3">
        <f t="shared" ca="1" si="226"/>
        <v>-53.740431342465726</v>
      </c>
    </row>
    <row r="587" spans="13:48" x14ac:dyDescent="0.2">
      <c r="AQ587" s="4">
        <f t="shared" ca="1" si="228"/>
        <v>44935</v>
      </c>
      <c r="AR587" s="3">
        <f t="shared" ca="1" si="224"/>
        <v>632750.23999999964</v>
      </c>
      <c r="AS587" s="63">
        <f ca="1">IF($AQ587&lt;&gt;"", INDEX(Inputs!$B$3:$B$101, MATCH($AQ587,Inputs!$A$3:$A$101,1)), "")</f>
        <v>3.1E-2</v>
      </c>
      <c r="AT587" s="48">
        <f t="shared" ca="1" si="229"/>
        <v>53.740431342465726</v>
      </c>
      <c r="AU587" s="3">
        <f t="shared" ca="1" si="225"/>
        <v>-53.740431342465726</v>
      </c>
      <c r="AV587" s="3">
        <f t="shared" ca="1" si="226"/>
        <v>-53.740431342465726</v>
      </c>
    </row>
    <row r="588" spans="13:48" x14ac:dyDescent="0.2">
      <c r="AQ588" s="4">
        <f t="shared" ca="1" si="228"/>
        <v>44936</v>
      </c>
      <c r="AR588" s="3">
        <f t="shared" ca="1" si="224"/>
        <v>632750.23999999964</v>
      </c>
      <c r="AS588" s="63">
        <f ca="1">IF($AQ588&lt;&gt;"", INDEX(Inputs!$B$3:$B$101, MATCH($AQ588,Inputs!$A$3:$A$101,1)), "")</f>
        <v>3.1E-2</v>
      </c>
      <c r="AT588" s="48">
        <f t="shared" ca="1" si="229"/>
        <v>53.740431342465726</v>
      </c>
      <c r="AU588" s="3">
        <f t="shared" ca="1" si="225"/>
        <v>-53.740431342465726</v>
      </c>
      <c r="AV588" s="3">
        <f t="shared" ca="1" si="226"/>
        <v>-53.740431342465726</v>
      </c>
    </row>
    <row r="589" spans="13:48" x14ac:dyDescent="0.2">
      <c r="AQ589" s="4">
        <f t="shared" ca="1" si="228"/>
        <v>44937</v>
      </c>
      <c r="AR589" s="3">
        <f t="shared" ca="1" si="224"/>
        <v>632750.23999999964</v>
      </c>
      <c r="AS589" s="63">
        <f ca="1">IF($AQ589&lt;&gt;"", INDEX(Inputs!$B$3:$B$101, MATCH($AQ589,Inputs!$A$3:$A$101,1)), "")</f>
        <v>3.1E-2</v>
      </c>
      <c r="AT589" s="48">
        <f t="shared" ca="1" si="229"/>
        <v>53.740431342465726</v>
      </c>
      <c r="AU589" s="3">
        <f t="shared" ca="1" si="225"/>
        <v>-53.740431342465726</v>
      </c>
      <c r="AV589" s="3">
        <f t="shared" ca="1" si="226"/>
        <v>-53.740431342465726</v>
      </c>
    </row>
    <row r="590" spans="13:48" x14ac:dyDescent="0.2">
      <c r="AQ590" s="4">
        <f t="shared" ca="1" si="228"/>
        <v>44938</v>
      </c>
      <c r="AR590" s="3">
        <f t="shared" ca="1" si="224"/>
        <v>632750.23999999964</v>
      </c>
      <c r="AS590" s="63">
        <f ca="1">IF($AQ590&lt;&gt;"", INDEX(Inputs!$B$3:$B$101, MATCH($AQ590,Inputs!$A$3:$A$101,1)), "")</f>
        <v>3.1E-2</v>
      </c>
      <c r="AT590" s="48">
        <f t="shared" ca="1" si="229"/>
        <v>53.740431342465726</v>
      </c>
      <c r="AU590" s="3">
        <f t="shared" ca="1" si="225"/>
        <v>-53.740431342465726</v>
      </c>
      <c r="AV590" s="3">
        <f t="shared" ca="1" si="226"/>
        <v>-53.740431342465726</v>
      </c>
    </row>
    <row r="591" spans="13:48" x14ac:dyDescent="0.2">
      <c r="AQ591" s="4">
        <f t="shared" ca="1" si="228"/>
        <v>44939</v>
      </c>
      <c r="AR591" s="3">
        <f t="shared" ca="1" si="224"/>
        <v>632750.23999999964</v>
      </c>
      <c r="AS591" s="63">
        <f ca="1">IF($AQ591&lt;&gt;"", INDEX(Inputs!$B$3:$B$101, MATCH($AQ591,Inputs!$A$3:$A$101,1)), "")</f>
        <v>3.1E-2</v>
      </c>
      <c r="AT591" s="48">
        <f t="shared" ca="1" si="229"/>
        <v>53.740431342465726</v>
      </c>
      <c r="AU591" s="3">
        <f t="shared" ca="1" si="225"/>
        <v>1846.2595686575344</v>
      </c>
      <c r="AV591" s="3">
        <f t="shared" ca="1" si="226"/>
        <v>1846.2595686575344</v>
      </c>
    </row>
    <row r="592" spans="13:48" x14ac:dyDescent="0.2">
      <c r="AQ592" s="4">
        <f t="shared" ca="1" si="228"/>
        <v>44940</v>
      </c>
      <c r="AR592" s="3">
        <f t="shared" ca="1" si="224"/>
        <v>632750.23999999964</v>
      </c>
      <c r="AS592" s="63">
        <f ca="1">IF($AQ592&lt;&gt;"", INDEX(Inputs!$B$3:$B$101, MATCH($AQ592,Inputs!$A$3:$A$101,1)), "")</f>
        <v>3.1E-2</v>
      </c>
      <c r="AT592" s="48">
        <f t="shared" ca="1" si="229"/>
        <v>53.740431342465726</v>
      </c>
      <c r="AU592" s="3">
        <f t="shared" ca="1" si="225"/>
        <v>-53.740431342465726</v>
      </c>
      <c r="AV592" s="3">
        <f t="shared" ca="1" si="226"/>
        <v>-53.740431342465726</v>
      </c>
    </row>
    <row r="593" spans="43:48" x14ac:dyDescent="0.2">
      <c r="AQ593" s="4">
        <f t="shared" ca="1" si="228"/>
        <v>44941</v>
      </c>
      <c r="AR593" s="3">
        <f t="shared" ca="1" si="224"/>
        <v>632750.23999999964</v>
      </c>
      <c r="AS593" s="63">
        <f ca="1">IF($AQ593&lt;&gt;"", INDEX(Inputs!$B$3:$B$101, MATCH($AQ593,Inputs!$A$3:$A$101,1)), "")</f>
        <v>3.1E-2</v>
      </c>
      <c r="AT593" s="48">
        <f t="shared" ca="1" si="229"/>
        <v>53.740431342465726</v>
      </c>
      <c r="AU593" s="3">
        <f t="shared" ca="1" si="225"/>
        <v>-53.740431342465726</v>
      </c>
      <c r="AV593" s="3">
        <f t="shared" ca="1" si="226"/>
        <v>-53.740431342465726</v>
      </c>
    </row>
    <row r="594" spans="43:48" x14ac:dyDescent="0.2">
      <c r="AQ594" s="4">
        <f t="shared" ca="1" si="228"/>
        <v>44942</v>
      </c>
      <c r="AR594" s="3">
        <f t="shared" ca="1" si="224"/>
        <v>645222.11999999965</v>
      </c>
      <c r="AS594" s="63">
        <f ca="1">IF($AQ594&lt;&gt;"", INDEX(Inputs!$B$3:$B$101, MATCH($AQ594,Inputs!$A$3:$A$101,1)), "")</f>
        <v>3.1E-2</v>
      </c>
      <c r="AT594" s="48">
        <f t="shared" ca="1" si="229"/>
        <v>54.799686904109556</v>
      </c>
      <c r="AU594" s="3">
        <f t="shared" ca="1" si="225"/>
        <v>-12526.67968690411</v>
      </c>
      <c r="AV594" s="3">
        <f t="shared" ca="1" si="226"/>
        <v>-12526.67968690411</v>
      </c>
    </row>
    <row r="595" spans="43:48" x14ac:dyDescent="0.2">
      <c r="AQ595" s="4">
        <f t="shared" ca="1" si="228"/>
        <v>44943</v>
      </c>
      <c r="AR595" s="3">
        <f t="shared" ca="1" si="224"/>
        <v>645222.11999999965</v>
      </c>
      <c r="AS595" s="63">
        <f ca="1">IF($AQ595&lt;&gt;"", INDEX(Inputs!$B$3:$B$101, MATCH($AQ595,Inputs!$A$3:$A$101,1)), "")</f>
        <v>3.1E-2</v>
      </c>
      <c r="AT595" s="48">
        <f t="shared" ca="1" si="229"/>
        <v>54.799686904109556</v>
      </c>
      <c r="AU595" s="3">
        <f t="shared" ca="1" si="225"/>
        <v>-54.799686904109556</v>
      </c>
      <c r="AV595" s="3">
        <f t="shared" ca="1" si="226"/>
        <v>-54.799686904109556</v>
      </c>
    </row>
    <row r="596" spans="43:48" x14ac:dyDescent="0.2">
      <c r="AQ596" s="4">
        <f t="shared" ca="1" si="228"/>
        <v>44944</v>
      </c>
      <c r="AR596" s="3">
        <f t="shared" ca="1" si="224"/>
        <v>645222.11999999965</v>
      </c>
      <c r="AS596" s="63">
        <f ca="1">IF($AQ596&lt;&gt;"", INDEX(Inputs!$B$3:$B$101, MATCH($AQ596,Inputs!$A$3:$A$101,1)), "")</f>
        <v>3.1E-2</v>
      </c>
      <c r="AT596" s="48">
        <f t="shared" ca="1" si="229"/>
        <v>54.799686904109556</v>
      </c>
      <c r="AU596" s="3">
        <f t="shared" ca="1" si="225"/>
        <v>-54.799686904109556</v>
      </c>
      <c r="AV596" s="3">
        <f t="shared" ca="1" si="226"/>
        <v>-54.799686904109556</v>
      </c>
    </row>
    <row r="597" spans="43:48" x14ac:dyDescent="0.2">
      <c r="AQ597" s="4">
        <f t="shared" ca="1" si="228"/>
        <v>44945</v>
      </c>
      <c r="AR597" s="3">
        <f t="shared" ca="1" si="224"/>
        <v>645222.11999999965</v>
      </c>
      <c r="AS597" s="63">
        <f ca="1">IF($AQ597&lt;&gt;"", INDEX(Inputs!$B$3:$B$101, MATCH($AQ597,Inputs!$A$3:$A$101,1)), "")</f>
        <v>3.1E-2</v>
      </c>
      <c r="AT597" s="48">
        <f t="shared" ca="1" si="229"/>
        <v>54.799686904109556</v>
      </c>
      <c r="AU597" s="3">
        <f t="shared" ca="1" si="225"/>
        <v>-54.799686904109556</v>
      </c>
      <c r="AV597" s="3">
        <f t="shared" ca="1" si="226"/>
        <v>-54.799686904109556</v>
      </c>
    </row>
    <row r="598" spans="43:48" x14ac:dyDescent="0.2">
      <c r="AQ598" s="4">
        <f t="shared" ca="1" si="228"/>
        <v>44946</v>
      </c>
      <c r="AR598" s="3">
        <f t="shared" ca="1" si="224"/>
        <v>645222.11999999965</v>
      </c>
      <c r="AS598" s="63">
        <f ca="1">IF($AQ598&lt;&gt;"", INDEX(Inputs!$B$3:$B$101, MATCH($AQ598,Inputs!$A$3:$A$101,1)), "")</f>
        <v>3.1E-2</v>
      </c>
      <c r="AT598" s="48">
        <f t="shared" ca="1" si="229"/>
        <v>54.799686904109556</v>
      </c>
      <c r="AU598" s="3">
        <f t="shared" ca="1" si="225"/>
        <v>1845.2003130958904</v>
      </c>
      <c r="AV598" s="3">
        <f t="shared" ca="1" si="226"/>
        <v>1845.2003130958904</v>
      </c>
    </row>
    <row r="599" spans="43:48" x14ac:dyDescent="0.2">
      <c r="AQ599" s="4">
        <f t="shared" ca="1" si="228"/>
        <v>44947</v>
      </c>
      <c r="AR599" s="3">
        <f t="shared" ca="1" si="224"/>
        <v>645222.11999999965</v>
      </c>
      <c r="AS599" s="63">
        <f ca="1">IF($AQ599&lt;&gt;"", INDEX(Inputs!$B$3:$B$101, MATCH($AQ599,Inputs!$A$3:$A$101,1)), "")</f>
        <v>3.1E-2</v>
      </c>
      <c r="AT599" s="48">
        <f t="shared" ca="1" si="229"/>
        <v>54.799686904109556</v>
      </c>
      <c r="AU599" s="3">
        <f t="shared" ca="1" si="225"/>
        <v>-54.799686904109556</v>
      </c>
      <c r="AV599" s="3">
        <f t="shared" ca="1" si="226"/>
        <v>-54.799686904109556</v>
      </c>
    </row>
    <row r="600" spans="43:48" x14ac:dyDescent="0.2">
      <c r="AQ600" s="4">
        <f t="shared" ca="1" si="228"/>
        <v>44948</v>
      </c>
      <c r="AR600" s="3">
        <f t="shared" ca="1" si="224"/>
        <v>645222.11999999965</v>
      </c>
      <c r="AS600" s="63">
        <f ca="1">IF($AQ600&lt;&gt;"", INDEX(Inputs!$B$3:$B$101, MATCH($AQ600,Inputs!$A$3:$A$101,1)), "")</f>
        <v>3.1E-2</v>
      </c>
      <c r="AT600" s="48">
        <f t="shared" ca="1" si="229"/>
        <v>54.799686904109556</v>
      </c>
      <c r="AU600" s="3">
        <f t="shared" ca="1" si="225"/>
        <v>-54.799686904109556</v>
      </c>
      <c r="AV600" s="3">
        <f t="shared" ca="1" si="226"/>
        <v>-54.799686904109556</v>
      </c>
    </row>
    <row r="601" spans="43:48" x14ac:dyDescent="0.2">
      <c r="AQ601" s="4">
        <f t="shared" ca="1" si="228"/>
        <v>44949</v>
      </c>
      <c r="AR601" s="3">
        <f t="shared" ref="AR601:AR664" ca="1" si="230">IF($AQ601&lt;&gt;"", INDEX($AC$3:$AC$1055, MATCH($AQ601,$A$3:$A$1055,1)), "")</f>
        <v>645222.11999999965</v>
      </c>
      <c r="AS601" s="63">
        <f ca="1">IF($AQ601&lt;&gt;"", INDEX(Inputs!$B$3:$B$101, MATCH($AQ601,Inputs!$A$3:$A$101,1)), "")</f>
        <v>3.1E-2</v>
      </c>
      <c r="AT601" s="48">
        <f t="shared" ca="1" si="229"/>
        <v>54.799686904109556</v>
      </c>
      <c r="AU601" s="3">
        <f t="shared" ref="AU601:AU664" ca="1" si="231">IF($AQ601&lt;&gt;"", SUMIFS($AL$3:$AL$1054, $A$3:$A$1054,$AQ601) + SUMIFS($M$3:$M$1054, $A$3:$A$1054,$AQ601)*IFERROR(AVERAGEIFS($L$3:$L$1054, $A$3:$A$1054,$AQ601, $M$3:$M$1054,"&gt;0"),0) - AT601, "")</f>
        <v>-54.799686904109556</v>
      </c>
      <c r="AV601" s="3">
        <f t="shared" ca="1" si="226"/>
        <v>-54.799686904109556</v>
      </c>
    </row>
    <row r="602" spans="43:48" x14ac:dyDescent="0.2">
      <c r="AQ602" s="4">
        <f t="shared" ca="1" si="228"/>
        <v>44950</v>
      </c>
      <c r="AR602" s="3">
        <f t="shared" ca="1" si="230"/>
        <v>645222.11999999965</v>
      </c>
      <c r="AS602" s="63">
        <f ca="1">IF($AQ602&lt;&gt;"", INDEX(Inputs!$B$3:$B$101, MATCH($AQ602,Inputs!$A$3:$A$101,1)), "")</f>
        <v>3.1E-2</v>
      </c>
      <c r="AT602" s="48">
        <f t="shared" ca="1" si="229"/>
        <v>54.799686904109556</v>
      </c>
      <c r="AU602" s="3">
        <f t="shared" ca="1" si="231"/>
        <v>-54.799686904109556</v>
      </c>
      <c r="AV602" s="3">
        <f t="shared" ca="1" si="226"/>
        <v>-54.799686904109556</v>
      </c>
    </row>
    <row r="603" spans="43:48" x14ac:dyDescent="0.2">
      <c r="AQ603" s="4">
        <f t="shared" ca="1" si="228"/>
        <v>44951</v>
      </c>
      <c r="AR603" s="3">
        <f t="shared" ca="1" si="230"/>
        <v>645222.11999999965</v>
      </c>
      <c r="AS603" s="63">
        <f ca="1">IF($AQ603&lt;&gt;"", INDEX(Inputs!$B$3:$B$101, MATCH($AQ603,Inputs!$A$3:$A$101,1)), "")</f>
        <v>3.1E-2</v>
      </c>
      <c r="AT603" s="48">
        <f t="shared" ca="1" si="229"/>
        <v>54.799686904109556</v>
      </c>
      <c r="AU603" s="3">
        <f t="shared" ca="1" si="231"/>
        <v>-54.799686904109556</v>
      </c>
      <c r="AV603" s="3">
        <f t="shared" ca="1" si="226"/>
        <v>-54.799686904109556</v>
      </c>
    </row>
    <row r="604" spans="43:48" x14ac:dyDescent="0.2">
      <c r="AQ604" s="4">
        <f t="shared" ca="1" si="228"/>
        <v>44952</v>
      </c>
      <c r="AR604" s="3">
        <f t="shared" ca="1" si="230"/>
        <v>645222.11999999965</v>
      </c>
      <c r="AS604" s="63">
        <f ca="1">IF($AQ604&lt;&gt;"", INDEX(Inputs!$B$3:$B$101, MATCH($AQ604,Inputs!$A$3:$A$101,1)), "")</f>
        <v>3.1E-2</v>
      </c>
      <c r="AT604" s="48">
        <f t="shared" ca="1" si="229"/>
        <v>54.799686904109556</v>
      </c>
      <c r="AU604" s="3">
        <f t="shared" ca="1" si="231"/>
        <v>-54.799686904109556</v>
      </c>
      <c r="AV604" s="3">
        <f t="shared" ca="1" si="226"/>
        <v>-54.799686904109556</v>
      </c>
    </row>
    <row r="605" spans="43:48" x14ac:dyDescent="0.2">
      <c r="AQ605" s="4">
        <f t="shared" ca="1" si="228"/>
        <v>44953</v>
      </c>
      <c r="AR605" s="3">
        <f t="shared" ca="1" si="230"/>
        <v>645222.11999999965</v>
      </c>
      <c r="AS605" s="63">
        <f ca="1">IF($AQ605&lt;&gt;"", INDEX(Inputs!$B$3:$B$101, MATCH($AQ605,Inputs!$A$3:$A$101,1)), "")</f>
        <v>3.1E-2</v>
      </c>
      <c r="AT605" s="48">
        <f t="shared" ca="1" si="229"/>
        <v>54.799686904109556</v>
      </c>
      <c r="AU605" s="3">
        <f t="shared" ca="1" si="231"/>
        <v>1845.2003130958904</v>
      </c>
      <c r="AV605" s="3">
        <f t="shared" ca="1" si="226"/>
        <v>1845.2003130958904</v>
      </c>
    </row>
    <row r="606" spans="43:48" x14ac:dyDescent="0.2">
      <c r="AQ606" s="4">
        <f t="shared" ca="1" si="228"/>
        <v>44954</v>
      </c>
      <c r="AR606" s="3">
        <f t="shared" ca="1" si="230"/>
        <v>645222.11999999965</v>
      </c>
      <c r="AS606" s="63">
        <f ca="1">IF($AQ606&lt;&gt;"", INDEX(Inputs!$B$3:$B$101, MATCH($AQ606,Inputs!$A$3:$A$101,1)), "")</f>
        <v>3.1E-2</v>
      </c>
      <c r="AT606" s="48">
        <f t="shared" ca="1" si="229"/>
        <v>54.799686904109556</v>
      </c>
      <c r="AU606" s="3">
        <f t="shared" ca="1" si="231"/>
        <v>-54.799686904109556</v>
      </c>
      <c r="AV606" s="3">
        <f t="shared" ca="1" si="226"/>
        <v>-54.799686904109556</v>
      </c>
    </row>
    <row r="607" spans="43:48" x14ac:dyDescent="0.2">
      <c r="AQ607" s="4">
        <f t="shared" ca="1" si="228"/>
        <v>44955</v>
      </c>
      <c r="AR607" s="3">
        <f t="shared" ca="1" si="230"/>
        <v>645222.11999999965</v>
      </c>
      <c r="AS607" s="63">
        <f ca="1">IF($AQ607&lt;&gt;"", INDEX(Inputs!$B$3:$B$101, MATCH($AQ607,Inputs!$A$3:$A$101,1)), "")</f>
        <v>3.1E-2</v>
      </c>
      <c r="AT607" s="48">
        <f t="shared" ca="1" si="229"/>
        <v>54.799686904109556</v>
      </c>
      <c r="AU607" s="3">
        <f t="shared" ca="1" si="231"/>
        <v>-54.799686904109556</v>
      </c>
      <c r="AV607" s="3">
        <f t="shared" ca="1" si="226"/>
        <v>-54.799686904109556</v>
      </c>
    </row>
    <row r="608" spans="43:48" x14ac:dyDescent="0.2">
      <c r="AQ608" s="4">
        <f t="shared" ca="1" si="228"/>
        <v>44956</v>
      </c>
      <c r="AR608" s="3">
        <f t="shared" ca="1" si="230"/>
        <v>645222.11999999965</v>
      </c>
      <c r="AS608" s="63">
        <f ca="1">IF($AQ608&lt;&gt;"", INDEX(Inputs!$B$3:$B$101, MATCH($AQ608,Inputs!$A$3:$A$101,1)), "")</f>
        <v>3.1E-2</v>
      </c>
      <c r="AT608" s="48">
        <f t="shared" ca="1" si="229"/>
        <v>54.799686904109556</v>
      </c>
      <c r="AU608" s="3">
        <f t="shared" ca="1" si="231"/>
        <v>-54.799686904109556</v>
      </c>
      <c r="AV608" s="3">
        <f t="shared" ref="AV608:AV671" ca="1" si="232">IF(AQ608&lt;&gt;"", AU608*(1+$X$9/CompoundingRate)^-((AQ608-AQ$3)/(365/CompoundingRate)), "")</f>
        <v>-54.799686904109556</v>
      </c>
    </row>
    <row r="609" spans="43:48" x14ac:dyDescent="0.2">
      <c r="AQ609" s="4">
        <f t="shared" ca="1" si="228"/>
        <v>44957</v>
      </c>
      <c r="AR609" s="3">
        <f t="shared" ca="1" si="230"/>
        <v>638991.86999999965</v>
      </c>
      <c r="AS609" s="63">
        <f ca="1">IF($AQ609&lt;&gt;"", INDEX(Inputs!$B$3:$B$101, MATCH($AQ609,Inputs!$A$3:$A$101,1)), "")</f>
        <v>3.1E-2</v>
      </c>
      <c r="AT609" s="48">
        <f t="shared" ca="1" si="229"/>
        <v>54.270542383561612</v>
      </c>
      <c r="AU609" s="3">
        <f t="shared" ca="1" si="231"/>
        <v>-54.270542383561612</v>
      </c>
      <c r="AV609" s="3">
        <f t="shared" ca="1" si="232"/>
        <v>-54.270542383561612</v>
      </c>
    </row>
    <row r="610" spans="43:48" x14ac:dyDescent="0.2">
      <c r="AQ610" s="4">
        <f t="shared" ca="1" si="228"/>
        <v>44958</v>
      </c>
      <c r="AR610" s="3">
        <f t="shared" ca="1" si="230"/>
        <v>638991.86999999965</v>
      </c>
      <c r="AS610" s="63">
        <f ca="1">IF($AQ610&lt;&gt;"", INDEX(Inputs!$B$3:$B$101, MATCH($AQ610,Inputs!$A$3:$A$101,1)), "")</f>
        <v>3.1E-2</v>
      </c>
      <c r="AT610" s="48">
        <f t="shared" ca="1" si="229"/>
        <v>54.270542383561612</v>
      </c>
      <c r="AU610" s="3">
        <f t="shared" ca="1" si="231"/>
        <v>-3178.3205423835616</v>
      </c>
      <c r="AV610" s="3">
        <f t="shared" ca="1" si="232"/>
        <v>-3178.3205423835616</v>
      </c>
    </row>
    <row r="611" spans="43:48" x14ac:dyDescent="0.2">
      <c r="AQ611" s="4">
        <f t="shared" ca="1" si="228"/>
        <v>44959</v>
      </c>
      <c r="AR611" s="3">
        <f t="shared" ca="1" si="230"/>
        <v>638991.86999999965</v>
      </c>
      <c r="AS611" s="63">
        <f ca="1">IF($AQ611&lt;&gt;"", INDEX(Inputs!$B$3:$B$101, MATCH($AQ611,Inputs!$A$3:$A$101,1)), "")</f>
        <v>3.1E-2</v>
      </c>
      <c r="AT611" s="48">
        <f t="shared" ca="1" si="229"/>
        <v>54.270542383561612</v>
      </c>
      <c r="AU611" s="3">
        <f t="shared" ca="1" si="231"/>
        <v>-54.270542383561612</v>
      </c>
      <c r="AV611" s="3">
        <f t="shared" ca="1" si="232"/>
        <v>-54.270542383561612</v>
      </c>
    </row>
    <row r="612" spans="43:48" x14ac:dyDescent="0.2">
      <c r="AQ612" s="4">
        <f t="shared" ca="1" si="228"/>
        <v>44960</v>
      </c>
      <c r="AR612" s="3">
        <f t="shared" ca="1" si="230"/>
        <v>638991.86999999965</v>
      </c>
      <c r="AS612" s="63">
        <f ca="1">IF($AQ612&lt;&gt;"", INDEX(Inputs!$B$3:$B$101, MATCH($AQ612,Inputs!$A$3:$A$101,1)), "")</f>
        <v>3.1E-2</v>
      </c>
      <c r="AT612" s="48">
        <f t="shared" ca="1" si="229"/>
        <v>54.270542383561612</v>
      </c>
      <c r="AU612" s="3">
        <f t="shared" ca="1" si="231"/>
        <v>1845.7294576164384</v>
      </c>
      <c r="AV612" s="3">
        <f t="shared" ca="1" si="232"/>
        <v>1845.7294576164384</v>
      </c>
    </row>
    <row r="613" spans="43:48" x14ac:dyDescent="0.2">
      <c r="AQ613" s="4">
        <f t="shared" ca="1" si="228"/>
        <v>44961</v>
      </c>
      <c r="AR613" s="3">
        <f t="shared" ca="1" si="230"/>
        <v>638991.86999999965</v>
      </c>
      <c r="AS613" s="63">
        <f ca="1">IF($AQ613&lt;&gt;"", INDEX(Inputs!$B$3:$B$101, MATCH($AQ613,Inputs!$A$3:$A$101,1)), "")</f>
        <v>3.1E-2</v>
      </c>
      <c r="AT613" s="48">
        <f t="shared" ca="1" si="229"/>
        <v>54.270542383561612</v>
      </c>
      <c r="AU613" s="3">
        <f t="shared" ca="1" si="231"/>
        <v>-54.270542383561612</v>
      </c>
      <c r="AV613" s="3">
        <f t="shared" ca="1" si="232"/>
        <v>-54.270542383561612</v>
      </c>
    </row>
    <row r="614" spans="43:48" x14ac:dyDescent="0.2">
      <c r="AQ614" s="4">
        <f t="shared" ca="1" si="228"/>
        <v>44962</v>
      </c>
      <c r="AR614" s="3">
        <f t="shared" ca="1" si="230"/>
        <v>638991.86999999965</v>
      </c>
      <c r="AS614" s="63">
        <f ca="1">IF($AQ614&lt;&gt;"", INDEX(Inputs!$B$3:$B$101, MATCH($AQ614,Inputs!$A$3:$A$101,1)), "")</f>
        <v>3.1E-2</v>
      </c>
      <c r="AT614" s="48">
        <f t="shared" ca="1" si="229"/>
        <v>54.270542383561612</v>
      </c>
      <c r="AU614" s="3">
        <f t="shared" ca="1" si="231"/>
        <v>-54.270542383561612</v>
      </c>
      <c r="AV614" s="3">
        <f t="shared" ca="1" si="232"/>
        <v>-54.270542383561612</v>
      </c>
    </row>
    <row r="615" spans="43:48" x14ac:dyDescent="0.2">
      <c r="AQ615" s="4">
        <f t="shared" ca="1" si="228"/>
        <v>44963</v>
      </c>
      <c r="AR615" s="3">
        <f t="shared" ca="1" si="230"/>
        <v>638991.86999999965</v>
      </c>
      <c r="AS615" s="63">
        <f ca="1">IF($AQ615&lt;&gt;"", INDEX(Inputs!$B$3:$B$101, MATCH($AQ615,Inputs!$A$3:$A$101,1)), "")</f>
        <v>3.1E-2</v>
      </c>
      <c r="AT615" s="48">
        <f t="shared" ca="1" si="229"/>
        <v>54.270542383561612</v>
      </c>
      <c r="AU615" s="3">
        <f t="shared" ca="1" si="231"/>
        <v>-54.270542383561612</v>
      </c>
      <c r="AV615" s="3">
        <f t="shared" ca="1" si="232"/>
        <v>-54.270542383561612</v>
      </c>
    </row>
    <row r="616" spans="43:48" x14ac:dyDescent="0.2">
      <c r="AQ616" s="4">
        <f t="shared" ca="1" si="228"/>
        <v>44964</v>
      </c>
      <c r="AR616" s="3">
        <f t="shared" ca="1" si="230"/>
        <v>638991.86999999965</v>
      </c>
      <c r="AS616" s="63">
        <f ca="1">IF($AQ616&lt;&gt;"", INDEX(Inputs!$B$3:$B$101, MATCH($AQ616,Inputs!$A$3:$A$101,1)), "")</f>
        <v>3.1E-2</v>
      </c>
      <c r="AT616" s="48">
        <f t="shared" ca="1" si="229"/>
        <v>54.270542383561612</v>
      </c>
      <c r="AU616" s="3">
        <f t="shared" ca="1" si="231"/>
        <v>-54.270542383561612</v>
      </c>
      <c r="AV616" s="3">
        <f t="shared" ca="1" si="232"/>
        <v>-54.270542383561612</v>
      </c>
    </row>
    <row r="617" spans="43:48" x14ac:dyDescent="0.2">
      <c r="AQ617" s="4">
        <f t="shared" ca="1" si="228"/>
        <v>44965</v>
      </c>
      <c r="AR617" s="3">
        <f t="shared" ca="1" si="230"/>
        <v>638991.86999999965</v>
      </c>
      <c r="AS617" s="63">
        <f ca="1">IF($AQ617&lt;&gt;"", INDEX(Inputs!$B$3:$B$101, MATCH($AQ617,Inputs!$A$3:$A$101,1)), "")</f>
        <v>3.3500000000000002E-2</v>
      </c>
      <c r="AT617" s="48">
        <f t="shared" ca="1" si="229"/>
        <v>58.647199027397228</v>
      </c>
      <c r="AU617" s="3">
        <f t="shared" ca="1" si="231"/>
        <v>-58.647199027397228</v>
      </c>
      <c r="AV617" s="3">
        <f t="shared" ca="1" si="232"/>
        <v>-58.647199027397228</v>
      </c>
    </row>
    <row r="618" spans="43:48" x14ac:dyDescent="0.2">
      <c r="AQ618" s="4">
        <f t="shared" ca="1" si="228"/>
        <v>44966</v>
      </c>
      <c r="AR618" s="3">
        <f t="shared" ca="1" si="230"/>
        <v>638991.86999999965</v>
      </c>
      <c r="AS618" s="63">
        <f ca="1">IF($AQ618&lt;&gt;"", INDEX(Inputs!$B$3:$B$101, MATCH($AQ618,Inputs!$A$3:$A$101,1)), "")</f>
        <v>3.3500000000000002E-2</v>
      </c>
      <c r="AT618" s="48">
        <f t="shared" ca="1" si="229"/>
        <v>58.647199027397228</v>
      </c>
      <c r="AU618" s="3">
        <f t="shared" ca="1" si="231"/>
        <v>-58.647199027397228</v>
      </c>
      <c r="AV618" s="3">
        <f t="shared" ca="1" si="232"/>
        <v>-58.647199027397228</v>
      </c>
    </row>
    <row r="619" spans="43:48" x14ac:dyDescent="0.2">
      <c r="AQ619" s="4">
        <f t="shared" ca="1" si="228"/>
        <v>44967</v>
      </c>
      <c r="AR619" s="3">
        <f t="shared" ca="1" si="230"/>
        <v>638991.86999999965</v>
      </c>
      <c r="AS619" s="63">
        <f ca="1">IF($AQ619&lt;&gt;"", INDEX(Inputs!$B$3:$B$101, MATCH($AQ619,Inputs!$A$3:$A$101,1)), "")</f>
        <v>3.3500000000000002E-2</v>
      </c>
      <c r="AT619" s="48">
        <f t="shared" ca="1" si="229"/>
        <v>58.647199027397228</v>
      </c>
      <c r="AU619" s="3">
        <f t="shared" ca="1" si="231"/>
        <v>1841.3528009726028</v>
      </c>
      <c r="AV619" s="3">
        <f t="shared" ca="1" si="232"/>
        <v>1841.3528009726028</v>
      </c>
    </row>
    <row r="620" spans="43:48" x14ac:dyDescent="0.2">
      <c r="AQ620" s="4">
        <f t="shared" ca="1" si="228"/>
        <v>44968</v>
      </c>
      <c r="AR620" s="3">
        <f t="shared" ca="1" si="230"/>
        <v>638991.86999999965</v>
      </c>
      <c r="AS620" s="63">
        <f ca="1">IF($AQ620&lt;&gt;"", INDEX(Inputs!$B$3:$B$101, MATCH($AQ620,Inputs!$A$3:$A$101,1)), "")</f>
        <v>3.3500000000000002E-2</v>
      </c>
      <c r="AT620" s="48">
        <f t="shared" ca="1" si="229"/>
        <v>58.647199027397228</v>
      </c>
      <c r="AU620" s="3">
        <f t="shared" ca="1" si="231"/>
        <v>-58.647199027397228</v>
      </c>
      <c r="AV620" s="3">
        <f t="shared" ca="1" si="232"/>
        <v>-58.647199027397228</v>
      </c>
    </row>
    <row r="621" spans="43:48" x14ac:dyDescent="0.2">
      <c r="AQ621" s="4">
        <f t="shared" ca="1" si="228"/>
        <v>44969</v>
      </c>
      <c r="AR621" s="3">
        <f t="shared" ca="1" si="230"/>
        <v>638991.86999999965</v>
      </c>
      <c r="AS621" s="63">
        <f ca="1">IF($AQ621&lt;&gt;"", INDEX(Inputs!$B$3:$B$101, MATCH($AQ621,Inputs!$A$3:$A$101,1)), "")</f>
        <v>3.3500000000000002E-2</v>
      </c>
      <c r="AT621" s="48">
        <f t="shared" ca="1" si="229"/>
        <v>58.647199027397228</v>
      </c>
      <c r="AU621" s="3">
        <f t="shared" ca="1" si="231"/>
        <v>-58.647199027397228</v>
      </c>
      <c r="AV621" s="3">
        <f t="shared" ca="1" si="232"/>
        <v>-58.647199027397228</v>
      </c>
    </row>
    <row r="622" spans="43:48" x14ac:dyDescent="0.2">
      <c r="AQ622" s="4">
        <f t="shared" ca="1" si="228"/>
        <v>44970</v>
      </c>
      <c r="AR622" s="3">
        <f t="shared" ca="1" si="230"/>
        <v>638991.86999999965</v>
      </c>
      <c r="AS622" s="63">
        <f ca="1">IF($AQ622&lt;&gt;"", INDEX(Inputs!$B$3:$B$101, MATCH($AQ622,Inputs!$A$3:$A$101,1)), "")</f>
        <v>3.3500000000000002E-2</v>
      </c>
      <c r="AT622" s="48">
        <f t="shared" ca="1" si="229"/>
        <v>58.647199027397228</v>
      </c>
      <c r="AU622" s="3">
        <f t="shared" ca="1" si="231"/>
        <v>-58.647199027397228</v>
      </c>
      <c r="AV622" s="3">
        <f t="shared" ca="1" si="232"/>
        <v>-58.647199027397228</v>
      </c>
    </row>
    <row r="623" spans="43:48" x14ac:dyDescent="0.2">
      <c r="AQ623" s="4">
        <f t="shared" ca="1" si="228"/>
        <v>44971</v>
      </c>
      <c r="AR623" s="3">
        <f t="shared" ca="1" si="230"/>
        <v>638991.86999999965</v>
      </c>
      <c r="AS623" s="63">
        <f ca="1">IF($AQ623&lt;&gt;"", INDEX(Inputs!$B$3:$B$101, MATCH($AQ623,Inputs!$A$3:$A$101,1)), "")</f>
        <v>3.3500000000000002E-2</v>
      </c>
      <c r="AT623" s="48">
        <f t="shared" ca="1" si="229"/>
        <v>58.647199027397228</v>
      </c>
      <c r="AU623" s="3">
        <f t="shared" ca="1" si="231"/>
        <v>-58.647199027397228</v>
      </c>
      <c r="AV623" s="3">
        <f t="shared" ca="1" si="232"/>
        <v>-58.647199027397228</v>
      </c>
    </row>
    <row r="624" spans="43:48" x14ac:dyDescent="0.2">
      <c r="AQ624" s="4">
        <f t="shared" ca="1" si="228"/>
        <v>44972</v>
      </c>
      <c r="AR624" s="3">
        <f t="shared" ca="1" si="230"/>
        <v>638991.86999999965</v>
      </c>
      <c r="AS624" s="63">
        <f ca="1">IF($AQ624&lt;&gt;"", INDEX(Inputs!$B$3:$B$101, MATCH($AQ624,Inputs!$A$3:$A$101,1)), "")</f>
        <v>3.3500000000000002E-2</v>
      </c>
      <c r="AT624" s="48">
        <f t="shared" ca="1" si="229"/>
        <v>58.647199027397228</v>
      </c>
      <c r="AU624" s="3">
        <f t="shared" ca="1" si="231"/>
        <v>-58.647199027397228</v>
      </c>
      <c r="AV624" s="3">
        <f t="shared" ca="1" si="232"/>
        <v>-58.647199027397228</v>
      </c>
    </row>
    <row r="625" spans="43:48" x14ac:dyDescent="0.2">
      <c r="AQ625" s="4">
        <f t="shared" ca="1" si="228"/>
        <v>44973</v>
      </c>
      <c r="AR625" s="3">
        <f t="shared" ca="1" si="230"/>
        <v>651463.74999999965</v>
      </c>
      <c r="AS625" s="63">
        <f ca="1">IF($AQ625&lt;&gt;"", INDEX(Inputs!$B$3:$B$101, MATCH($AQ625,Inputs!$A$3:$A$101,1)), "")</f>
        <v>3.3500000000000002E-2</v>
      </c>
      <c r="AT625" s="48">
        <f t="shared" ca="1" si="229"/>
        <v>59.791878424657504</v>
      </c>
      <c r="AU625" s="3">
        <f t="shared" ca="1" si="231"/>
        <v>-12531.671878424659</v>
      </c>
      <c r="AV625" s="3">
        <f t="shared" ca="1" si="232"/>
        <v>-12531.671878424659</v>
      </c>
    </row>
    <row r="626" spans="43:48" x14ac:dyDescent="0.2">
      <c r="AQ626" s="4">
        <f t="shared" ca="1" si="228"/>
        <v>44974</v>
      </c>
      <c r="AR626" s="3">
        <f t="shared" ca="1" si="230"/>
        <v>651463.74999999965</v>
      </c>
      <c r="AS626" s="63">
        <f ca="1">IF($AQ626&lt;&gt;"", INDEX(Inputs!$B$3:$B$101, MATCH($AQ626,Inputs!$A$3:$A$101,1)), "")</f>
        <v>3.3500000000000002E-2</v>
      </c>
      <c r="AT626" s="48">
        <f t="shared" ca="1" si="229"/>
        <v>59.791878424657504</v>
      </c>
      <c r="AU626" s="3">
        <f t="shared" ca="1" si="231"/>
        <v>1840.2081215753426</v>
      </c>
      <c r="AV626" s="3">
        <f t="shared" ca="1" si="232"/>
        <v>1840.2081215753426</v>
      </c>
    </row>
    <row r="627" spans="43:48" x14ac:dyDescent="0.2">
      <c r="AQ627" s="4">
        <f t="shared" ca="1" si="228"/>
        <v>44975</v>
      </c>
      <c r="AR627" s="3">
        <f t="shared" ca="1" si="230"/>
        <v>651463.74999999965</v>
      </c>
      <c r="AS627" s="63">
        <f ca="1">IF($AQ627&lt;&gt;"", INDEX(Inputs!$B$3:$B$101, MATCH($AQ627,Inputs!$A$3:$A$101,1)), "")</f>
        <v>3.3500000000000002E-2</v>
      </c>
      <c r="AT627" s="48">
        <f t="shared" ca="1" si="229"/>
        <v>59.791878424657504</v>
      </c>
      <c r="AU627" s="3">
        <f t="shared" ca="1" si="231"/>
        <v>-59.791878424657504</v>
      </c>
      <c r="AV627" s="3">
        <f t="shared" ca="1" si="232"/>
        <v>-59.791878424657504</v>
      </c>
    </row>
    <row r="628" spans="43:48" x14ac:dyDescent="0.2">
      <c r="AQ628" s="4">
        <f t="shared" ca="1" si="228"/>
        <v>44976</v>
      </c>
      <c r="AR628" s="3">
        <f t="shared" ca="1" si="230"/>
        <v>651463.74999999965</v>
      </c>
      <c r="AS628" s="63">
        <f ca="1">IF($AQ628&lt;&gt;"", INDEX(Inputs!$B$3:$B$101, MATCH($AQ628,Inputs!$A$3:$A$101,1)), "")</f>
        <v>3.3500000000000002E-2</v>
      </c>
      <c r="AT628" s="48">
        <f t="shared" ca="1" si="229"/>
        <v>59.791878424657504</v>
      </c>
      <c r="AU628" s="3">
        <f t="shared" ca="1" si="231"/>
        <v>-59.791878424657504</v>
      </c>
      <c r="AV628" s="3">
        <f t="shared" ca="1" si="232"/>
        <v>-59.791878424657504</v>
      </c>
    </row>
    <row r="629" spans="43:48" x14ac:dyDescent="0.2">
      <c r="AQ629" s="4">
        <f t="shared" ca="1" si="228"/>
        <v>44977</v>
      </c>
      <c r="AR629" s="3">
        <f t="shared" ca="1" si="230"/>
        <v>651463.74999999965</v>
      </c>
      <c r="AS629" s="63">
        <f ca="1">IF($AQ629&lt;&gt;"", INDEX(Inputs!$B$3:$B$101, MATCH($AQ629,Inputs!$A$3:$A$101,1)), "")</f>
        <v>3.3500000000000002E-2</v>
      </c>
      <c r="AT629" s="48">
        <f t="shared" ca="1" si="229"/>
        <v>59.791878424657504</v>
      </c>
      <c r="AU629" s="3">
        <f t="shared" ca="1" si="231"/>
        <v>-59.791878424657504</v>
      </c>
      <c r="AV629" s="3">
        <f t="shared" ca="1" si="232"/>
        <v>-59.791878424657504</v>
      </c>
    </row>
    <row r="630" spans="43:48" x14ac:dyDescent="0.2">
      <c r="AQ630" s="4">
        <f t="shared" ca="1" si="228"/>
        <v>44978</v>
      </c>
      <c r="AR630" s="3">
        <f t="shared" ca="1" si="230"/>
        <v>651463.74999999965</v>
      </c>
      <c r="AS630" s="63">
        <f ca="1">IF($AQ630&lt;&gt;"", INDEX(Inputs!$B$3:$B$101, MATCH($AQ630,Inputs!$A$3:$A$101,1)), "")</f>
        <v>3.3500000000000002E-2</v>
      </c>
      <c r="AT630" s="48">
        <f t="shared" ca="1" si="229"/>
        <v>59.791878424657504</v>
      </c>
      <c r="AU630" s="3">
        <f t="shared" ca="1" si="231"/>
        <v>-59.791878424657504</v>
      </c>
      <c r="AV630" s="3">
        <f t="shared" ca="1" si="232"/>
        <v>-59.791878424657504</v>
      </c>
    </row>
    <row r="631" spans="43:48" x14ac:dyDescent="0.2">
      <c r="AQ631" s="4">
        <f t="shared" ca="1" si="228"/>
        <v>44979</v>
      </c>
      <c r="AR631" s="3">
        <f t="shared" ca="1" si="230"/>
        <v>651463.74999999965</v>
      </c>
      <c r="AS631" s="63">
        <f ca="1">IF($AQ631&lt;&gt;"", INDEX(Inputs!$B$3:$B$101, MATCH($AQ631,Inputs!$A$3:$A$101,1)), "")</f>
        <v>3.3500000000000002E-2</v>
      </c>
      <c r="AT631" s="48">
        <f t="shared" ca="1" si="229"/>
        <v>59.791878424657504</v>
      </c>
      <c r="AU631" s="3">
        <f t="shared" ca="1" si="231"/>
        <v>-59.791878424657504</v>
      </c>
      <c r="AV631" s="3">
        <f t="shared" ca="1" si="232"/>
        <v>-59.791878424657504</v>
      </c>
    </row>
    <row r="632" spans="43:48" x14ac:dyDescent="0.2">
      <c r="AQ632" s="4">
        <f t="shared" ca="1" si="228"/>
        <v>44980</v>
      </c>
      <c r="AR632" s="3">
        <f t="shared" ca="1" si="230"/>
        <v>651463.74999999965</v>
      </c>
      <c r="AS632" s="63">
        <f ca="1">IF($AQ632&lt;&gt;"", INDEX(Inputs!$B$3:$B$101, MATCH($AQ632,Inputs!$A$3:$A$101,1)), "")</f>
        <v>3.3500000000000002E-2</v>
      </c>
      <c r="AT632" s="48">
        <f t="shared" ca="1" si="229"/>
        <v>59.791878424657504</v>
      </c>
      <c r="AU632" s="3">
        <f t="shared" ca="1" si="231"/>
        <v>-59.791878424657504</v>
      </c>
      <c r="AV632" s="3">
        <f t="shared" ca="1" si="232"/>
        <v>-59.791878424657504</v>
      </c>
    </row>
    <row r="633" spans="43:48" x14ac:dyDescent="0.2">
      <c r="AQ633" s="4">
        <f t="shared" ref="AQ633:AQ696" ca="1" si="233">IF(AQ632&lt;$AP$3,AQ632+1,"")</f>
        <v>44981</v>
      </c>
      <c r="AR633" s="3">
        <f t="shared" ca="1" si="230"/>
        <v>651463.74999999965</v>
      </c>
      <c r="AS633" s="63">
        <f ca="1">IF($AQ633&lt;&gt;"", INDEX(Inputs!$B$3:$B$101, MATCH($AQ633,Inputs!$A$3:$A$101,1)), "")</f>
        <v>3.3500000000000002E-2</v>
      </c>
      <c r="AT633" s="48">
        <f t="shared" ref="AT633:AT696" ca="1" si="234">IF($AQ633&lt;&gt;"", AR633*AS633/365, "")</f>
        <v>59.791878424657504</v>
      </c>
      <c r="AU633" s="3">
        <f t="shared" ca="1" si="231"/>
        <v>1840.2081215753426</v>
      </c>
      <c r="AV633" s="3">
        <f t="shared" ca="1" si="232"/>
        <v>1840.2081215753426</v>
      </c>
    </row>
    <row r="634" spans="43:48" x14ac:dyDescent="0.2">
      <c r="AQ634" s="4">
        <f t="shared" ca="1" si="233"/>
        <v>44982</v>
      </c>
      <c r="AR634" s="3">
        <f t="shared" ca="1" si="230"/>
        <v>651463.74999999965</v>
      </c>
      <c r="AS634" s="63">
        <f ca="1">IF($AQ634&lt;&gt;"", INDEX(Inputs!$B$3:$B$101, MATCH($AQ634,Inputs!$A$3:$A$101,1)), "")</f>
        <v>3.3500000000000002E-2</v>
      </c>
      <c r="AT634" s="48">
        <f t="shared" ca="1" si="234"/>
        <v>59.791878424657504</v>
      </c>
      <c r="AU634" s="3">
        <f t="shared" ca="1" si="231"/>
        <v>-59.791878424657504</v>
      </c>
      <c r="AV634" s="3">
        <f t="shared" ca="1" si="232"/>
        <v>-59.791878424657504</v>
      </c>
    </row>
    <row r="635" spans="43:48" x14ac:dyDescent="0.2">
      <c r="AQ635" s="4">
        <f t="shared" ca="1" si="233"/>
        <v>44983</v>
      </c>
      <c r="AR635" s="3">
        <f t="shared" ca="1" si="230"/>
        <v>651463.74999999965</v>
      </c>
      <c r="AS635" s="63">
        <f ca="1">IF($AQ635&lt;&gt;"", INDEX(Inputs!$B$3:$B$101, MATCH($AQ635,Inputs!$A$3:$A$101,1)), "")</f>
        <v>3.3500000000000002E-2</v>
      </c>
      <c r="AT635" s="48">
        <f t="shared" ca="1" si="234"/>
        <v>59.791878424657504</v>
      </c>
      <c r="AU635" s="3">
        <f t="shared" ca="1" si="231"/>
        <v>-59.791878424657504</v>
      </c>
      <c r="AV635" s="3">
        <f t="shared" ca="1" si="232"/>
        <v>-59.791878424657504</v>
      </c>
    </row>
    <row r="636" spans="43:48" x14ac:dyDescent="0.2">
      <c r="AQ636" s="4">
        <f t="shared" ca="1" si="233"/>
        <v>44984</v>
      </c>
      <c r="AR636" s="3">
        <f t="shared" ca="1" si="230"/>
        <v>651463.74999999965</v>
      </c>
      <c r="AS636" s="63">
        <f ca="1">IF($AQ636&lt;&gt;"", INDEX(Inputs!$B$3:$B$101, MATCH($AQ636,Inputs!$A$3:$A$101,1)), "")</f>
        <v>3.3500000000000002E-2</v>
      </c>
      <c r="AT636" s="48">
        <f t="shared" ca="1" si="234"/>
        <v>59.791878424657504</v>
      </c>
      <c r="AU636" s="3">
        <f t="shared" ca="1" si="231"/>
        <v>-59.791878424657504</v>
      </c>
      <c r="AV636" s="3">
        <f t="shared" ca="1" si="232"/>
        <v>-59.791878424657504</v>
      </c>
    </row>
    <row r="637" spans="43:48" x14ac:dyDescent="0.2">
      <c r="AQ637" s="4">
        <f t="shared" ca="1" si="233"/>
        <v>44985</v>
      </c>
      <c r="AR637" s="3">
        <f t="shared" ca="1" si="230"/>
        <v>646498.55999999971</v>
      </c>
      <c r="AS637" s="63">
        <f ca="1">IF($AQ637&lt;&gt;"", INDEX(Inputs!$B$3:$B$101, MATCH($AQ637,Inputs!$A$3:$A$101,1)), "")</f>
        <v>3.3500000000000002E-2</v>
      </c>
      <c r="AT637" s="48">
        <f t="shared" ca="1" si="234"/>
        <v>59.336169205479429</v>
      </c>
      <c r="AU637" s="3">
        <f t="shared" ca="1" si="231"/>
        <v>-59.336169205479429</v>
      </c>
      <c r="AV637" s="3">
        <f t="shared" ca="1" si="232"/>
        <v>-59.336169205479429</v>
      </c>
    </row>
    <row r="638" spans="43:48" x14ac:dyDescent="0.2">
      <c r="AQ638" s="4">
        <f t="shared" ca="1" si="233"/>
        <v>44986</v>
      </c>
      <c r="AR638" s="3">
        <f t="shared" ca="1" si="230"/>
        <v>646498.55999999971</v>
      </c>
      <c r="AS638" s="63">
        <f ca="1">IF($AQ638&lt;&gt;"", INDEX(Inputs!$B$3:$B$101, MATCH($AQ638,Inputs!$A$3:$A$101,1)), "")</f>
        <v>3.3500000000000002E-2</v>
      </c>
      <c r="AT638" s="48">
        <f t="shared" ca="1" si="234"/>
        <v>59.336169205479429</v>
      </c>
      <c r="AU638" s="3">
        <f t="shared" ca="1" si="231"/>
        <v>-59.336169205479429</v>
      </c>
      <c r="AV638" s="3">
        <f t="shared" ca="1" si="232"/>
        <v>-59.336169205479429</v>
      </c>
    </row>
    <row r="639" spans="43:48" x14ac:dyDescent="0.2">
      <c r="AQ639" s="4">
        <f t="shared" ca="1" si="233"/>
        <v>44987</v>
      </c>
      <c r="AR639" s="3">
        <f t="shared" ca="1" si="230"/>
        <v>646498.55999999971</v>
      </c>
      <c r="AS639" s="63">
        <f ca="1">IF($AQ639&lt;&gt;"", INDEX(Inputs!$B$3:$B$101, MATCH($AQ639,Inputs!$A$3:$A$101,1)), "")</f>
        <v>3.3500000000000002E-2</v>
      </c>
      <c r="AT639" s="48">
        <f t="shared" ca="1" si="234"/>
        <v>59.336169205479429</v>
      </c>
      <c r="AU639" s="3">
        <f t="shared" ca="1" si="231"/>
        <v>-59.336169205479429</v>
      </c>
      <c r="AV639" s="3">
        <f t="shared" ca="1" si="232"/>
        <v>-59.336169205479429</v>
      </c>
    </row>
    <row r="640" spans="43:48" x14ac:dyDescent="0.2">
      <c r="AQ640" s="4">
        <f t="shared" ca="1" si="233"/>
        <v>44988</v>
      </c>
      <c r="AR640" s="3">
        <f t="shared" ca="1" si="230"/>
        <v>646498.55999999971</v>
      </c>
      <c r="AS640" s="63">
        <f ca="1">IF($AQ640&lt;&gt;"", INDEX(Inputs!$B$3:$B$101, MATCH($AQ640,Inputs!$A$3:$A$101,1)), "")</f>
        <v>3.3500000000000002E-2</v>
      </c>
      <c r="AT640" s="48">
        <f t="shared" ca="1" si="234"/>
        <v>59.336169205479429</v>
      </c>
      <c r="AU640" s="3">
        <f t="shared" ca="1" si="231"/>
        <v>1840.6638307945207</v>
      </c>
      <c r="AV640" s="3">
        <f t="shared" ca="1" si="232"/>
        <v>1840.6638307945207</v>
      </c>
    </row>
    <row r="641" spans="43:48" x14ac:dyDescent="0.2">
      <c r="AQ641" s="4">
        <f t="shared" ca="1" si="233"/>
        <v>44989</v>
      </c>
      <c r="AR641" s="3">
        <f t="shared" ca="1" si="230"/>
        <v>646498.55999999971</v>
      </c>
      <c r="AS641" s="63">
        <f ca="1">IF($AQ641&lt;&gt;"", INDEX(Inputs!$B$3:$B$101, MATCH($AQ641,Inputs!$A$3:$A$101,1)), "")</f>
        <v>3.3500000000000002E-2</v>
      </c>
      <c r="AT641" s="48">
        <f t="shared" ca="1" si="234"/>
        <v>59.336169205479429</v>
      </c>
      <c r="AU641" s="3">
        <f t="shared" ca="1" si="231"/>
        <v>-59.336169205479429</v>
      </c>
      <c r="AV641" s="3">
        <f t="shared" ca="1" si="232"/>
        <v>-59.336169205479429</v>
      </c>
    </row>
    <row r="642" spans="43:48" x14ac:dyDescent="0.2">
      <c r="AQ642" s="4">
        <f t="shared" ca="1" si="233"/>
        <v>44990</v>
      </c>
      <c r="AR642" s="3">
        <f t="shared" ca="1" si="230"/>
        <v>646498.55999999971</v>
      </c>
      <c r="AS642" s="63">
        <f ca="1">IF($AQ642&lt;&gt;"", INDEX(Inputs!$B$3:$B$101, MATCH($AQ642,Inputs!$A$3:$A$101,1)), "")</f>
        <v>3.3500000000000002E-2</v>
      </c>
      <c r="AT642" s="48">
        <f t="shared" ca="1" si="234"/>
        <v>59.336169205479429</v>
      </c>
      <c r="AU642" s="3">
        <f t="shared" ca="1" si="231"/>
        <v>-59.336169205479429</v>
      </c>
      <c r="AV642" s="3">
        <f t="shared" ca="1" si="232"/>
        <v>-59.336169205479429</v>
      </c>
    </row>
    <row r="643" spans="43:48" x14ac:dyDescent="0.2">
      <c r="AQ643" s="4">
        <f t="shared" ca="1" si="233"/>
        <v>44991</v>
      </c>
      <c r="AR643" s="3">
        <f t="shared" ca="1" si="230"/>
        <v>646498.55999999971</v>
      </c>
      <c r="AS643" s="63">
        <f ca="1">IF($AQ643&lt;&gt;"", INDEX(Inputs!$B$3:$B$101, MATCH($AQ643,Inputs!$A$3:$A$101,1)), "")</f>
        <v>3.3500000000000002E-2</v>
      </c>
      <c r="AT643" s="48">
        <f t="shared" ca="1" si="234"/>
        <v>59.336169205479429</v>
      </c>
      <c r="AU643" s="3">
        <f t="shared" ca="1" si="231"/>
        <v>-59.336169205479429</v>
      </c>
      <c r="AV643" s="3">
        <f t="shared" ca="1" si="232"/>
        <v>-59.336169205479429</v>
      </c>
    </row>
    <row r="644" spans="43:48" x14ac:dyDescent="0.2">
      <c r="AQ644" s="4">
        <f t="shared" ca="1" si="233"/>
        <v>44992</v>
      </c>
      <c r="AR644" s="3">
        <f t="shared" ca="1" si="230"/>
        <v>646498.55999999971</v>
      </c>
      <c r="AS644" s="63">
        <f ca="1">IF($AQ644&lt;&gt;"", INDEX(Inputs!$B$3:$B$101, MATCH($AQ644,Inputs!$A$3:$A$101,1)), "")</f>
        <v>3.3500000000000002E-2</v>
      </c>
      <c r="AT644" s="48">
        <f t="shared" ca="1" si="234"/>
        <v>59.336169205479429</v>
      </c>
      <c r="AU644" s="3">
        <f t="shared" ca="1" si="231"/>
        <v>-59.336169205479429</v>
      </c>
      <c r="AV644" s="3">
        <f t="shared" ca="1" si="232"/>
        <v>-59.336169205479429</v>
      </c>
    </row>
    <row r="645" spans="43:48" x14ac:dyDescent="0.2">
      <c r="AQ645" s="4">
        <f t="shared" ca="1" si="233"/>
        <v>44993</v>
      </c>
      <c r="AR645" s="3">
        <f t="shared" ca="1" si="230"/>
        <v>646498.55999999971</v>
      </c>
      <c r="AS645" s="63">
        <f ca="1">IF($AQ645&lt;&gt;"", INDEX(Inputs!$B$3:$B$101, MATCH($AQ645,Inputs!$A$3:$A$101,1)), "")</f>
        <v>3.5999999999999997E-2</v>
      </c>
      <c r="AT645" s="48">
        <f t="shared" ca="1" si="234"/>
        <v>63.764241534246544</v>
      </c>
      <c r="AU645" s="3">
        <f t="shared" ca="1" si="231"/>
        <v>-63.764241534246544</v>
      </c>
      <c r="AV645" s="3">
        <f t="shared" ca="1" si="232"/>
        <v>-63.764241534246544</v>
      </c>
    </row>
    <row r="646" spans="43:48" x14ac:dyDescent="0.2">
      <c r="AQ646" s="4">
        <f t="shared" ca="1" si="233"/>
        <v>44994</v>
      </c>
      <c r="AR646" s="3">
        <f t="shared" ca="1" si="230"/>
        <v>646498.55999999971</v>
      </c>
      <c r="AS646" s="63">
        <f ca="1">IF($AQ646&lt;&gt;"", INDEX(Inputs!$B$3:$B$101, MATCH($AQ646,Inputs!$A$3:$A$101,1)), "")</f>
        <v>3.5999999999999997E-2</v>
      </c>
      <c r="AT646" s="48">
        <f t="shared" ca="1" si="234"/>
        <v>63.764241534246544</v>
      </c>
      <c r="AU646" s="3">
        <f t="shared" ca="1" si="231"/>
        <v>-63.764241534246544</v>
      </c>
      <c r="AV646" s="3">
        <f t="shared" ca="1" si="232"/>
        <v>-63.764241534246544</v>
      </c>
    </row>
    <row r="647" spans="43:48" x14ac:dyDescent="0.2">
      <c r="AQ647" s="4">
        <f t="shared" ca="1" si="233"/>
        <v>44995</v>
      </c>
      <c r="AR647" s="3">
        <f t="shared" ca="1" si="230"/>
        <v>646498.55999999971</v>
      </c>
      <c r="AS647" s="63">
        <f ca="1">IF($AQ647&lt;&gt;"", INDEX(Inputs!$B$3:$B$101, MATCH($AQ647,Inputs!$A$3:$A$101,1)), "")</f>
        <v>3.5999999999999997E-2</v>
      </c>
      <c r="AT647" s="48">
        <f t="shared" ca="1" si="234"/>
        <v>63.764241534246544</v>
      </c>
      <c r="AU647" s="3">
        <f t="shared" ca="1" si="231"/>
        <v>1836.2357584657534</v>
      </c>
      <c r="AV647" s="3">
        <f t="shared" ca="1" si="232"/>
        <v>1836.2357584657534</v>
      </c>
    </row>
    <row r="648" spans="43:48" x14ac:dyDescent="0.2">
      <c r="AQ648" s="4">
        <f t="shared" ca="1" si="233"/>
        <v>44996</v>
      </c>
      <c r="AR648" s="3">
        <f t="shared" ca="1" si="230"/>
        <v>646498.55999999971</v>
      </c>
      <c r="AS648" s="63">
        <f ca="1">IF($AQ648&lt;&gt;"", INDEX(Inputs!$B$3:$B$101, MATCH($AQ648,Inputs!$A$3:$A$101,1)), "")</f>
        <v>3.5999999999999997E-2</v>
      </c>
      <c r="AT648" s="48">
        <f t="shared" ca="1" si="234"/>
        <v>63.764241534246544</v>
      </c>
      <c r="AU648" s="3">
        <f t="shared" ca="1" si="231"/>
        <v>-63.764241534246544</v>
      </c>
      <c r="AV648" s="3">
        <f t="shared" ca="1" si="232"/>
        <v>-63.764241534246544</v>
      </c>
    </row>
    <row r="649" spans="43:48" x14ac:dyDescent="0.2">
      <c r="AQ649" s="4">
        <f t="shared" ca="1" si="233"/>
        <v>44997</v>
      </c>
      <c r="AR649" s="3">
        <f t="shared" ca="1" si="230"/>
        <v>646498.55999999971</v>
      </c>
      <c r="AS649" s="63">
        <f ca="1">IF($AQ649&lt;&gt;"", INDEX(Inputs!$B$3:$B$101, MATCH($AQ649,Inputs!$A$3:$A$101,1)), "")</f>
        <v>3.5999999999999997E-2</v>
      </c>
      <c r="AT649" s="48">
        <f t="shared" ca="1" si="234"/>
        <v>63.764241534246544</v>
      </c>
      <c r="AU649" s="3">
        <f t="shared" ca="1" si="231"/>
        <v>-63.764241534246544</v>
      </c>
      <c r="AV649" s="3">
        <f t="shared" ca="1" si="232"/>
        <v>-63.764241534246544</v>
      </c>
    </row>
    <row r="650" spans="43:48" x14ac:dyDescent="0.2">
      <c r="AQ650" s="4">
        <f t="shared" ca="1" si="233"/>
        <v>44998</v>
      </c>
      <c r="AR650" s="3">
        <f t="shared" ca="1" si="230"/>
        <v>646498.55999999971</v>
      </c>
      <c r="AS650" s="63">
        <f ca="1">IF($AQ650&lt;&gt;"", INDEX(Inputs!$B$3:$B$101, MATCH($AQ650,Inputs!$A$3:$A$101,1)), "")</f>
        <v>3.5999999999999997E-2</v>
      </c>
      <c r="AT650" s="48">
        <f t="shared" ca="1" si="234"/>
        <v>63.764241534246544</v>
      </c>
      <c r="AU650" s="3">
        <f t="shared" ca="1" si="231"/>
        <v>-63.764241534246544</v>
      </c>
      <c r="AV650" s="3">
        <f t="shared" ca="1" si="232"/>
        <v>-63.764241534246544</v>
      </c>
    </row>
    <row r="651" spans="43:48" x14ac:dyDescent="0.2">
      <c r="AQ651" s="4">
        <f t="shared" ca="1" si="233"/>
        <v>44999</v>
      </c>
      <c r="AR651" s="3">
        <f t="shared" ca="1" si="230"/>
        <v>646498.55999999971</v>
      </c>
      <c r="AS651" s="63">
        <f ca="1">IF($AQ651&lt;&gt;"", INDEX(Inputs!$B$3:$B$101, MATCH($AQ651,Inputs!$A$3:$A$101,1)), "")</f>
        <v>3.5999999999999997E-2</v>
      </c>
      <c r="AT651" s="48">
        <f t="shared" ca="1" si="234"/>
        <v>63.764241534246544</v>
      </c>
      <c r="AU651" s="3">
        <f t="shared" ca="1" si="231"/>
        <v>-63.764241534246544</v>
      </c>
      <c r="AV651" s="3">
        <f t="shared" ca="1" si="232"/>
        <v>-63.764241534246544</v>
      </c>
    </row>
    <row r="652" spans="43:48" x14ac:dyDescent="0.2">
      <c r="AQ652" s="4">
        <f t="shared" ca="1" si="233"/>
        <v>45000</v>
      </c>
      <c r="AR652" s="3">
        <f t="shared" ca="1" si="230"/>
        <v>646498.55999999971</v>
      </c>
      <c r="AS652" s="63">
        <f ca="1">IF($AQ652&lt;&gt;"", INDEX(Inputs!$B$3:$B$101, MATCH($AQ652,Inputs!$A$3:$A$101,1)), "")</f>
        <v>3.5999999999999997E-2</v>
      </c>
      <c r="AT652" s="48">
        <f t="shared" ca="1" si="234"/>
        <v>63.764241534246544</v>
      </c>
      <c r="AU652" s="3">
        <f t="shared" ca="1" si="231"/>
        <v>-63.764241534246544</v>
      </c>
      <c r="AV652" s="3">
        <f t="shared" ca="1" si="232"/>
        <v>-63.764241534246544</v>
      </c>
    </row>
    <row r="653" spans="43:48" x14ac:dyDescent="0.2">
      <c r="AQ653" s="4">
        <f t="shared" ca="1" si="233"/>
        <v>45001</v>
      </c>
      <c r="AR653" s="3">
        <f t="shared" ca="1" si="230"/>
        <v>658970.43999999971</v>
      </c>
      <c r="AS653" s="63">
        <f ca="1">IF($AQ653&lt;&gt;"", INDEX(Inputs!$B$3:$B$101, MATCH($AQ653,Inputs!$A$3:$A$101,1)), "")</f>
        <v>3.5999999999999997E-2</v>
      </c>
      <c r="AT653" s="48">
        <f t="shared" ca="1" si="234"/>
        <v>64.994344767123252</v>
      </c>
      <c r="AU653" s="3">
        <f t="shared" ca="1" si="231"/>
        <v>-12536.874344767124</v>
      </c>
      <c r="AV653" s="3">
        <f t="shared" ca="1" si="232"/>
        <v>-12536.874344767124</v>
      </c>
    </row>
    <row r="654" spans="43:48" x14ac:dyDescent="0.2">
      <c r="AQ654" s="4">
        <f t="shared" ca="1" si="233"/>
        <v>45002</v>
      </c>
      <c r="AR654" s="3">
        <f t="shared" ca="1" si="230"/>
        <v>658970.43999999971</v>
      </c>
      <c r="AS654" s="63">
        <f ca="1">IF($AQ654&lt;&gt;"", INDEX(Inputs!$B$3:$B$101, MATCH($AQ654,Inputs!$A$3:$A$101,1)), "")</f>
        <v>3.5999999999999997E-2</v>
      </c>
      <c r="AT654" s="48">
        <f t="shared" ca="1" si="234"/>
        <v>64.994344767123252</v>
      </c>
      <c r="AU654" s="3">
        <f t="shared" ca="1" si="231"/>
        <v>1835.0056552328767</v>
      </c>
      <c r="AV654" s="3">
        <f t="shared" ca="1" si="232"/>
        <v>1835.0056552328767</v>
      </c>
    </row>
    <row r="655" spans="43:48" x14ac:dyDescent="0.2">
      <c r="AQ655" s="4">
        <f t="shared" ca="1" si="233"/>
        <v>45003</v>
      </c>
      <c r="AR655" s="3">
        <f t="shared" ca="1" si="230"/>
        <v>658970.43999999971</v>
      </c>
      <c r="AS655" s="63">
        <f ca="1">IF($AQ655&lt;&gt;"", INDEX(Inputs!$B$3:$B$101, MATCH($AQ655,Inputs!$A$3:$A$101,1)), "")</f>
        <v>3.5999999999999997E-2</v>
      </c>
      <c r="AT655" s="48">
        <f t="shared" ca="1" si="234"/>
        <v>64.994344767123252</v>
      </c>
      <c r="AU655" s="3">
        <f t="shared" ca="1" si="231"/>
        <v>-64.994344767123252</v>
      </c>
      <c r="AV655" s="3">
        <f t="shared" ca="1" si="232"/>
        <v>-64.994344767123252</v>
      </c>
    </row>
    <row r="656" spans="43:48" x14ac:dyDescent="0.2">
      <c r="AQ656" s="4">
        <f t="shared" ca="1" si="233"/>
        <v>45004</v>
      </c>
      <c r="AR656" s="3">
        <f t="shared" ca="1" si="230"/>
        <v>658970.43999999971</v>
      </c>
      <c r="AS656" s="63">
        <f ca="1">IF($AQ656&lt;&gt;"", INDEX(Inputs!$B$3:$B$101, MATCH($AQ656,Inputs!$A$3:$A$101,1)), "")</f>
        <v>3.5999999999999997E-2</v>
      </c>
      <c r="AT656" s="48">
        <f t="shared" ca="1" si="234"/>
        <v>64.994344767123252</v>
      </c>
      <c r="AU656" s="3">
        <f t="shared" ca="1" si="231"/>
        <v>-64.994344767123252</v>
      </c>
      <c r="AV656" s="3">
        <f t="shared" ca="1" si="232"/>
        <v>-64.994344767123252</v>
      </c>
    </row>
    <row r="657" spans="43:48" x14ac:dyDescent="0.2">
      <c r="AQ657" s="4">
        <f t="shared" ca="1" si="233"/>
        <v>45005</v>
      </c>
      <c r="AR657" s="3">
        <f t="shared" ca="1" si="230"/>
        <v>658970.43999999971</v>
      </c>
      <c r="AS657" s="63">
        <f ca="1">IF($AQ657&lt;&gt;"", INDEX(Inputs!$B$3:$B$101, MATCH($AQ657,Inputs!$A$3:$A$101,1)), "")</f>
        <v>3.5999999999999997E-2</v>
      </c>
      <c r="AT657" s="48">
        <f t="shared" ca="1" si="234"/>
        <v>64.994344767123252</v>
      </c>
      <c r="AU657" s="3">
        <f t="shared" ca="1" si="231"/>
        <v>-64.994344767123252</v>
      </c>
      <c r="AV657" s="3">
        <f t="shared" ca="1" si="232"/>
        <v>-64.994344767123252</v>
      </c>
    </row>
    <row r="658" spans="43:48" x14ac:dyDescent="0.2">
      <c r="AQ658" s="4">
        <f t="shared" ca="1" si="233"/>
        <v>45006</v>
      </c>
      <c r="AR658" s="3">
        <f t="shared" ca="1" si="230"/>
        <v>658970.43999999971</v>
      </c>
      <c r="AS658" s="63">
        <f ca="1">IF($AQ658&lt;&gt;"", INDEX(Inputs!$B$3:$B$101, MATCH($AQ658,Inputs!$A$3:$A$101,1)), "")</f>
        <v>3.5999999999999997E-2</v>
      </c>
      <c r="AT658" s="48">
        <f t="shared" ca="1" si="234"/>
        <v>64.994344767123252</v>
      </c>
      <c r="AU658" s="3">
        <f t="shared" ca="1" si="231"/>
        <v>-64.994344767123252</v>
      </c>
      <c r="AV658" s="3">
        <f t="shared" ca="1" si="232"/>
        <v>-64.994344767123252</v>
      </c>
    </row>
    <row r="659" spans="43:48" x14ac:dyDescent="0.2">
      <c r="AQ659" s="4">
        <f t="shared" ca="1" si="233"/>
        <v>45007</v>
      </c>
      <c r="AR659" s="3">
        <f t="shared" ca="1" si="230"/>
        <v>658970.43999999971</v>
      </c>
      <c r="AS659" s="63">
        <f ca="1">IF($AQ659&lt;&gt;"", INDEX(Inputs!$B$3:$B$101, MATCH($AQ659,Inputs!$A$3:$A$101,1)), "")</f>
        <v>3.5999999999999997E-2</v>
      </c>
      <c r="AT659" s="48">
        <f t="shared" ca="1" si="234"/>
        <v>64.994344767123252</v>
      </c>
      <c r="AU659" s="3">
        <f t="shared" ca="1" si="231"/>
        <v>-64.994344767123252</v>
      </c>
      <c r="AV659" s="3">
        <f t="shared" ca="1" si="232"/>
        <v>-64.994344767123252</v>
      </c>
    </row>
    <row r="660" spans="43:48" x14ac:dyDescent="0.2">
      <c r="AQ660" s="4">
        <f t="shared" ca="1" si="233"/>
        <v>45008</v>
      </c>
      <c r="AR660" s="3">
        <f t="shared" ca="1" si="230"/>
        <v>658970.43999999971</v>
      </c>
      <c r="AS660" s="63">
        <f ca="1">IF($AQ660&lt;&gt;"", INDEX(Inputs!$B$3:$B$101, MATCH($AQ660,Inputs!$A$3:$A$101,1)), "")</f>
        <v>3.5999999999999997E-2</v>
      </c>
      <c r="AT660" s="48">
        <f t="shared" ca="1" si="234"/>
        <v>64.994344767123252</v>
      </c>
      <c r="AU660" s="3">
        <f t="shared" ca="1" si="231"/>
        <v>-64.994344767123252</v>
      </c>
      <c r="AV660" s="3">
        <f t="shared" ca="1" si="232"/>
        <v>-64.994344767123252</v>
      </c>
    </row>
    <row r="661" spans="43:48" x14ac:dyDescent="0.2">
      <c r="AQ661" s="4">
        <f t="shared" ca="1" si="233"/>
        <v>45009</v>
      </c>
      <c r="AR661" s="3">
        <f t="shared" ca="1" si="230"/>
        <v>658970.43999999971</v>
      </c>
      <c r="AS661" s="63">
        <f ca="1">IF($AQ661&lt;&gt;"", INDEX(Inputs!$B$3:$B$101, MATCH($AQ661,Inputs!$A$3:$A$101,1)), "")</f>
        <v>3.5999999999999997E-2</v>
      </c>
      <c r="AT661" s="48">
        <f t="shared" ca="1" si="234"/>
        <v>64.994344767123252</v>
      </c>
      <c r="AU661" s="3">
        <f t="shared" ca="1" si="231"/>
        <v>1835.0056552328767</v>
      </c>
      <c r="AV661" s="3">
        <f t="shared" ca="1" si="232"/>
        <v>1835.0056552328767</v>
      </c>
    </row>
    <row r="662" spans="43:48" x14ac:dyDescent="0.2">
      <c r="AQ662" s="4">
        <f t="shared" ca="1" si="233"/>
        <v>45010</v>
      </c>
      <c r="AR662" s="3">
        <f t="shared" ca="1" si="230"/>
        <v>658970.43999999971</v>
      </c>
      <c r="AS662" s="63">
        <f ca="1">IF($AQ662&lt;&gt;"", INDEX(Inputs!$B$3:$B$101, MATCH($AQ662,Inputs!$A$3:$A$101,1)), "")</f>
        <v>3.5999999999999997E-2</v>
      </c>
      <c r="AT662" s="48">
        <f t="shared" ca="1" si="234"/>
        <v>64.994344767123252</v>
      </c>
      <c r="AU662" s="3">
        <f t="shared" ca="1" si="231"/>
        <v>-64.994344767123252</v>
      </c>
      <c r="AV662" s="3">
        <f t="shared" ca="1" si="232"/>
        <v>-64.994344767123252</v>
      </c>
    </row>
    <row r="663" spans="43:48" x14ac:dyDescent="0.2">
      <c r="AQ663" s="4">
        <f t="shared" ca="1" si="233"/>
        <v>45011</v>
      </c>
      <c r="AR663" s="3">
        <f t="shared" ca="1" si="230"/>
        <v>658970.43999999971</v>
      </c>
      <c r="AS663" s="63">
        <f ca="1">IF($AQ663&lt;&gt;"", INDEX(Inputs!$B$3:$B$101, MATCH($AQ663,Inputs!$A$3:$A$101,1)), "")</f>
        <v>3.5999999999999997E-2</v>
      </c>
      <c r="AT663" s="48">
        <f t="shared" ca="1" si="234"/>
        <v>64.994344767123252</v>
      </c>
      <c r="AU663" s="3">
        <f t="shared" ca="1" si="231"/>
        <v>-64.994344767123252</v>
      </c>
      <c r="AV663" s="3">
        <f t="shared" ca="1" si="232"/>
        <v>-64.994344767123252</v>
      </c>
    </row>
    <row r="664" spans="43:48" x14ac:dyDescent="0.2">
      <c r="AQ664" s="4">
        <f t="shared" ca="1" si="233"/>
        <v>45012</v>
      </c>
      <c r="AR664" s="3">
        <f t="shared" ca="1" si="230"/>
        <v>658970.43999999971</v>
      </c>
      <c r="AS664" s="63">
        <f ca="1">IF($AQ664&lt;&gt;"", INDEX(Inputs!$B$3:$B$101, MATCH($AQ664,Inputs!$A$3:$A$101,1)), "")</f>
        <v>3.5999999999999997E-2</v>
      </c>
      <c r="AT664" s="48">
        <f t="shared" ca="1" si="234"/>
        <v>64.994344767123252</v>
      </c>
      <c r="AU664" s="3">
        <f t="shared" ca="1" si="231"/>
        <v>-64.994344767123252</v>
      </c>
      <c r="AV664" s="3">
        <f t="shared" ca="1" si="232"/>
        <v>-64.994344767123252</v>
      </c>
    </row>
    <row r="665" spans="43:48" x14ac:dyDescent="0.2">
      <c r="AQ665" s="4">
        <f t="shared" ca="1" si="233"/>
        <v>45013</v>
      </c>
      <c r="AR665" s="3">
        <f t="shared" ref="AR665:AR728" ca="1" si="235">IF($AQ665&lt;&gt;"", INDEX($AC$3:$AC$1055, MATCH($AQ665,$A$3:$A$1055,1)), "")</f>
        <v>658970.43999999971</v>
      </c>
      <c r="AS665" s="63">
        <f ca="1">IF($AQ665&lt;&gt;"", INDEX(Inputs!$B$3:$B$101, MATCH($AQ665,Inputs!$A$3:$A$101,1)), "")</f>
        <v>3.5999999999999997E-2</v>
      </c>
      <c r="AT665" s="48">
        <f t="shared" ca="1" si="234"/>
        <v>64.994344767123252</v>
      </c>
      <c r="AU665" s="3">
        <f t="shared" ref="AU665:AU728" ca="1" si="236">IF($AQ665&lt;&gt;"", SUMIFS($AL$3:$AL$1054, $A$3:$A$1054,$AQ665) + SUMIFS($M$3:$M$1054, $A$3:$A$1054,$AQ665)*IFERROR(AVERAGEIFS($L$3:$L$1054, $A$3:$A$1054,$AQ665, $M$3:$M$1054,"&gt;0"),0) - AT665, "")</f>
        <v>-64.994344767123252</v>
      </c>
      <c r="AV665" s="3">
        <f t="shared" ca="1" si="232"/>
        <v>-64.994344767123252</v>
      </c>
    </row>
    <row r="666" spans="43:48" x14ac:dyDescent="0.2">
      <c r="AQ666" s="4">
        <f t="shared" ca="1" si="233"/>
        <v>45014</v>
      </c>
      <c r="AR666" s="3">
        <f t="shared" ca="1" si="235"/>
        <v>658970.43999999971</v>
      </c>
      <c r="AS666" s="63">
        <f ca="1">IF($AQ666&lt;&gt;"", INDEX(Inputs!$B$3:$B$101, MATCH($AQ666,Inputs!$A$3:$A$101,1)), "")</f>
        <v>3.5999999999999997E-2</v>
      </c>
      <c r="AT666" s="48">
        <f t="shared" ca="1" si="234"/>
        <v>64.994344767123252</v>
      </c>
      <c r="AU666" s="3">
        <f t="shared" ca="1" si="236"/>
        <v>-64.994344767123252</v>
      </c>
      <c r="AV666" s="3">
        <f t="shared" ca="1" si="232"/>
        <v>-64.994344767123252</v>
      </c>
    </row>
    <row r="667" spans="43:48" x14ac:dyDescent="0.2">
      <c r="AQ667" s="4">
        <f t="shared" ca="1" si="233"/>
        <v>45015</v>
      </c>
      <c r="AR667" s="3">
        <f t="shared" ca="1" si="235"/>
        <v>658970.43999999971</v>
      </c>
      <c r="AS667" s="63">
        <f ca="1">IF($AQ667&lt;&gt;"", INDEX(Inputs!$B$3:$B$101, MATCH($AQ667,Inputs!$A$3:$A$101,1)), "")</f>
        <v>3.5999999999999997E-2</v>
      </c>
      <c r="AT667" s="48">
        <f t="shared" ca="1" si="234"/>
        <v>64.994344767123252</v>
      </c>
      <c r="AU667" s="3">
        <f t="shared" ca="1" si="236"/>
        <v>-351.84434476712329</v>
      </c>
      <c r="AV667" s="3">
        <f t="shared" ca="1" si="232"/>
        <v>-351.84434476712329</v>
      </c>
    </row>
    <row r="668" spans="43:48" x14ac:dyDescent="0.2">
      <c r="AQ668" s="4">
        <f t="shared" ca="1" si="233"/>
        <v>45016</v>
      </c>
      <c r="AR668" s="3">
        <f t="shared" ca="1" si="235"/>
        <v>653723.39999999967</v>
      </c>
      <c r="AS668" s="63">
        <f ca="1">IF($AQ668&lt;&gt;"", INDEX(Inputs!$B$3:$B$101, MATCH($AQ668,Inputs!$A$3:$A$101,1)), "")</f>
        <v>3.5999999999999997E-2</v>
      </c>
      <c r="AT668" s="48">
        <f t="shared" ca="1" si="234"/>
        <v>64.476828493150649</v>
      </c>
      <c r="AU668" s="3">
        <f t="shared" ca="1" si="236"/>
        <v>1835.5231715068494</v>
      </c>
      <c r="AV668" s="3">
        <f t="shared" ca="1" si="232"/>
        <v>1835.5231715068494</v>
      </c>
    </row>
    <row r="669" spans="43:48" x14ac:dyDescent="0.2">
      <c r="AQ669" s="4">
        <f t="shared" ca="1" si="233"/>
        <v>45017</v>
      </c>
      <c r="AR669" s="3">
        <f t="shared" ca="1" si="235"/>
        <v>653723.39999999967</v>
      </c>
      <c r="AS669" s="63">
        <f ca="1">IF($AQ669&lt;&gt;"", INDEX(Inputs!$B$3:$B$101, MATCH($AQ669,Inputs!$A$3:$A$101,1)), "")</f>
        <v>3.5999999999999997E-2</v>
      </c>
      <c r="AT669" s="48">
        <f t="shared" ca="1" si="234"/>
        <v>64.476828493150649</v>
      </c>
      <c r="AU669" s="3">
        <f t="shared" ca="1" si="236"/>
        <v>-64.476828493150649</v>
      </c>
      <c r="AV669" s="3">
        <f t="shared" ca="1" si="232"/>
        <v>-64.476828493150649</v>
      </c>
    </row>
    <row r="670" spans="43:48" x14ac:dyDescent="0.2">
      <c r="AQ670" s="4">
        <f t="shared" ca="1" si="233"/>
        <v>45018</v>
      </c>
      <c r="AR670" s="3">
        <f t="shared" ca="1" si="235"/>
        <v>653723.39999999967</v>
      </c>
      <c r="AS670" s="63">
        <f ca="1">IF($AQ670&lt;&gt;"", INDEX(Inputs!$B$3:$B$101, MATCH($AQ670,Inputs!$A$3:$A$101,1)), "")</f>
        <v>3.5999999999999997E-2</v>
      </c>
      <c r="AT670" s="48">
        <f t="shared" ca="1" si="234"/>
        <v>64.476828493150649</v>
      </c>
      <c r="AU670" s="3">
        <f t="shared" ca="1" si="236"/>
        <v>-64.476828493150649</v>
      </c>
      <c r="AV670" s="3">
        <f t="shared" ca="1" si="232"/>
        <v>-64.476828493150649</v>
      </c>
    </row>
    <row r="671" spans="43:48" x14ac:dyDescent="0.2">
      <c r="AQ671" s="4">
        <f t="shared" ca="1" si="233"/>
        <v>45019</v>
      </c>
      <c r="AR671" s="3">
        <f t="shared" ca="1" si="235"/>
        <v>653723.39999999967</v>
      </c>
      <c r="AS671" s="63">
        <f ca="1">IF($AQ671&lt;&gt;"", INDEX(Inputs!$B$3:$B$101, MATCH($AQ671,Inputs!$A$3:$A$101,1)), "")</f>
        <v>3.5999999999999997E-2</v>
      </c>
      <c r="AT671" s="48">
        <f t="shared" ca="1" si="234"/>
        <v>64.476828493150649</v>
      </c>
      <c r="AU671" s="3">
        <f t="shared" ca="1" si="236"/>
        <v>-64.476828493150649</v>
      </c>
      <c r="AV671" s="3">
        <f t="shared" ca="1" si="232"/>
        <v>-64.476828493150649</v>
      </c>
    </row>
    <row r="672" spans="43:48" x14ac:dyDescent="0.2">
      <c r="AQ672" s="4">
        <f t="shared" ca="1" si="233"/>
        <v>45020</v>
      </c>
      <c r="AR672" s="3">
        <f t="shared" ca="1" si="235"/>
        <v>653723.39999999967</v>
      </c>
      <c r="AS672" s="63">
        <f ca="1">IF($AQ672&lt;&gt;"", INDEX(Inputs!$B$3:$B$101, MATCH($AQ672,Inputs!$A$3:$A$101,1)), "")</f>
        <v>3.5999999999999997E-2</v>
      </c>
      <c r="AT672" s="48">
        <f t="shared" ca="1" si="234"/>
        <v>64.476828493150649</v>
      </c>
      <c r="AU672" s="3">
        <f t="shared" ca="1" si="236"/>
        <v>-64.476828493150649</v>
      </c>
      <c r="AV672" s="3">
        <f t="shared" ref="AV672:AV735" ca="1" si="237">IF(AQ672&lt;&gt;"", AU672*(1+$X$9/CompoundingRate)^-((AQ672-AQ$3)/(365/CompoundingRate)), "")</f>
        <v>-64.476828493150649</v>
      </c>
    </row>
    <row r="673" spans="43:48" x14ac:dyDescent="0.2">
      <c r="AQ673" s="4">
        <f t="shared" ca="1" si="233"/>
        <v>45021</v>
      </c>
      <c r="AR673" s="3">
        <f t="shared" ca="1" si="235"/>
        <v>653723.39999999967</v>
      </c>
      <c r="AS673" s="63">
        <f ca="1">IF($AQ673&lt;&gt;"", INDEX(Inputs!$B$3:$B$101, MATCH($AQ673,Inputs!$A$3:$A$101,1)), "")</f>
        <v>3.5999999999999997E-2</v>
      </c>
      <c r="AT673" s="48">
        <f t="shared" ca="1" si="234"/>
        <v>64.476828493150649</v>
      </c>
      <c r="AU673" s="3">
        <f t="shared" ca="1" si="236"/>
        <v>-64.476828493150649</v>
      </c>
      <c r="AV673" s="3">
        <f t="shared" ca="1" si="237"/>
        <v>-64.476828493150649</v>
      </c>
    </row>
    <row r="674" spans="43:48" x14ac:dyDescent="0.2">
      <c r="AQ674" s="4">
        <f t="shared" ca="1" si="233"/>
        <v>45022</v>
      </c>
      <c r="AR674" s="3">
        <f t="shared" ca="1" si="235"/>
        <v>653723.39999999967</v>
      </c>
      <c r="AS674" s="63">
        <f ca="1">IF($AQ674&lt;&gt;"", INDEX(Inputs!$B$3:$B$101, MATCH($AQ674,Inputs!$A$3:$A$101,1)), "")</f>
        <v>3.5999999999999997E-2</v>
      </c>
      <c r="AT674" s="48">
        <f t="shared" ca="1" si="234"/>
        <v>64.476828493150649</v>
      </c>
      <c r="AU674" s="3">
        <f t="shared" ca="1" si="236"/>
        <v>-64.476828493150649</v>
      </c>
      <c r="AV674" s="3">
        <f t="shared" ca="1" si="237"/>
        <v>-64.476828493150649</v>
      </c>
    </row>
    <row r="675" spans="43:48" x14ac:dyDescent="0.2">
      <c r="AQ675" s="4">
        <f t="shared" ca="1" si="233"/>
        <v>45023</v>
      </c>
      <c r="AR675" s="3">
        <f t="shared" ca="1" si="235"/>
        <v>653723.39999999967</v>
      </c>
      <c r="AS675" s="63">
        <f ca="1">IF($AQ675&lt;&gt;"", INDEX(Inputs!$B$3:$B$101, MATCH($AQ675,Inputs!$A$3:$A$101,1)), "")</f>
        <v>3.5999999999999997E-2</v>
      </c>
      <c r="AT675" s="48">
        <f t="shared" ca="1" si="234"/>
        <v>64.476828493150649</v>
      </c>
      <c r="AU675" s="3">
        <f t="shared" ca="1" si="236"/>
        <v>-64.476828493150649</v>
      </c>
      <c r="AV675" s="3">
        <f t="shared" ca="1" si="237"/>
        <v>-64.476828493150649</v>
      </c>
    </row>
    <row r="676" spans="43:48" x14ac:dyDescent="0.2">
      <c r="AQ676" s="4">
        <f t="shared" ca="1" si="233"/>
        <v>45024</v>
      </c>
      <c r="AR676" s="3">
        <f t="shared" ca="1" si="235"/>
        <v>653723.39999999967</v>
      </c>
      <c r="AS676" s="63">
        <f ca="1">IF($AQ676&lt;&gt;"", INDEX(Inputs!$B$3:$B$101, MATCH($AQ676,Inputs!$A$3:$A$101,1)), "")</f>
        <v>3.5999999999999997E-2</v>
      </c>
      <c r="AT676" s="48">
        <f t="shared" ca="1" si="234"/>
        <v>64.476828493150649</v>
      </c>
      <c r="AU676" s="3">
        <f t="shared" ca="1" si="236"/>
        <v>-64.476828493150649</v>
      </c>
      <c r="AV676" s="3">
        <f t="shared" ca="1" si="237"/>
        <v>-64.476828493150649</v>
      </c>
    </row>
    <row r="677" spans="43:48" x14ac:dyDescent="0.2">
      <c r="AQ677" s="4">
        <f t="shared" ca="1" si="233"/>
        <v>45025</v>
      </c>
      <c r="AR677" s="3">
        <f t="shared" ca="1" si="235"/>
        <v>653723.39999999967</v>
      </c>
      <c r="AS677" s="63">
        <f ca="1">IF($AQ677&lt;&gt;"", INDEX(Inputs!$B$3:$B$101, MATCH($AQ677,Inputs!$A$3:$A$101,1)), "")</f>
        <v>3.5999999999999997E-2</v>
      </c>
      <c r="AT677" s="48">
        <f t="shared" ca="1" si="234"/>
        <v>64.476828493150649</v>
      </c>
      <c r="AU677" s="3">
        <f t="shared" ca="1" si="236"/>
        <v>-64.476828493150649</v>
      </c>
      <c r="AV677" s="3">
        <f t="shared" ca="1" si="237"/>
        <v>-64.476828493150649</v>
      </c>
    </row>
    <row r="678" spans="43:48" x14ac:dyDescent="0.2">
      <c r="AQ678" s="4">
        <f t="shared" ca="1" si="233"/>
        <v>45026</v>
      </c>
      <c r="AR678" s="3">
        <f t="shared" ca="1" si="235"/>
        <v>653723.39999999967</v>
      </c>
      <c r="AS678" s="63">
        <f ca="1">IF($AQ678&lt;&gt;"", INDEX(Inputs!$B$3:$B$101, MATCH($AQ678,Inputs!$A$3:$A$101,1)), "")</f>
        <v>3.5999999999999997E-2</v>
      </c>
      <c r="AT678" s="48">
        <f t="shared" ca="1" si="234"/>
        <v>64.476828493150649</v>
      </c>
      <c r="AU678" s="3">
        <f t="shared" ca="1" si="236"/>
        <v>-64.476828493150649</v>
      </c>
      <c r="AV678" s="3">
        <f t="shared" ca="1" si="237"/>
        <v>-64.476828493150649</v>
      </c>
    </row>
    <row r="679" spans="43:48" x14ac:dyDescent="0.2">
      <c r="AQ679" s="4">
        <f t="shared" ca="1" si="233"/>
        <v>45027</v>
      </c>
      <c r="AR679" s="3">
        <f t="shared" ca="1" si="235"/>
        <v>653723.39999999967</v>
      </c>
      <c r="AS679" s="63">
        <f ca="1">IF($AQ679&lt;&gt;"", INDEX(Inputs!$B$3:$B$101, MATCH($AQ679,Inputs!$A$3:$A$101,1)), "")</f>
        <v>3.5999999999999997E-2</v>
      </c>
      <c r="AT679" s="48">
        <f t="shared" ca="1" si="234"/>
        <v>64.476828493150649</v>
      </c>
      <c r="AU679" s="3">
        <f t="shared" ca="1" si="236"/>
        <v>-64.476828493150649</v>
      </c>
      <c r="AV679" s="3">
        <f t="shared" ca="1" si="237"/>
        <v>-64.476828493150649</v>
      </c>
    </row>
    <row r="680" spans="43:48" x14ac:dyDescent="0.2">
      <c r="AQ680" s="4">
        <f t="shared" ca="1" si="233"/>
        <v>45028</v>
      </c>
      <c r="AR680" s="3">
        <f t="shared" ca="1" si="235"/>
        <v>653723.39999999967</v>
      </c>
      <c r="AS680" s="63">
        <f ca="1">IF($AQ680&lt;&gt;"", INDEX(Inputs!$B$3:$B$101, MATCH($AQ680,Inputs!$A$3:$A$101,1)), "")</f>
        <v>3.5999999999999997E-2</v>
      </c>
      <c r="AT680" s="48">
        <f t="shared" ca="1" si="234"/>
        <v>64.476828493150649</v>
      </c>
      <c r="AU680" s="3">
        <f t="shared" ca="1" si="236"/>
        <v>-64.476828493150649</v>
      </c>
      <c r="AV680" s="3">
        <f t="shared" ca="1" si="237"/>
        <v>-64.476828493150649</v>
      </c>
    </row>
    <row r="681" spans="43:48" x14ac:dyDescent="0.2">
      <c r="AQ681" s="4">
        <f t="shared" ca="1" si="233"/>
        <v>45029</v>
      </c>
      <c r="AR681" s="3">
        <f t="shared" ca="1" si="235"/>
        <v>653723.39999999967</v>
      </c>
      <c r="AS681" s="63">
        <f ca="1">IF($AQ681&lt;&gt;"", INDEX(Inputs!$B$3:$B$101, MATCH($AQ681,Inputs!$A$3:$A$101,1)), "")</f>
        <v>3.5999999999999997E-2</v>
      </c>
      <c r="AT681" s="48">
        <f t="shared" ca="1" si="234"/>
        <v>64.476828493150649</v>
      </c>
      <c r="AU681" s="3">
        <f t="shared" ca="1" si="236"/>
        <v>-64.476828493150649</v>
      </c>
      <c r="AV681" s="3">
        <f t="shared" ca="1" si="237"/>
        <v>-64.476828493150649</v>
      </c>
    </row>
    <row r="682" spans="43:48" x14ac:dyDescent="0.2">
      <c r="AQ682" s="4">
        <f t="shared" ca="1" si="233"/>
        <v>45030</v>
      </c>
      <c r="AR682" s="3">
        <f t="shared" ca="1" si="235"/>
        <v>653723.39999999967</v>
      </c>
      <c r="AS682" s="63">
        <f ca="1">IF($AQ682&lt;&gt;"", INDEX(Inputs!$B$3:$B$101, MATCH($AQ682,Inputs!$A$3:$A$101,1)), "")</f>
        <v>3.5999999999999997E-2</v>
      </c>
      <c r="AT682" s="48">
        <f t="shared" ca="1" si="234"/>
        <v>64.476828493150649</v>
      </c>
      <c r="AU682" s="3">
        <f t="shared" ca="1" si="236"/>
        <v>-64.476828493150649</v>
      </c>
      <c r="AV682" s="3">
        <f t="shared" ca="1" si="237"/>
        <v>-64.476828493150649</v>
      </c>
    </row>
    <row r="683" spans="43:48" x14ac:dyDescent="0.2">
      <c r="AQ683" s="4">
        <f t="shared" ca="1" si="233"/>
        <v>45031</v>
      </c>
      <c r="AR683" s="3">
        <f t="shared" ca="1" si="235"/>
        <v>653723.39999999967</v>
      </c>
      <c r="AS683" s="63">
        <f ca="1">IF($AQ683&lt;&gt;"", INDEX(Inputs!$B$3:$B$101, MATCH($AQ683,Inputs!$A$3:$A$101,1)), "")</f>
        <v>3.5999999999999997E-2</v>
      </c>
      <c r="AT683" s="48">
        <f t="shared" ca="1" si="234"/>
        <v>64.476828493150649</v>
      </c>
      <c r="AU683" s="3">
        <f t="shared" ca="1" si="236"/>
        <v>-64.476828493150649</v>
      </c>
      <c r="AV683" s="3">
        <f t="shared" ca="1" si="237"/>
        <v>-64.476828493150649</v>
      </c>
    </row>
    <row r="684" spans="43:48" x14ac:dyDescent="0.2">
      <c r="AQ684" s="4">
        <f t="shared" ca="1" si="233"/>
        <v>45032</v>
      </c>
      <c r="AR684" s="3">
        <f t="shared" ca="1" si="235"/>
        <v>653723.39999999967</v>
      </c>
      <c r="AS684" s="63">
        <f ca="1">IF($AQ684&lt;&gt;"", INDEX(Inputs!$B$3:$B$101, MATCH($AQ684,Inputs!$A$3:$A$101,1)), "")</f>
        <v>3.5999999999999997E-2</v>
      </c>
      <c r="AT684" s="48">
        <f t="shared" ca="1" si="234"/>
        <v>64.476828493150649</v>
      </c>
      <c r="AU684" s="3">
        <f t="shared" ca="1" si="236"/>
        <v>-64.476828493150649</v>
      </c>
      <c r="AV684" s="3">
        <f t="shared" ca="1" si="237"/>
        <v>-64.476828493150649</v>
      </c>
    </row>
    <row r="685" spans="43:48" x14ac:dyDescent="0.2">
      <c r="AQ685" s="4">
        <f t="shared" ca="1" si="233"/>
        <v>45033</v>
      </c>
      <c r="AR685" s="3">
        <f t="shared" ca="1" si="235"/>
        <v>666324.19999999972</v>
      </c>
      <c r="AS685" s="63">
        <f ca="1">IF($AQ685&lt;&gt;"", INDEX(Inputs!$B$3:$B$101, MATCH($AQ685,Inputs!$A$3:$A$101,1)), "")</f>
        <v>3.5999999999999997E-2</v>
      </c>
      <c r="AT685" s="48">
        <f t="shared" ca="1" si="234"/>
        <v>65.719647123287643</v>
      </c>
      <c r="AU685" s="3">
        <f t="shared" ca="1" si="236"/>
        <v>-12666.519647123287</v>
      </c>
      <c r="AV685" s="3">
        <f t="shared" ca="1" si="237"/>
        <v>-12666.519647123287</v>
      </c>
    </row>
    <row r="686" spans="43:48" x14ac:dyDescent="0.2">
      <c r="AQ686" s="4">
        <f t="shared" ca="1" si="233"/>
        <v>45034</v>
      </c>
      <c r="AR686" s="3">
        <f t="shared" ca="1" si="235"/>
        <v>666324.19999999972</v>
      </c>
      <c r="AS686" s="63">
        <f ca="1">IF($AQ686&lt;&gt;"", INDEX(Inputs!$B$3:$B$101, MATCH($AQ686,Inputs!$A$3:$A$101,1)), "")</f>
        <v>3.5999999999999997E-2</v>
      </c>
      <c r="AT686" s="48">
        <f t="shared" ca="1" si="234"/>
        <v>65.719647123287643</v>
      </c>
      <c r="AU686" s="3">
        <f t="shared" ca="1" si="236"/>
        <v>-65.719647123287643</v>
      </c>
      <c r="AV686" s="3">
        <f t="shared" ca="1" si="237"/>
        <v>-65.719647123287643</v>
      </c>
    </row>
    <row r="687" spans="43:48" x14ac:dyDescent="0.2">
      <c r="AQ687" s="4">
        <f t="shared" ca="1" si="233"/>
        <v>45035</v>
      </c>
      <c r="AR687" s="3">
        <f t="shared" ca="1" si="235"/>
        <v>666324.19999999972</v>
      </c>
      <c r="AS687" s="63">
        <f ca="1">IF($AQ687&lt;&gt;"", INDEX(Inputs!$B$3:$B$101, MATCH($AQ687,Inputs!$A$3:$A$101,1)), "")</f>
        <v>3.5999999999999997E-2</v>
      </c>
      <c r="AT687" s="48">
        <f t="shared" ca="1" si="234"/>
        <v>65.719647123287643</v>
      </c>
      <c r="AU687" s="3">
        <f t="shared" ca="1" si="236"/>
        <v>-65.719647123287643</v>
      </c>
      <c r="AV687" s="3">
        <f t="shared" ca="1" si="237"/>
        <v>-65.719647123287643</v>
      </c>
    </row>
    <row r="688" spans="43:48" x14ac:dyDescent="0.2">
      <c r="AQ688" s="4">
        <f t="shared" ca="1" si="233"/>
        <v>45036</v>
      </c>
      <c r="AR688" s="3">
        <f t="shared" ca="1" si="235"/>
        <v>666324.19999999972</v>
      </c>
      <c r="AS688" s="63">
        <f ca="1">IF($AQ688&lt;&gt;"", INDEX(Inputs!$B$3:$B$101, MATCH($AQ688,Inputs!$A$3:$A$101,1)), "")</f>
        <v>3.5999999999999997E-2</v>
      </c>
      <c r="AT688" s="48">
        <f t="shared" ca="1" si="234"/>
        <v>65.719647123287643</v>
      </c>
      <c r="AU688" s="3">
        <f t="shared" ca="1" si="236"/>
        <v>-65.719647123287643</v>
      </c>
      <c r="AV688" s="3">
        <f t="shared" ca="1" si="237"/>
        <v>-65.719647123287643</v>
      </c>
    </row>
    <row r="689" spans="43:48" x14ac:dyDescent="0.2">
      <c r="AQ689" s="4">
        <f t="shared" ca="1" si="233"/>
        <v>45037</v>
      </c>
      <c r="AR689" s="3">
        <f t="shared" ca="1" si="235"/>
        <v>666324.19999999972</v>
      </c>
      <c r="AS689" s="63">
        <f ca="1">IF($AQ689&lt;&gt;"", INDEX(Inputs!$B$3:$B$101, MATCH($AQ689,Inputs!$A$3:$A$101,1)), "")</f>
        <v>3.5999999999999997E-2</v>
      </c>
      <c r="AT689" s="48">
        <f t="shared" ca="1" si="234"/>
        <v>65.719647123287643</v>
      </c>
      <c r="AU689" s="3">
        <f t="shared" ca="1" si="236"/>
        <v>-65.719647123287643</v>
      </c>
      <c r="AV689" s="3">
        <f t="shared" ca="1" si="237"/>
        <v>-65.719647123287643</v>
      </c>
    </row>
    <row r="690" spans="43:48" x14ac:dyDescent="0.2">
      <c r="AQ690" s="4">
        <f t="shared" ca="1" si="233"/>
        <v>45038</v>
      </c>
      <c r="AR690" s="3">
        <f t="shared" ca="1" si="235"/>
        <v>666324.19999999972</v>
      </c>
      <c r="AS690" s="63">
        <f ca="1">IF($AQ690&lt;&gt;"", INDEX(Inputs!$B$3:$B$101, MATCH($AQ690,Inputs!$A$3:$A$101,1)), "")</f>
        <v>3.5999999999999997E-2</v>
      </c>
      <c r="AT690" s="48">
        <f t="shared" ca="1" si="234"/>
        <v>65.719647123287643</v>
      </c>
      <c r="AU690" s="3">
        <f t="shared" ca="1" si="236"/>
        <v>-65.719647123287643</v>
      </c>
      <c r="AV690" s="3">
        <f t="shared" ca="1" si="237"/>
        <v>-65.719647123287643</v>
      </c>
    </row>
    <row r="691" spans="43:48" x14ac:dyDescent="0.2">
      <c r="AQ691" s="4">
        <f t="shared" ca="1" si="233"/>
        <v>45039</v>
      </c>
      <c r="AR691" s="3">
        <f t="shared" ca="1" si="235"/>
        <v>666324.19999999972</v>
      </c>
      <c r="AS691" s="63">
        <f ca="1">IF($AQ691&lt;&gt;"", INDEX(Inputs!$B$3:$B$101, MATCH($AQ691,Inputs!$A$3:$A$101,1)), "")</f>
        <v>3.5999999999999997E-2</v>
      </c>
      <c r="AT691" s="48">
        <f t="shared" ca="1" si="234"/>
        <v>65.719647123287643</v>
      </c>
      <c r="AU691" s="3">
        <f t="shared" ca="1" si="236"/>
        <v>-65.719647123287643</v>
      </c>
      <c r="AV691" s="3">
        <f t="shared" ca="1" si="237"/>
        <v>-65.719647123287643</v>
      </c>
    </row>
    <row r="692" spans="43:48" x14ac:dyDescent="0.2">
      <c r="AQ692" s="4">
        <f t="shared" ca="1" si="233"/>
        <v>45040</v>
      </c>
      <c r="AR692" s="3">
        <f t="shared" ca="1" si="235"/>
        <v>666324.19999999972</v>
      </c>
      <c r="AS692" s="63">
        <f ca="1">IF($AQ692&lt;&gt;"", INDEX(Inputs!$B$3:$B$101, MATCH($AQ692,Inputs!$A$3:$A$101,1)), "")</f>
        <v>3.5999999999999997E-2</v>
      </c>
      <c r="AT692" s="48">
        <f t="shared" ca="1" si="234"/>
        <v>65.719647123287643</v>
      </c>
      <c r="AU692" s="3">
        <f t="shared" ca="1" si="236"/>
        <v>5634.2803528767126</v>
      </c>
      <c r="AV692" s="3">
        <f t="shared" ca="1" si="237"/>
        <v>5634.2803528767126</v>
      </c>
    </row>
    <row r="693" spans="43:48" x14ac:dyDescent="0.2">
      <c r="AQ693" s="4">
        <f t="shared" ca="1" si="233"/>
        <v>45041</v>
      </c>
      <c r="AR693" s="3">
        <f t="shared" ca="1" si="235"/>
        <v>666324.19999999972</v>
      </c>
      <c r="AS693" s="63">
        <f ca="1">IF($AQ693&lt;&gt;"", INDEX(Inputs!$B$3:$B$101, MATCH($AQ693,Inputs!$A$3:$A$101,1)), "")</f>
        <v>3.5999999999999997E-2</v>
      </c>
      <c r="AT693" s="48">
        <f t="shared" ca="1" si="234"/>
        <v>65.719647123287643</v>
      </c>
      <c r="AU693" s="3">
        <f t="shared" ca="1" si="236"/>
        <v>-65.719647123287643</v>
      </c>
      <c r="AV693" s="3">
        <f t="shared" ca="1" si="237"/>
        <v>-65.719647123287643</v>
      </c>
    </row>
    <row r="694" spans="43:48" x14ac:dyDescent="0.2">
      <c r="AQ694" s="4">
        <f t="shared" ca="1" si="233"/>
        <v>45042</v>
      </c>
      <c r="AR694" s="3">
        <f t="shared" ca="1" si="235"/>
        <v>666324.19999999972</v>
      </c>
      <c r="AS694" s="63">
        <f ca="1">IF($AQ694&lt;&gt;"", INDEX(Inputs!$B$3:$B$101, MATCH($AQ694,Inputs!$A$3:$A$101,1)), "")</f>
        <v>3.5999999999999997E-2</v>
      </c>
      <c r="AT694" s="48">
        <f t="shared" ca="1" si="234"/>
        <v>65.719647123287643</v>
      </c>
      <c r="AU694" s="3">
        <f t="shared" ca="1" si="236"/>
        <v>-65.719647123287643</v>
      </c>
      <c r="AV694" s="3">
        <f t="shared" ca="1" si="237"/>
        <v>-65.719647123287643</v>
      </c>
    </row>
    <row r="695" spans="43:48" x14ac:dyDescent="0.2">
      <c r="AQ695" s="4">
        <f t="shared" ca="1" si="233"/>
        <v>45043</v>
      </c>
      <c r="AR695" s="3">
        <f t="shared" ca="1" si="235"/>
        <v>666324.19999999972</v>
      </c>
      <c r="AS695" s="63">
        <f ca="1">IF($AQ695&lt;&gt;"", INDEX(Inputs!$B$3:$B$101, MATCH($AQ695,Inputs!$A$3:$A$101,1)), "")</f>
        <v>3.5999999999999997E-2</v>
      </c>
      <c r="AT695" s="48">
        <f t="shared" ca="1" si="234"/>
        <v>65.719647123287643</v>
      </c>
      <c r="AU695" s="3">
        <f t="shared" ca="1" si="236"/>
        <v>-65.719647123287643</v>
      </c>
      <c r="AV695" s="3">
        <f t="shared" ca="1" si="237"/>
        <v>-65.719647123287643</v>
      </c>
    </row>
    <row r="696" spans="43:48" x14ac:dyDescent="0.2">
      <c r="AQ696" s="4">
        <f t="shared" ca="1" si="233"/>
        <v>45044</v>
      </c>
      <c r="AR696" s="3">
        <f t="shared" ca="1" si="235"/>
        <v>662335.77999999968</v>
      </c>
      <c r="AS696" s="63">
        <f ca="1">IF($AQ696&lt;&gt;"", INDEX(Inputs!$B$3:$B$101, MATCH($AQ696,Inputs!$A$3:$A$101,1)), "")</f>
        <v>3.5999999999999997E-2</v>
      </c>
      <c r="AT696" s="48">
        <f t="shared" ca="1" si="234"/>
        <v>65.326268712328726</v>
      </c>
      <c r="AU696" s="3">
        <f t="shared" ca="1" si="236"/>
        <v>1834.6737312876712</v>
      </c>
      <c r="AV696" s="3">
        <f t="shared" ca="1" si="237"/>
        <v>1834.6737312876712</v>
      </c>
    </row>
    <row r="697" spans="43:48" x14ac:dyDescent="0.2">
      <c r="AQ697" s="4">
        <f t="shared" ref="AQ697:AQ760" ca="1" si="238">IF(AQ696&lt;$AP$3,AQ696+1,"")</f>
        <v>45045</v>
      </c>
      <c r="AR697" s="3">
        <f t="shared" ca="1" si="235"/>
        <v>662335.77999999968</v>
      </c>
      <c r="AS697" s="63">
        <f ca="1">IF($AQ697&lt;&gt;"", INDEX(Inputs!$B$3:$B$101, MATCH($AQ697,Inputs!$A$3:$A$101,1)), "")</f>
        <v>3.5999999999999997E-2</v>
      </c>
      <c r="AT697" s="48">
        <f t="shared" ref="AT697:AT760" ca="1" si="239">IF($AQ697&lt;&gt;"", AR697*AS697/365, "")</f>
        <v>65.326268712328726</v>
      </c>
      <c r="AU697" s="3">
        <f t="shared" ca="1" si="236"/>
        <v>-65.326268712328726</v>
      </c>
      <c r="AV697" s="3">
        <f t="shared" ca="1" si="237"/>
        <v>-65.326268712328726</v>
      </c>
    </row>
    <row r="698" spans="43:48" x14ac:dyDescent="0.2">
      <c r="AQ698" s="4">
        <f t="shared" ca="1" si="238"/>
        <v>45046</v>
      </c>
      <c r="AR698" s="3">
        <f t="shared" ca="1" si="235"/>
        <v>662335.77999999968</v>
      </c>
      <c r="AS698" s="63">
        <f ca="1">IF($AQ698&lt;&gt;"", INDEX(Inputs!$B$3:$B$101, MATCH($AQ698,Inputs!$A$3:$A$101,1)), "")</f>
        <v>3.5999999999999997E-2</v>
      </c>
      <c r="AT698" s="48">
        <f t="shared" ca="1" si="239"/>
        <v>65.326268712328726</v>
      </c>
      <c r="AU698" s="3">
        <f t="shared" ca="1" si="236"/>
        <v>-65.326268712328726</v>
      </c>
      <c r="AV698" s="3">
        <f t="shared" ca="1" si="237"/>
        <v>-65.326268712328726</v>
      </c>
    </row>
    <row r="699" spans="43:48" x14ac:dyDescent="0.2">
      <c r="AQ699" s="4">
        <f t="shared" ca="1" si="238"/>
        <v>45047</v>
      </c>
      <c r="AR699" s="3">
        <f t="shared" ca="1" si="235"/>
        <v>662335.77999999968</v>
      </c>
      <c r="AS699" s="63">
        <f ca="1">IF($AQ699&lt;&gt;"", INDEX(Inputs!$B$3:$B$101, MATCH($AQ699,Inputs!$A$3:$A$101,1)), "")</f>
        <v>3.5999999999999997E-2</v>
      </c>
      <c r="AT699" s="48">
        <f t="shared" ca="1" si="239"/>
        <v>65.326268712328726</v>
      </c>
      <c r="AU699" s="3">
        <f t="shared" ca="1" si="236"/>
        <v>-3189.3262687123288</v>
      </c>
      <c r="AV699" s="3">
        <f t="shared" ca="1" si="237"/>
        <v>-3189.3262687123288</v>
      </c>
    </row>
    <row r="700" spans="43:48" x14ac:dyDescent="0.2">
      <c r="AQ700" s="4">
        <f t="shared" ca="1" si="238"/>
        <v>45048</v>
      </c>
      <c r="AR700" s="3">
        <f t="shared" ca="1" si="235"/>
        <v>662335.77999999968</v>
      </c>
      <c r="AS700" s="63">
        <f ca="1">IF($AQ700&lt;&gt;"", INDEX(Inputs!$B$3:$B$101, MATCH($AQ700,Inputs!$A$3:$A$101,1)), "")</f>
        <v>3.5999999999999997E-2</v>
      </c>
      <c r="AT700" s="48">
        <f t="shared" ca="1" si="239"/>
        <v>65.326268712328726</v>
      </c>
      <c r="AU700" s="3">
        <f t="shared" ca="1" si="236"/>
        <v>-65.326268712328726</v>
      </c>
      <c r="AV700" s="3">
        <f t="shared" ca="1" si="237"/>
        <v>-65.326268712328726</v>
      </c>
    </row>
    <row r="701" spans="43:48" x14ac:dyDescent="0.2">
      <c r="AQ701" s="4">
        <f t="shared" ca="1" si="238"/>
        <v>45049</v>
      </c>
      <c r="AR701" s="3">
        <f t="shared" ca="1" si="235"/>
        <v>662335.77999999968</v>
      </c>
      <c r="AS701" s="63">
        <f ca="1">IF($AQ701&lt;&gt;"", INDEX(Inputs!$B$3:$B$101, MATCH($AQ701,Inputs!$A$3:$A$101,1)), "")</f>
        <v>3.85E-2</v>
      </c>
      <c r="AT701" s="48">
        <f t="shared" ca="1" si="239"/>
        <v>69.862815150684895</v>
      </c>
      <c r="AU701" s="3">
        <f t="shared" ca="1" si="236"/>
        <v>-69.862815150684895</v>
      </c>
      <c r="AV701" s="3">
        <f t="shared" ca="1" si="237"/>
        <v>-69.862815150684895</v>
      </c>
    </row>
    <row r="702" spans="43:48" x14ac:dyDescent="0.2">
      <c r="AQ702" s="4">
        <f t="shared" ca="1" si="238"/>
        <v>45050</v>
      </c>
      <c r="AR702" s="3">
        <f t="shared" ca="1" si="235"/>
        <v>662335.77999999968</v>
      </c>
      <c r="AS702" s="63">
        <f ca="1">IF($AQ702&lt;&gt;"", INDEX(Inputs!$B$3:$B$101, MATCH($AQ702,Inputs!$A$3:$A$101,1)), "")</f>
        <v>3.85E-2</v>
      </c>
      <c r="AT702" s="48">
        <f t="shared" ca="1" si="239"/>
        <v>69.862815150684895</v>
      </c>
      <c r="AU702" s="3">
        <f t="shared" ca="1" si="236"/>
        <v>-69.862815150684895</v>
      </c>
      <c r="AV702" s="3">
        <f t="shared" ca="1" si="237"/>
        <v>-69.862815150684895</v>
      </c>
    </row>
    <row r="703" spans="43:48" x14ac:dyDescent="0.2">
      <c r="AQ703" s="4">
        <f t="shared" ca="1" si="238"/>
        <v>45051</v>
      </c>
      <c r="AR703" s="3">
        <f t="shared" ca="1" si="235"/>
        <v>662335.77999999968</v>
      </c>
      <c r="AS703" s="63">
        <f ca="1">IF($AQ703&lt;&gt;"", INDEX(Inputs!$B$3:$B$101, MATCH($AQ703,Inputs!$A$3:$A$101,1)), "")</f>
        <v>3.85E-2</v>
      </c>
      <c r="AT703" s="48">
        <f t="shared" ca="1" si="239"/>
        <v>69.862815150684895</v>
      </c>
      <c r="AU703" s="3">
        <f t="shared" ca="1" si="236"/>
        <v>1830.1371848493152</v>
      </c>
      <c r="AV703" s="3">
        <f t="shared" ca="1" si="237"/>
        <v>1830.1371848493152</v>
      </c>
    </row>
    <row r="704" spans="43:48" x14ac:dyDescent="0.2">
      <c r="AQ704" s="4">
        <f t="shared" ca="1" si="238"/>
        <v>45052</v>
      </c>
      <c r="AR704" s="3">
        <f t="shared" ca="1" si="235"/>
        <v>662335.77999999968</v>
      </c>
      <c r="AS704" s="63">
        <f ca="1">IF($AQ704&lt;&gt;"", INDEX(Inputs!$B$3:$B$101, MATCH($AQ704,Inputs!$A$3:$A$101,1)), "")</f>
        <v>3.85E-2</v>
      </c>
      <c r="AT704" s="48">
        <f t="shared" ca="1" si="239"/>
        <v>69.862815150684895</v>
      </c>
      <c r="AU704" s="3">
        <f t="shared" ca="1" si="236"/>
        <v>-69.862815150684895</v>
      </c>
      <c r="AV704" s="3">
        <f t="shared" ca="1" si="237"/>
        <v>-69.862815150684895</v>
      </c>
    </row>
    <row r="705" spans="43:48" x14ac:dyDescent="0.2">
      <c r="AQ705" s="4">
        <f t="shared" ca="1" si="238"/>
        <v>45053</v>
      </c>
      <c r="AR705" s="3">
        <f t="shared" ca="1" si="235"/>
        <v>662335.77999999968</v>
      </c>
      <c r="AS705" s="63">
        <f ca="1">IF($AQ705&lt;&gt;"", INDEX(Inputs!$B$3:$B$101, MATCH($AQ705,Inputs!$A$3:$A$101,1)), "")</f>
        <v>3.85E-2</v>
      </c>
      <c r="AT705" s="48">
        <f t="shared" ca="1" si="239"/>
        <v>69.862815150684895</v>
      </c>
      <c r="AU705" s="3">
        <f t="shared" ca="1" si="236"/>
        <v>-69.862815150684895</v>
      </c>
      <c r="AV705" s="3">
        <f t="shared" ca="1" si="237"/>
        <v>-69.862815150684895</v>
      </c>
    </row>
    <row r="706" spans="43:48" x14ac:dyDescent="0.2">
      <c r="AQ706" s="4">
        <f t="shared" ca="1" si="238"/>
        <v>45054</v>
      </c>
      <c r="AR706" s="3">
        <f t="shared" ca="1" si="235"/>
        <v>662335.77999999968</v>
      </c>
      <c r="AS706" s="63">
        <f ca="1">IF($AQ706&lt;&gt;"", INDEX(Inputs!$B$3:$B$101, MATCH($AQ706,Inputs!$A$3:$A$101,1)), "")</f>
        <v>3.85E-2</v>
      </c>
      <c r="AT706" s="48">
        <f t="shared" ca="1" si="239"/>
        <v>69.862815150684895</v>
      </c>
      <c r="AU706" s="3">
        <f t="shared" ca="1" si="236"/>
        <v>-69.862815150684895</v>
      </c>
      <c r="AV706" s="3">
        <f t="shared" ca="1" si="237"/>
        <v>-69.862815150684895</v>
      </c>
    </row>
    <row r="707" spans="43:48" x14ac:dyDescent="0.2">
      <c r="AQ707" s="4">
        <f t="shared" ca="1" si="238"/>
        <v>45055</v>
      </c>
      <c r="AR707" s="3">
        <f t="shared" ca="1" si="235"/>
        <v>662335.77999999968</v>
      </c>
      <c r="AS707" s="63">
        <f ca="1">IF($AQ707&lt;&gt;"", INDEX(Inputs!$B$3:$B$101, MATCH($AQ707,Inputs!$A$3:$A$101,1)), "")</f>
        <v>3.85E-2</v>
      </c>
      <c r="AT707" s="48">
        <f t="shared" ca="1" si="239"/>
        <v>69.862815150684895</v>
      </c>
      <c r="AU707" s="3">
        <f t="shared" ca="1" si="236"/>
        <v>-69.862815150684895</v>
      </c>
      <c r="AV707" s="3">
        <f t="shared" ca="1" si="237"/>
        <v>-69.862815150684895</v>
      </c>
    </row>
    <row r="708" spans="43:48" x14ac:dyDescent="0.2">
      <c r="AQ708" s="4">
        <f t="shared" ca="1" si="238"/>
        <v>45056</v>
      </c>
      <c r="AR708" s="3">
        <f t="shared" ca="1" si="235"/>
        <v>662335.77999999968</v>
      </c>
      <c r="AS708" s="63">
        <f ca="1">IF($AQ708&lt;&gt;"", INDEX(Inputs!$B$3:$B$101, MATCH($AQ708,Inputs!$A$3:$A$101,1)), "")</f>
        <v>3.85E-2</v>
      </c>
      <c r="AT708" s="48">
        <f t="shared" ca="1" si="239"/>
        <v>69.862815150684895</v>
      </c>
      <c r="AU708" s="3">
        <f t="shared" ca="1" si="236"/>
        <v>-69.862815150684895</v>
      </c>
      <c r="AV708" s="3">
        <f t="shared" ca="1" si="237"/>
        <v>-69.862815150684895</v>
      </c>
    </row>
    <row r="709" spans="43:48" x14ac:dyDescent="0.2">
      <c r="AQ709" s="4">
        <f t="shared" ca="1" si="238"/>
        <v>45057</v>
      </c>
      <c r="AR709" s="3">
        <f t="shared" ca="1" si="235"/>
        <v>662335.77999999968</v>
      </c>
      <c r="AS709" s="63">
        <f ca="1">IF($AQ709&lt;&gt;"", INDEX(Inputs!$B$3:$B$101, MATCH($AQ709,Inputs!$A$3:$A$101,1)), "")</f>
        <v>3.85E-2</v>
      </c>
      <c r="AT709" s="48">
        <f t="shared" ca="1" si="239"/>
        <v>69.862815150684895</v>
      </c>
      <c r="AU709" s="3">
        <f t="shared" ca="1" si="236"/>
        <v>-69.862815150684895</v>
      </c>
      <c r="AV709" s="3">
        <f t="shared" ca="1" si="237"/>
        <v>-69.862815150684895</v>
      </c>
    </row>
    <row r="710" spans="43:48" x14ac:dyDescent="0.2">
      <c r="AQ710" s="4">
        <f t="shared" ca="1" si="238"/>
        <v>45058</v>
      </c>
      <c r="AR710" s="3">
        <f t="shared" ca="1" si="235"/>
        <v>662335.77999999968</v>
      </c>
      <c r="AS710" s="63">
        <f ca="1">IF($AQ710&lt;&gt;"", INDEX(Inputs!$B$3:$B$101, MATCH($AQ710,Inputs!$A$3:$A$101,1)), "")</f>
        <v>3.85E-2</v>
      </c>
      <c r="AT710" s="48">
        <f t="shared" ca="1" si="239"/>
        <v>69.862815150684895</v>
      </c>
      <c r="AU710" s="3">
        <f t="shared" ca="1" si="236"/>
        <v>1830.1371848493152</v>
      </c>
      <c r="AV710" s="3">
        <f t="shared" ca="1" si="237"/>
        <v>1830.1371848493152</v>
      </c>
    </row>
    <row r="711" spans="43:48" x14ac:dyDescent="0.2">
      <c r="AQ711" s="4">
        <f t="shared" ca="1" si="238"/>
        <v>45059</v>
      </c>
      <c r="AR711" s="3">
        <f t="shared" ca="1" si="235"/>
        <v>662335.77999999968</v>
      </c>
      <c r="AS711" s="63">
        <f ca="1">IF($AQ711&lt;&gt;"", INDEX(Inputs!$B$3:$B$101, MATCH($AQ711,Inputs!$A$3:$A$101,1)), "")</f>
        <v>3.85E-2</v>
      </c>
      <c r="AT711" s="48">
        <f t="shared" ca="1" si="239"/>
        <v>69.862815150684895</v>
      </c>
      <c r="AU711" s="3">
        <f t="shared" ca="1" si="236"/>
        <v>-69.862815150684895</v>
      </c>
      <c r="AV711" s="3">
        <f t="shared" ca="1" si="237"/>
        <v>-69.862815150684895</v>
      </c>
    </row>
    <row r="712" spans="43:48" x14ac:dyDescent="0.2">
      <c r="AQ712" s="4">
        <f t="shared" ca="1" si="238"/>
        <v>45060</v>
      </c>
      <c r="AR712" s="3">
        <f t="shared" ca="1" si="235"/>
        <v>662335.77999999968</v>
      </c>
      <c r="AS712" s="63">
        <f ca="1">IF($AQ712&lt;&gt;"", INDEX(Inputs!$B$3:$B$101, MATCH($AQ712,Inputs!$A$3:$A$101,1)), "")</f>
        <v>3.85E-2</v>
      </c>
      <c r="AT712" s="48">
        <f t="shared" ca="1" si="239"/>
        <v>69.862815150684895</v>
      </c>
      <c r="AU712" s="3">
        <f t="shared" ca="1" si="236"/>
        <v>-69.862815150684895</v>
      </c>
      <c r="AV712" s="3">
        <f t="shared" ca="1" si="237"/>
        <v>-69.862815150684895</v>
      </c>
    </row>
    <row r="713" spans="43:48" x14ac:dyDescent="0.2">
      <c r="AQ713" s="4">
        <f t="shared" ca="1" si="238"/>
        <v>45061</v>
      </c>
      <c r="AR713" s="3">
        <f t="shared" ca="1" si="235"/>
        <v>662335.77999999968</v>
      </c>
      <c r="AS713" s="63">
        <f ca="1">IF($AQ713&lt;&gt;"", INDEX(Inputs!$B$3:$B$101, MATCH($AQ713,Inputs!$A$3:$A$101,1)), "")</f>
        <v>3.85E-2</v>
      </c>
      <c r="AT713" s="48">
        <f t="shared" ca="1" si="239"/>
        <v>69.862815150684895</v>
      </c>
      <c r="AU713" s="3">
        <f t="shared" ca="1" si="236"/>
        <v>-69.862815150684895</v>
      </c>
      <c r="AV713" s="3">
        <f t="shared" ca="1" si="237"/>
        <v>-69.862815150684895</v>
      </c>
    </row>
    <row r="714" spans="43:48" x14ac:dyDescent="0.2">
      <c r="AQ714" s="4">
        <f t="shared" ca="1" si="238"/>
        <v>45062</v>
      </c>
      <c r="AR714" s="3">
        <f t="shared" ca="1" si="235"/>
        <v>674936.57999999973</v>
      </c>
      <c r="AS714" s="63">
        <f ca="1">IF($AQ714&lt;&gt;"", INDEX(Inputs!$B$3:$B$101, MATCH($AQ714,Inputs!$A$3:$A$101,1)), "")</f>
        <v>3.85E-2</v>
      </c>
      <c r="AT714" s="48">
        <f t="shared" ca="1" si="239"/>
        <v>71.191940630136955</v>
      </c>
      <c r="AU714" s="3">
        <f t="shared" ca="1" si="236"/>
        <v>-12671.991940630136</v>
      </c>
      <c r="AV714" s="3">
        <f t="shared" ca="1" si="237"/>
        <v>-12671.991940630136</v>
      </c>
    </row>
    <row r="715" spans="43:48" x14ac:dyDescent="0.2">
      <c r="AQ715" s="4">
        <f t="shared" ca="1" si="238"/>
        <v>45063</v>
      </c>
      <c r="AR715" s="3">
        <f t="shared" ca="1" si="235"/>
        <v>674936.57999999973</v>
      </c>
      <c r="AS715" s="63">
        <f ca="1">IF($AQ715&lt;&gt;"", INDEX(Inputs!$B$3:$B$101, MATCH($AQ715,Inputs!$A$3:$A$101,1)), "")</f>
        <v>3.85E-2</v>
      </c>
      <c r="AT715" s="48">
        <f t="shared" ca="1" si="239"/>
        <v>71.191940630136955</v>
      </c>
      <c r="AU715" s="3">
        <f t="shared" ca="1" si="236"/>
        <v>-71.191940630136955</v>
      </c>
      <c r="AV715" s="3">
        <f t="shared" ca="1" si="237"/>
        <v>-71.191940630136955</v>
      </c>
    </row>
    <row r="716" spans="43:48" x14ac:dyDescent="0.2">
      <c r="AQ716" s="4">
        <f t="shared" ca="1" si="238"/>
        <v>45064</v>
      </c>
      <c r="AR716" s="3">
        <f t="shared" ca="1" si="235"/>
        <v>674936.57999999973</v>
      </c>
      <c r="AS716" s="63">
        <f ca="1">IF($AQ716&lt;&gt;"", INDEX(Inputs!$B$3:$B$101, MATCH($AQ716,Inputs!$A$3:$A$101,1)), "")</f>
        <v>3.85E-2</v>
      </c>
      <c r="AT716" s="48">
        <f t="shared" ca="1" si="239"/>
        <v>71.191940630136955</v>
      </c>
      <c r="AU716" s="3">
        <f t="shared" ca="1" si="236"/>
        <v>-71.191940630136955</v>
      </c>
      <c r="AV716" s="3">
        <f t="shared" ca="1" si="237"/>
        <v>-71.191940630136955</v>
      </c>
    </row>
    <row r="717" spans="43:48" x14ac:dyDescent="0.2">
      <c r="AQ717" s="4">
        <f t="shared" ca="1" si="238"/>
        <v>45065</v>
      </c>
      <c r="AR717" s="3">
        <f t="shared" ca="1" si="235"/>
        <v>674936.57999999973</v>
      </c>
      <c r="AS717" s="63">
        <f ca="1">IF($AQ717&lt;&gt;"", INDEX(Inputs!$B$3:$B$101, MATCH($AQ717,Inputs!$A$3:$A$101,1)), "")</f>
        <v>3.85E-2</v>
      </c>
      <c r="AT717" s="48">
        <f t="shared" ca="1" si="239"/>
        <v>71.191940630136955</v>
      </c>
      <c r="AU717" s="3">
        <f t="shared" ca="1" si="236"/>
        <v>1828.808059369863</v>
      </c>
      <c r="AV717" s="3">
        <f t="shared" ca="1" si="237"/>
        <v>1828.808059369863</v>
      </c>
    </row>
    <row r="718" spans="43:48" x14ac:dyDescent="0.2">
      <c r="AQ718" s="4">
        <f t="shared" ca="1" si="238"/>
        <v>45066</v>
      </c>
      <c r="AR718" s="3">
        <f t="shared" ca="1" si="235"/>
        <v>674936.57999999973</v>
      </c>
      <c r="AS718" s="63">
        <f ca="1">IF($AQ718&lt;&gt;"", INDEX(Inputs!$B$3:$B$101, MATCH($AQ718,Inputs!$A$3:$A$101,1)), "")</f>
        <v>3.85E-2</v>
      </c>
      <c r="AT718" s="48">
        <f t="shared" ca="1" si="239"/>
        <v>71.191940630136955</v>
      </c>
      <c r="AU718" s="3">
        <f t="shared" ca="1" si="236"/>
        <v>-71.191940630136955</v>
      </c>
      <c r="AV718" s="3">
        <f t="shared" ca="1" si="237"/>
        <v>-71.191940630136955</v>
      </c>
    </row>
    <row r="719" spans="43:48" x14ac:dyDescent="0.2">
      <c r="AQ719" s="4">
        <f t="shared" ca="1" si="238"/>
        <v>45067</v>
      </c>
      <c r="AR719" s="3">
        <f t="shared" ca="1" si="235"/>
        <v>674936.57999999973</v>
      </c>
      <c r="AS719" s="63">
        <f ca="1">IF($AQ719&lt;&gt;"", INDEX(Inputs!$B$3:$B$101, MATCH($AQ719,Inputs!$A$3:$A$101,1)), "")</f>
        <v>3.85E-2</v>
      </c>
      <c r="AT719" s="48">
        <f t="shared" ca="1" si="239"/>
        <v>71.191940630136955</v>
      </c>
      <c r="AU719" s="3">
        <f t="shared" ca="1" si="236"/>
        <v>-71.191940630136955</v>
      </c>
      <c r="AV719" s="3">
        <f t="shared" ca="1" si="237"/>
        <v>-71.191940630136955</v>
      </c>
    </row>
    <row r="720" spans="43:48" x14ac:dyDescent="0.2">
      <c r="AQ720" s="4">
        <f t="shared" ca="1" si="238"/>
        <v>45068</v>
      </c>
      <c r="AR720" s="3">
        <f t="shared" ca="1" si="235"/>
        <v>674936.57999999973</v>
      </c>
      <c r="AS720" s="63">
        <f ca="1">IF($AQ720&lt;&gt;"", INDEX(Inputs!$B$3:$B$101, MATCH($AQ720,Inputs!$A$3:$A$101,1)), "")</f>
        <v>3.85E-2</v>
      </c>
      <c r="AT720" s="48">
        <f t="shared" ca="1" si="239"/>
        <v>71.191940630136955</v>
      </c>
      <c r="AU720" s="3">
        <f t="shared" ca="1" si="236"/>
        <v>-71.191940630136955</v>
      </c>
      <c r="AV720" s="3">
        <f t="shared" ca="1" si="237"/>
        <v>-71.191940630136955</v>
      </c>
    </row>
    <row r="721" spans="43:48" x14ac:dyDescent="0.2">
      <c r="AQ721" s="4">
        <f t="shared" ca="1" si="238"/>
        <v>45069</v>
      </c>
      <c r="AR721" s="3">
        <f t="shared" ca="1" si="235"/>
        <v>674936.57999999973</v>
      </c>
      <c r="AS721" s="63">
        <f ca="1">IF($AQ721&lt;&gt;"", INDEX(Inputs!$B$3:$B$101, MATCH($AQ721,Inputs!$A$3:$A$101,1)), "")</f>
        <v>3.85E-2</v>
      </c>
      <c r="AT721" s="48">
        <f t="shared" ca="1" si="239"/>
        <v>71.191940630136955</v>
      </c>
      <c r="AU721" s="3">
        <f t="shared" ca="1" si="236"/>
        <v>-71.191940630136955</v>
      </c>
      <c r="AV721" s="3">
        <f t="shared" ca="1" si="237"/>
        <v>-71.191940630136955</v>
      </c>
    </row>
    <row r="722" spans="43:48" x14ac:dyDescent="0.2">
      <c r="AQ722" s="4">
        <f t="shared" ca="1" si="238"/>
        <v>45070</v>
      </c>
      <c r="AR722" s="3">
        <f t="shared" ca="1" si="235"/>
        <v>674936.57999999973</v>
      </c>
      <c r="AS722" s="63">
        <f ca="1">IF($AQ722&lt;&gt;"", INDEX(Inputs!$B$3:$B$101, MATCH($AQ722,Inputs!$A$3:$A$101,1)), "")</f>
        <v>3.85E-2</v>
      </c>
      <c r="AT722" s="48">
        <f t="shared" ca="1" si="239"/>
        <v>71.191940630136955</v>
      </c>
      <c r="AU722" s="3">
        <f t="shared" ca="1" si="236"/>
        <v>-71.191940630136955</v>
      </c>
      <c r="AV722" s="3">
        <f t="shared" ca="1" si="237"/>
        <v>-71.191940630136955</v>
      </c>
    </row>
    <row r="723" spans="43:48" x14ac:dyDescent="0.2">
      <c r="AQ723" s="4">
        <f t="shared" ca="1" si="238"/>
        <v>45071</v>
      </c>
      <c r="AR723" s="3">
        <f t="shared" ca="1" si="235"/>
        <v>674936.57999999973</v>
      </c>
      <c r="AS723" s="63">
        <f ca="1">IF($AQ723&lt;&gt;"", INDEX(Inputs!$B$3:$B$101, MATCH($AQ723,Inputs!$A$3:$A$101,1)), "")</f>
        <v>3.85E-2</v>
      </c>
      <c r="AT723" s="48">
        <f t="shared" ca="1" si="239"/>
        <v>71.191940630136955</v>
      </c>
      <c r="AU723" s="3">
        <f t="shared" ca="1" si="236"/>
        <v>-71.191940630136955</v>
      </c>
      <c r="AV723" s="3">
        <f t="shared" ca="1" si="237"/>
        <v>-71.191940630136955</v>
      </c>
    </row>
    <row r="724" spans="43:48" x14ac:dyDescent="0.2">
      <c r="AQ724" s="4">
        <f t="shared" ca="1" si="238"/>
        <v>45072</v>
      </c>
      <c r="AR724" s="3">
        <f t="shared" ca="1" si="235"/>
        <v>674936.57999999973</v>
      </c>
      <c r="AS724" s="63">
        <f ca="1">IF($AQ724&lt;&gt;"", INDEX(Inputs!$B$3:$B$101, MATCH($AQ724,Inputs!$A$3:$A$101,1)), "")</f>
        <v>3.85E-2</v>
      </c>
      <c r="AT724" s="48">
        <f t="shared" ca="1" si="239"/>
        <v>71.191940630136955</v>
      </c>
      <c r="AU724" s="3">
        <f t="shared" ca="1" si="236"/>
        <v>1828.808059369863</v>
      </c>
      <c r="AV724" s="3">
        <f t="shared" ca="1" si="237"/>
        <v>1828.808059369863</v>
      </c>
    </row>
    <row r="725" spans="43:48" x14ac:dyDescent="0.2">
      <c r="AQ725" s="4">
        <f t="shared" ca="1" si="238"/>
        <v>45073</v>
      </c>
      <c r="AR725" s="3">
        <f t="shared" ca="1" si="235"/>
        <v>674936.57999999973</v>
      </c>
      <c r="AS725" s="63">
        <f ca="1">IF($AQ725&lt;&gt;"", INDEX(Inputs!$B$3:$B$101, MATCH($AQ725,Inputs!$A$3:$A$101,1)), "")</f>
        <v>3.85E-2</v>
      </c>
      <c r="AT725" s="48">
        <f t="shared" ca="1" si="239"/>
        <v>71.191940630136955</v>
      </c>
      <c r="AU725" s="3">
        <f t="shared" ca="1" si="236"/>
        <v>-71.191940630136955</v>
      </c>
      <c r="AV725" s="3">
        <f t="shared" ca="1" si="237"/>
        <v>-71.191940630136955</v>
      </c>
    </row>
    <row r="726" spans="43:48" x14ac:dyDescent="0.2">
      <c r="AQ726" s="4">
        <f t="shared" ca="1" si="238"/>
        <v>45074</v>
      </c>
      <c r="AR726" s="3">
        <f t="shared" ca="1" si="235"/>
        <v>674936.57999999973</v>
      </c>
      <c r="AS726" s="63">
        <f ca="1">IF($AQ726&lt;&gt;"", INDEX(Inputs!$B$3:$B$101, MATCH($AQ726,Inputs!$A$3:$A$101,1)), "")</f>
        <v>3.85E-2</v>
      </c>
      <c r="AT726" s="48">
        <f t="shared" ca="1" si="239"/>
        <v>71.191940630136955</v>
      </c>
      <c r="AU726" s="3">
        <f t="shared" ca="1" si="236"/>
        <v>-71.191940630136955</v>
      </c>
      <c r="AV726" s="3">
        <f t="shared" ca="1" si="237"/>
        <v>-71.191940630136955</v>
      </c>
    </row>
    <row r="727" spans="43:48" x14ac:dyDescent="0.2">
      <c r="AQ727" s="4">
        <f t="shared" ca="1" si="238"/>
        <v>45075</v>
      </c>
      <c r="AR727" s="3">
        <f t="shared" ca="1" si="235"/>
        <v>674936.57999999973</v>
      </c>
      <c r="AS727" s="63">
        <f ca="1">IF($AQ727&lt;&gt;"", INDEX(Inputs!$B$3:$B$101, MATCH($AQ727,Inputs!$A$3:$A$101,1)), "")</f>
        <v>3.85E-2</v>
      </c>
      <c r="AT727" s="48">
        <f t="shared" ca="1" si="239"/>
        <v>71.191940630136955</v>
      </c>
      <c r="AU727" s="3">
        <f t="shared" ca="1" si="236"/>
        <v>-71.191940630136955</v>
      </c>
      <c r="AV727" s="3">
        <f t="shared" ca="1" si="237"/>
        <v>-71.191940630136955</v>
      </c>
    </row>
    <row r="728" spans="43:48" x14ac:dyDescent="0.2">
      <c r="AQ728" s="4">
        <f t="shared" ca="1" si="238"/>
        <v>45076</v>
      </c>
      <c r="AR728" s="3">
        <f t="shared" ca="1" si="235"/>
        <v>674936.57999999973</v>
      </c>
      <c r="AS728" s="63">
        <f ca="1">IF($AQ728&lt;&gt;"", INDEX(Inputs!$B$3:$B$101, MATCH($AQ728,Inputs!$A$3:$A$101,1)), "")</f>
        <v>3.85E-2</v>
      </c>
      <c r="AT728" s="48">
        <f t="shared" ca="1" si="239"/>
        <v>71.191940630136955</v>
      </c>
      <c r="AU728" s="3">
        <f t="shared" ca="1" si="236"/>
        <v>-71.191940630136955</v>
      </c>
      <c r="AV728" s="3">
        <f t="shared" ca="1" si="237"/>
        <v>-71.191940630136955</v>
      </c>
    </row>
    <row r="729" spans="43:48" x14ac:dyDescent="0.2">
      <c r="AQ729" s="4">
        <f t="shared" ca="1" si="238"/>
        <v>45077</v>
      </c>
      <c r="AR729" s="3">
        <f t="shared" ref="AR729:AR792" ca="1" si="240">IF($AQ729&lt;&gt;"", INDEX($AC$3:$AC$1055, MATCH($AQ729,$A$3:$A$1055,1)), "")</f>
        <v>669830.18999999971</v>
      </c>
      <c r="AS729" s="63">
        <f ca="1">IF($AQ729&lt;&gt;"", INDEX(Inputs!$B$3:$B$101, MATCH($AQ729,Inputs!$A$3:$A$101,1)), "")</f>
        <v>3.85E-2</v>
      </c>
      <c r="AT729" s="48">
        <f t="shared" ca="1" si="239"/>
        <v>70.653321410958881</v>
      </c>
      <c r="AU729" s="3">
        <f t="shared" ref="AU729:AU792" ca="1" si="241">IF($AQ729&lt;&gt;"", SUMIFS($AL$3:$AL$1054, $A$3:$A$1054,$AQ729) + SUMIFS($M$3:$M$1054, $A$3:$A$1054,$AQ729)*IFERROR(AVERAGEIFS($L$3:$L$1054, $A$3:$A$1054,$AQ729, $M$3:$M$1054,"&gt;0"),0) - AT729, "")</f>
        <v>-70.653321410958881</v>
      </c>
      <c r="AV729" s="3">
        <f t="shared" ca="1" si="237"/>
        <v>-70.653321410958881</v>
      </c>
    </row>
    <row r="730" spans="43:48" x14ac:dyDescent="0.2">
      <c r="AQ730" s="4">
        <f t="shared" ca="1" si="238"/>
        <v>45078</v>
      </c>
      <c r="AR730" s="3">
        <f t="shared" ca="1" si="240"/>
        <v>669830.18999999971</v>
      </c>
      <c r="AS730" s="63">
        <f ca="1">IF($AQ730&lt;&gt;"", INDEX(Inputs!$B$3:$B$101, MATCH($AQ730,Inputs!$A$3:$A$101,1)), "")</f>
        <v>3.85E-2</v>
      </c>
      <c r="AT730" s="48">
        <f t="shared" ca="1" si="239"/>
        <v>70.653321410958881</v>
      </c>
      <c r="AU730" s="3">
        <f t="shared" ca="1" si="241"/>
        <v>-70.653321410958881</v>
      </c>
      <c r="AV730" s="3">
        <f t="shared" ca="1" si="237"/>
        <v>-70.653321410958881</v>
      </c>
    </row>
    <row r="731" spans="43:48" x14ac:dyDescent="0.2">
      <c r="AQ731" s="4">
        <f t="shared" ca="1" si="238"/>
        <v>45079</v>
      </c>
      <c r="AR731" s="3">
        <f t="shared" ca="1" si="240"/>
        <v>669830.18999999971</v>
      </c>
      <c r="AS731" s="63">
        <f ca="1">IF($AQ731&lt;&gt;"", INDEX(Inputs!$B$3:$B$101, MATCH($AQ731,Inputs!$A$3:$A$101,1)), "")</f>
        <v>3.85E-2</v>
      </c>
      <c r="AT731" s="48">
        <f t="shared" ca="1" si="239"/>
        <v>70.653321410958881</v>
      </c>
      <c r="AU731" s="3">
        <f t="shared" ca="1" si="241"/>
        <v>1829.3466785890412</v>
      </c>
      <c r="AV731" s="3">
        <f t="shared" ca="1" si="237"/>
        <v>1829.3466785890412</v>
      </c>
    </row>
    <row r="732" spans="43:48" x14ac:dyDescent="0.2">
      <c r="AQ732" s="4">
        <f t="shared" ca="1" si="238"/>
        <v>45080</v>
      </c>
      <c r="AR732" s="3">
        <f t="shared" ca="1" si="240"/>
        <v>669830.18999999971</v>
      </c>
      <c r="AS732" s="63">
        <f ca="1">IF($AQ732&lt;&gt;"", INDEX(Inputs!$B$3:$B$101, MATCH($AQ732,Inputs!$A$3:$A$101,1)), "")</f>
        <v>3.85E-2</v>
      </c>
      <c r="AT732" s="48">
        <f t="shared" ca="1" si="239"/>
        <v>70.653321410958881</v>
      </c>
      <c r="AU732" s="3">
        <f t="shared" ca="1" si="241"/>
        <v>-70.653321410958881</v>
      </c>
      <c r="AV732" s="3">
        <f t="shared" ca="1" si="237"/>
        <v>-70.653321410958881</v>
      </c>
    </row>
    <row r="733" spans="43:48" x14ac:dyDescent="0.2">
      <c r="AQ733" s="4">
        <f t="shared" ca="1" si="238"/>
        <v>45081</v>
      </c>
      <c r="AR733" s="3">
        <f t="shared" ca="1" si="240"/>
        <v>669830.18999999971</v>
      </c>
      <c r="AS733" s="63">
        <f ca="1">IF($AQ733&lt;&gt;"", INDEX(Inputs!$B$3:$B$101, MATCH($AQ733,Inputs!$A$3:$A$101,1)), "")</f>
        <v>3.85E-2</v>
      </c>
      <c r="AT733" s="48">
        <f t="shared" ca="1" si="239"/>
        <v>70.653321410958881</v>
      </c>
      <c r="AU733" s="3">
        <f t="shared" ca="1" si="241"/>
        <v>-70.653321410958881</v>
      </c>
      <c r="AV733" s="3">
        <f t="shared" ca="1" si="237"/>
        <v>-70.653321410958881</v>
      </c>
    </row>
    <row r="734" spans="43:48" x14ac:dyDescent="0.2">
      <c r="AQ734" s="4">
        <f t="shared" ca="1" si="238"/>
        <v>45082</v>
      </c>
      <c r="AR734" s="3">
        <f t="shared" ca="1" si="240"/>
        <v>669830.18999999971</v>
      </c>
      <c r="AS734" s="63">
        <f ca="1">IF($AQ734&lt;&gt;"", INDEX(Inputs!$B$3:$B$101, MATCH($AQ734,Inputs!$A$3:$A$101,1)), "")</f>
        <v>3.85E-2</v>
      </c>
      <c r="AT734" s="48">
        <f t="shared" ca="1" si="239"/>
        <v>70.653321410958881</v>
      </c>
      <c r="AU734" s="3">
        <f t="shared" ca="1" si="241"/>
        <v>-70.653321410958881</v>
      </c>
      <c r="AV734" s="3">
        <f t="shared" ca="1" si="237"/>
        <v>-70.653321410958881</v>
      </c>
    </row>
    <row r="735" spans="43:48" x14ac:dyDescent="0.2">
      <c r="AQ735" s="4">
        <f t="shared" ca="1" si="238"/>
        <v>45083</v>
      </c>
      <c r="AR735" s="3">
        <f t="shared" ca="1" si="240"/>
        <v>669830.18999999971</v>
      </c>
      <c r="AS735" s="63">
        <f ca="1">IF($AQ735&lt;&gt;"", INDEX(Inputs!$B$3:$B$101, MATCH($AQ735,Inputs!$A$3:$A$101,1)), "")</f>
        <v>3.85E-2</v>
      </c>
      <c r="AT735" s="48">
        <f t="shared" ca="1" si="239"/>
        <v>70.653321410958881</v>
      </c>
      <c r="AU735" s="3">
        <f t="shared" ca="1" si="241"/>
        <v>-70.653321410958881</v>
      </c>
      <c r="AV735" s="3">
        <f t="shared" ca="1" si="237"/>
        <v>-70.653321410958881</v>
      </c>
    </row>
    <row r="736" spans="43:48" x14ac:dyDescent="0.2">
      <c r="AQ736" s="4">
        <f t="shared" ca="1" si="238"/>
        <v>45084</v>
      </c>
      <c r="AR736" s="3">
        <f t="shared" ca="1" si="240"/>
        <v>669830.18999999971</v>
      </c>
      <c r="AS736" s="63">
        <f ca="1">IF($AQ736&lt;&gt;"", INDEX(Inputs!$B$3:$B$101, MATCH($AQ736,Inputs!$A$3:$A$101,1)), "")</f>
        <v>4.1000000000000002E-2</v>
      </c>
      <c r="AT736" s="48">
        <f t="shared" ca="1" si="239"/>
        <v>75.241199424657495</v>
      </c>
      <c r="AU736" s="3">
        <f t="shared" ca="1" si="241"/>
        <v>-75.241199424657495</v>
      </c>
      <c r="AV736" s="3">
        <f t="shared" ref="AV736:AV799" ca="1" si="242">IF(AQ736&lt;&gt;"", AU736*(1+$X$9/CompoundingRate)^-((AQ736-AQ$3)/(365/CompoundingRate)), "")</f>
        <v>-75.241199424657495</v>
      </c>
    </row>
    <row r="737" spans="43:48" x14ac:dyDescent="0.2">
      <c r="AQ737" s="4">
        <f t="shared" ca="1" si="238"/>
        <v>45085</v>
      </c>
      <c r="AR737" s="3">
        <f t="shared" ca="1" si="240"/>
        <v>669830.18999999971</v>
      </c>
      <c r="AS737" s="63">
        <f ca="1">IF($AQ737&lt;&gt;"", INDEX(Inputs!$B$3:$B$101, MATCH($AQ737,Inputs!$A$3:$A$101,1)), "")</f>
        <v>4.1000000000000002E-2</v>
      </c>
      <c r="AT737" s="48">
        <f t="shared" ca="1" si="239"/>
        <v>75.241199424657495</v>
      </c>
      <c r="AU737" s="3">
        <f t="shared" ca="1" si="241"/>
        <v>-75.241199424657495</v>
      </c>
      <c r="AV737" s="3">
        <f t="shared" ca="1" si="242"/>
        <v>-75.241199424657495</v>
      </c>
    </row>
    <row r="738" spans="43:48" x14ac:dyDescent="0.2">
      <c r="AQ738" s="4">
        <f t="shared" ca="1" si="238"/>
        <v>45086</v>
      </c>
      <c r="AR738" s="3">
        <f t="shared" ca="1" si="240"/>
        <v>669830.18999999971</v>
      </c>
      <c r="AS738" s="63">
        <f ca="1">IF($AQ738&lt;&gt;"", INDEX(Inputs!$B$3:$B$101, MATCH($AQ738,Inputs!$A$3:$A$101,1)), "")</f>
        <v>4.1000000000000002E-2</v>
      </c>
      <c r="AT738" s="48">
        <f t="shared" ca="1" si="239"/>
        <v>75.241199424657495</v>
      </c>
      <c r="AU738" s="3">
        <f t="shared" ca="1" si="241"/>
        <v>1824.7588005753425</v>
      </c>
      <c r="AV738" s="3">
        <f t="shared" ca="1" si="242"/>
        <v>1824.7588005753425</v>
      </c>
    </row>
    <row r="739" spans="43:48" x14ac:dyDescent="0.2">
      <c r="AQ739" s="4">
        <f t="shared" ca="1" si="238"/>
        <v>45087</v>
      </c>
      <c r="AR739" s="3">
        <f t="shared" ca="1" si="240"/>
        <v>669830.18999999971</v>
      </c>
      <c r="AS739" s="63">
        <f ca="1">IF($AQ739&lt;&gt;"", INDEX(Inputs!$B$3:$B$101, MATCH($AQ739,Inputs!$A$3:$A$101,1)), "")</f>
        <v>4.1000000000000002E-2</v>
      </c>
      <c r="AT739" s="48">
        <f t="shared" ca="1" si="239"/>
        <v>75.241199424657495</v>
      </c>
      <c r="AU739" s="3">
        <f t="shared" ca="1" si="241"/>
        <v>-75.241199424657495</v>
      </c>
      <c r="AV739" s="3">
        <f t="shared" ca="1" si="242"/>
        <v>-75.241199424657495</v>
      </c>
    </row>
    <row r="740" spans="43:48" x14ac:dyDescent="0.2">
      <c r="AQ740" s="4">
        <f t="shared" ca="1" si="238"/>
        <v>45088</v>
      </c>
      <c r="AR740" s="3">
        <f t="shared" ca="1" si="240"/>
        <v>669830.18999999971</v>
      </c>
      <c r="AS740" s="63">
        <f ca="1">IF($AQ740&lt;&gt;"", INDEX(Inputs!$B$3:$B$101, MATCH($AQ740,Inputs!$A$3:$A$101,1)), "")</f>
        <v>4.1000000000000002E-2</v>
      </c>
      <c r="AT740" s="48">
        <f t="shared" ca="1" si="239"/>
        <v>75.241199424657495</v>
      </c>
      <c r="AU740" s="3">
        <f t="shared" ca="1" si="241"/>
        <v>-75.241199424657495</v>
      </c>
      <c r="AV740" s="3">
        <f t="shared" ca="1" si="242"/>
        <v>-75.241199424657495</v>
      </c>
    </row>
    <row r="741" spans="43:48" x14ac:dyDescent="0.2">
      <c r="AQ741" s="4">
        <f t="shared" ca="1" si="238"/>
        <v>45089</v>
      </c>
      <c r="AR741" s="3">
        <f t="shared" ca="1" si="240"/>
        <v>669830.18999999971</v>
      </c>
      <c r="AS741" s="63">
        <f ca="1">IF($AQ741&lt;&gt;"", INDEX(Inputs!$B$3:$B$101, MATCH($AQ741,Inputs!$A$3:$A$101,1)), "")</f>
        <v>4.1000000000000002E-2</v>
      </c>
      <c r="AT741" s="48">
        <f t="shared" ca="1" si="239"/>
        <v>75.241199424657495</v>
      </c>
      <c r="AU741" s="3">
        <f t="shared" ca="1" si="241"/>
        <v>-75.241199424657495</v>
      </c>
      <c r="AV741" s="3">
        <f t="shared" ca="1" si="242"/>
        <v>-75.241199424657495</v>
      </c>
    </row>
    <row r="742" spans="43:48" x14ac:dyDescent="0.2">
      <c r="AQ742" s="4">
        <f t="shared" ca="1" si="238"/>
        <v>45090</v>
      </c>
      <c r="AR742" s="3">
        <f t="shared" ca="1" si="240"/>
        <v>669830.18999999971</v>
      </c>
      <c r="AS742" s="63">
        <f ca="1">IF($AQ742&lt;&gt;"", INDEX(Inputs!$B$3:$B$101, MATCH($AQ742,Inputs!$A$3:$A$101,1)), "")</f>
        <v>4.1000000000000002E-2</v>
      </c>
      <c r="AT742" s="48">
        <f t="shared" ca="1" si="239"/>
        <v>75.241199424657495</v>
      </c>
      <c r="AU742" s="3">
        <f t="shared" ca="1" si="241"/>
        <v>-75.241199424657495</v>
      </c>
      <c r="AV742" s="3">
        <f t="shared" ca="1" si="242"/>
        <v>-75.241199424657495</v>
      </c>
    </row>
    <row r="743" spans="43:48" x14ac:dyDescent="0.2">
      <c r="AQ743" s="4">
        <f t="shared" ca="1" si="238"/>
        <v>45091</v>
      </c>
      <c r="AR743" s="3">
        <f t="shared" ca="1" si="240"/>
        <v>669830.18999999971</v>
      </c>
      <c r="AS743" s="63">
        <f ca="1">IF($AQ743&lt;&gt;"", INDEX(Inputs!$B$3:$B$101, MATCH($AQ743,Inputs!$A$3:$A$101,1)), "")</f>
        <v>4.1000000000000002E-2</v>
      </c>
      <c r="AT743" s="48">
        <f t="shared" ca="1" si="239"/>
        <v>75.241199424657495</v>
      </c>
      <c r="AU743" s="3">
        <f t="shared" ca="1" si="241"/>
        <v>-75.241199424657495</v>
      </c>
      <c r="AV743" s="3">
        <f t="shared" ca="1" si="242"/>
        <v>-75.241199424657495</v>
      </c>
    </row>
    <row r="744" spans="43:48" x14ac:dyDescent="0.2">
      <c r="AQ744" s="4">
        <f t="shared" ca="1" si="238"/>
        <v>45092</v>
      </c>
      <c r="AR744" s="3">
        <f t="shared" ca="1" si="240"/>
        <v>669830.18999999971</v>
      </c>
      <c r="AS744" s="63">
        <f ca="1">IF($AQ744&lt;&gt;"", INDEX(Inputs!$B$3:$B$101, MATCH($AQ744,Inputs!$A$3:$A$101,1)), "")</f>
        <v>4.1000000000000002E-2</v>
      </c>
      <c r="AT744" s="48">
        <f t="shared" ca="1" si="239"/>
        <v>75.241199424657495</v>
      </c>
      <c r="AU744" s="3">
        <f t="shared" ca="1" si="241"/>
        <v>-75.241199424657495</v>
      </c>
      <c r="AV744" s="3">
        <f t="shared" ca="1" si="242"/>
        <v>-75.241199424657495</v>
      </c>
    </row>
    <row r="745" spans="43:48" x14ac:dyDescent="0.2">
      <c r="AQ745" s="4">
        <f t="shared" ca="1" si="238"/>
        <v>45093</v>
      </c>
      <c r="AR745" s="3">
        <f t="shared" ca="1" si="240"/>
        <v>682430.98999999976</v>
      </c>
      <c r="AS745" s="63">
        <f ca="1">IF($AQ745&lt;&gt;"", INDEX(Inputs!$B$3:$B$101, MATCH($AQ745,Inputs!$A$3:$A$101,1)), "")</f>
        <v>4.1000000000000002E-2</v>
      </c>
      <c r="AT745" s="48">
        <f t="shared" ca="1" si="239"/>
        <v>76.656631753424634</v>
      </c>
      <c r="AU745" s="3">
        <f t="shared" ca="1" si="241"/>
        <v>-10777.456631753425</v>
      </c>
      <c r="AV745" s="3">
        <f t="shared" ca="1" si="242"/>
        <v>-10777.456631753425</v>
      </c>
    </row>
    <row r="746" spans="43:48" x14ac:dyDescent="0.2">
      <c r="AQ746" s="4">
        <f t="shared" ca="1" si="238"/>
        <v>45094</v>
      </c>
      <c r="AR746" s="3">
        <f t="shared" ca="1" si="240"/>
        <v>682430.98999999976</v>
      </c>
      <c r="AS746" s="63">
        <f ca="1">IF($AQ746&lt;&gt;"", INDEX(Inputs!$B$3:$B$101, MATCH($AQ746,Inputs!$A$3:$A$101,1)), "")</f>
        <v>4.1000000000000002E-2</v>
      </c>
      <c r="AT746" s="48">
        <f t="shared" ca="1" si="239"/>
        <v>76.656631753424634</v>
      </c>
      <c r="AU746" s="3">
        <f t="shared" ca="1" si="241"/>
        <v>-76.656631753424634</v>
      </c>
      <c r="AV746" s="3">
        <f t="shared" ca="1" si="242"/>
        <v>-76.656631753424634</v>
      </c>
    </row>
    <row r="747" spans="43:48" x14ac:dyDescent="0.2">
      <c r="AQ747" s="4">
        <f t="shared" ca="1" si="238"/>
        <v>45095</v>
      </c>
      <c r="AR747" s="3">
        <f t="shared" ca="1" si="240"/>
        <v>682430.98999999976</v>
      </c>
      <c r="AS747" s="63">
        <f ca="1">IF($AQ747&lt;&gt;"", INDEX(Inputs!$B$3:$B$101, MATCH($AQ747,Inputs!$A$3:$A$101,1)), "")</f>
        <v>4.1000000000000002E-2</v>
      </c>
      <c r="AT747" s="48">
        <f t="shared" ca="1" si="239"/>
        <v>76.656631753424634</v>
      </c>
      <c r="AU747" s="3">
        <f t="shared" ca="1" si="241"/>
        <v>-76.656631753424634</v>
      </c>
      <c r="AV747" s="3">
        <f t="shared" ca="1" si="242"/>
        <v>-76.656631753424634</v>
      </c>
    </row>
    <row r="748" spans="43:48" x14ac:dyDescent="0.2">
      <c r="AQ748" s="4">
        <f t="shared" ca="1" si="238"/>
        <v>45096</v>
      </c>
      <c r="AR748" s="3">
        <f t="shared" ca="1" si="240"/>
        <v>682430.98999999976</v>
      </c>
      <c r="AS748" s="63">
        <f ca="1">IF($AQ748&lt;&gt;"", INDEX(Inputs!$B$3:$B$101, MATCH($AQ748,Inputs!$A$3:$A$101,1)), "")</f>
        <v>4.1000000000000002E-2</v>
      </c>
      <c r="AT748" s="48">
        <f t="shared" ca="1" si="239"/>
        <v>76.656631753424634</v>
      </c>
      <c r="AU748" s="3">
        <f t="shared" ca="1" si="241"/>
        <v>-76.656631753424634</v>
      </c>
      <c r="AV748" s="3">
        <f t="shared" ca="1" si="242"/>
        <v>-76.656631753424634</v>
      </c>
    </row>
    <row r="749" spans="43:48" x14ac:dyDescent="0.2">
      <c r="AQ749" s="4">
        <f t="shared" ca="1" si="238"/>
        <v>45097</v>
      </c>
      <c r="AR749" s="3">
        <f t="shared" ca="1" si="240"/>
        <v>682430.98999999976</v>
      </c>
      <c r="AS749" s="63">
        <f ca="1">IF($AQ749&lt;&gt;"", INDEX(Inputs!$B$3:$B$101, MATCH($AQ749,Inputs!$A$3:$A$101,1)), "")</f>
        <v>4.1000000000000002E-2</v>
      </c>
      <c r="AT749" s="48">
        <f t="shared" ca="1" si="239"/>
        <v>76.656631753424634</v>
      </c>
      <c r="AU749" s="3">
        <f t="shared" ca="1" si="241"/>
        <v>-76.656631753424634</v>
      </c>
      <c r="AV749" s="3">
        <f t="shared" ca="1" si="242"/>
        <v>-76.656631753424634</v>
      </c>
    </row>
    <row r="750" spans="43:48" x14ac:dyDescent="0.2">
      <c r="AQ750" s="4">
        <f t="shared" ca="1" si="238"/>
        <v>45098</v>
      </c>
      <c r="AR750" s="3">
        <f t="shared" ca="1" si="240"/>
        <v>682430.98999999976</v>
      </c>
      <c r="AS750" s="63">
        <f ca="1">IF($AQ750&lt;&gt;"", INDEX(Inputs!$B$3:$B$101, MATCH($AQ750,Inputs!$A$3:$A$101,1)), "")</f>
        <v>4.1000000000000002E-2</v>
      </c>
      <c r="AT750" s="48">
        <f t="shared" ca="1" si="239"/>
        <v>76.656631753424634</v>
      </c>
      <c r="AU750" s="3">
        <f t="shared" ca="1" si="241"/>
        <v>-76.656631753424634</v>
      </c>
      <c r="AV750" s="3">
        <f t="shared" ca="1" si="242"/>
        <v>-76.656631753424634</v>
      </c>
    </row>
    <row r="751" spans="43:48" x14ac:dyDescent="0.2">
      <c r="AQ751" s="4">
        <f t="shared" ca="1" si="238"/>
        <v>45099</v>
      </c>
      <c r="AR751" s="3">
        <f t="shared" ca="1" si="240"/>
        <v>682430.98999999976</v>
      </c>
      <c r="AS751" s="63">
        <f ca="1">IF($AQ751&lt;&gt;"", INDEX(Inputs!$B$3:$B$101, MATCH($AQ751,Inputs!$A$3:$A$101,1)), "")</f>
        <v>4.1000000000000002E-2</v>
      </c>
      <c r="AT751" s="48">
        <f t="shared" ca="1" si="239"/>
        <v>76.656631753424634</v>
      </c>
      <c r="AU751" s="3">
        <f t="shared" ca="1" si="241"/>
        <v>-76.656631753424634</v>
      </c>
      <c r="AV751" s="3">
        <f t="shared" ca="1" si="242"/>
        <v>-76.656631753424634</v>
      </c>
    </row>
    <row r="752" spans="43:48" x14ac:dyDescent="0.2">
      <c r="AQ752" s="4">
        <f t="shared" ca="1" si="238"/>
        <v>45100</v>
      </c>
      <c r="AR752" s="3">
        <f t="shared" ca="1" si="240"/>
        <v>682430.98999999976</v>
      </c>
      <c r="AS752" s="63">
        <f ca="1">IF($AQ752&lt;&gt;"", INDEX(Inputs!$B$3:$B$101, MATCH($AQ752,Inputs!$A$3:$A$101,1)), "")</f>
        <v>4.1000000000000002E-2</v>
      </c>
      <c r="AT752" s="48">
        <f t="shared" ca="1" si="239"/>
        <v>76.656631753424634</v>
      </c>
      <c r="AU752" s="3">
        <f t="shared" ca="1" si="241"/>
        <v>1823.3433682465754</v>
      </c>
      <c r="AV752" s="3">
        <f t="shared" ca="1" si="242"/>
        <v>1823.3433682465754</v>
      </c>
    </row>
    <row r="753" spans="43:48" x14ac:dyDescent="0.2">
      <c r="AQ753" s="4">
        <f t="shared" ca="1" si="238"/>
        <v>45101</v>
      </c>
      <c r="AR753" s="3">
        <f t="shared" ca="1" si="240"/>
        <v>682430.98999999976</v>
      </c>
      <c r="AS753" s="63">
        <f ca="1">IF($AQ753&lt;&gt;"", INDEX(Inputs!$B$3:$B$101, MATCH($AQ753,Inputs!$A$3:$A$101,1)), "")</f>
        <v>4.1000000000000002E-2</v>
      </c>
      <c r="AT753" s="48">
        <f t="shared" ca="1" si="239"/>
        <v>76.656631753424634</v>
      </c>
      <c r="AU753" s="3">
        <f t="shared" ca="1" si="241"/>
        <v>-76.656631753424634</v>
      </c>
      <c r="AV753" s="3">
        <f t="shared" ca="1" si="242"/>
        <v>-76.656631753424634</v>
      </c>
    </row>
    <row r="754" spans="43:48" x14ac:dyDescent="0.2">
      <c r="AQ754" s="4">
        <f t="shared" ca="1" si="238"/>
        <v>45102</v>
      </c>
      <c r="AR754" s="3">
        <f t="shared" ca="1" si="240"/>
        <v>682430.98999999976</v>
      </c>
      <c r="AS754" s="63">
        <f ca="1">IF($AQ754&lt;&gt;"", INDEX(Inputs!$B$3:$B$101, MATCH($AQ754,Inputs!$A$3:$A$101,1)), "")</f>
        <v>4.1000000000000002E-2</v>
      </c>
      <c r="AT754" s="48">
        <f t="shared" ca="1" si="239"/>
        <v>76.656631753424634</v>
      </c>
      <c r="AU754" s="3">
        <f t="shared" ca="1" si="241"/>
        <v>-76.656631753424634</v>
      </c>
      <c r="AV754" s="3">
        <f t="shared" ca="1" si="242"/>
        <v>-76.656631753424634</v>
      </c>
    </row>
    <row r="755" spans="43:48" x14ac:dyDescent="0.2">
      <c r="AQ755" s="4">
        <f t="shared" ca="1" si="238"/>
        <v>45103</v>
      </c>
      <c r="AR755" s="3">
        <f t="shared" ca="1" si="240"/>
        <v>682430.98999999976</v>
      </c>
      <c r="AS755" s="63">
        <f ca="1">IF($AQ755&lt;&gt;"", INDEX(Inputs!$B$3:$B$101, MATCH($AQ755,Inputs!$A$3:$A$101,1)), "")</f>
        <v>4.1000000000000002E-2</v>
      </c>
      <c r="AT755" s="48">
        <f t="shared" ca="1" si="239"/>
        <v>76.656631753424634</v>
      </c>
      <c r="AU755" s="3">
        <f t="shared" ca="1" si="241"/>
        <v>-76.656631753424634</v>
      </c>
      <c r="AV755" s="3">
        <f t="shared" ca="1" si="242"/>
        <v>-76.656631753424634</v>
      </c>
    </row>
    <row r="756" spans="43:48" x14ac:dyDescent="0.2">
      <c r="AQ756" s="4">
        <f t="shared" ca="1" si="238"/>
        <v>45104</v>
      </c>
      <c r="AR756" s="3">
        <f t="shared" ca="1" si="240"/>
        <v>682430.98999999976</v>
      </c>
      <c r="AS756" s="63">
        <f ca="1">IF($AQ756&lt;&gt;"", INDEX(Inputs!$B$3:$B$101, MATCH($AQ756,Inputs!$A$3:$A$101,1)), "")</f>
        <v>4.1000000000000002E-2</v>
      </c>
      <c r="AT756" s="48">
        <f t="shared" ca="1" si="239"/>
        <v>76.656631753424634</v>
      </c>
      <c r="AU756" s="3">
        <f t="shared" ca="1" si="241"/>
        <v>-76.656631753424634</v>
      </c>
      <c r="AV756" s="3">
        <f t="shared" ca="1" si="242"/>
        <v>-76.656631753424634</v>
      </c>
    </row>
    <row r="757" spans="43:48" x14ac:dyDescent="0.2">
      <c r="AQ757" s="4">
        <f t="shared" ca="1" si="238"/>
        <v>45105</v>
      </c>
      <c r="AR757" s="3">
        <f t="shared" ca="1" si="240"/>
        <v>682430.98999999976</v>
      </c>
      <c r="AS757" s="63">
        <f ca="1">IF($AQ757&lt;&gt;"", INDEX(Inputs!$B$3:$B$101, MATCH($AQ757,Inputs!$A$3:$A$101,1)), "")</f>
        <v>4.1000000000000002E-2</v>
      </c>
      <c r="AT757" s="48">
        <f t="shared" ca="1" si="239"/>
        <v>76.656631753424634</v>
      </c>
      <c r="AU757" s="3">
        <f t="shared" ca="1" si="241"/>
        <v>-76.656631753424634</v>
      </c>
      <c r="AV757" s="3">
        <f t="shared" ca="1" si="242"/>
        <v>-76.656631753424634</v>
      </c>
    </row>
    <row r="758" spans="43:48" x14ac:dyDescent="0.2">
      <c r="AQ758" s="4">
        <f t="shared" ca="1" si="238"/>
        <v>45106</v>
      </c>
      <c r="AR758" s="3">
        <f t="shared" ca="1" si="240"/>
        <v>682430.98999999976</v>
      </c>
      <c r="AS758" s="63">
        <f ca="1">IF($AQ758&lt;&gt;"", INDEX(Inputs!$B$3:$B$101, MATCH($AQ758,Inputs!$A$3:$A$101,1)), "")</f>
        <v>4.1000000000000002E-2</v>
      </c>
      <c r="AT758" s="48">
        <f t="shared" ca="1" si="239"/>
        <v>76.656631753424634</v>
      </c>
      <c r="AU758" s="3">
        <f t="shared" ca="1" si="241"/>
        <v>-76.656631753424634</v>
      </c>
      <c r="AV758" s="3">
        <f t="shared" ca="1" si="242"/>
        <v>-76.656631753424634</v>
      </c>
    </row>
    <row r="759" spans="43:48" x14ac:dyDescent="0.2">
      <c r="AQ759" s="4">
        <f t="shared" ca="1" si="238"/>
        <v>45107</v>
      </c>
      <c r="AR759" s="3">
        <f t="shared" ca="1" si="240"/>
        <v>677478.33999999973</v>
      </c>
      <c r="AS759" s="63">
        <f ca="1">IF($AQ759&lt;&gt;"", INDEX(Inputs!$B$3:$B$101, MATCH($AQ759,Inputs!$A$3:$A$101,1)), "")</f>
        <v>4.1000000000000002E-2</v>
      </c>
      <c r="AT759" s="48">
        <f t="shared" ca="1" si="239"/>
        <v>76.100306684931482</v>
      </c>
      <c r="AU759" s="3">
        <f t="shared" ca="1" si="241"/>
        <v>1046.2653428311999</v>
      </c>
      <c r="AV759" s="3">
        <f t="shared" ca="1" si="242"/>
        <v>1046.2653428311999</v>
      </c>
    </row>
    <row r="760" spans="43:48" x14ac:dyDescent="0.2">
      <c r="AQ760" s="4">
        <f t="shared" ca="1" si="238"/>
        <v>45108</v>
      </c>
      <c r="AR760" s="3">
        <f t="shared" ca="1" si="240"/>
        <v>677478.33999999973</v>
      </c>
      <c r="AS760" s="63">
        <f ca="1">IF($AQ760&lt;&gt;"", INDEX(Inputs!$B$3:$B$101, MATCH($AQ760,Inputs!$A$3:$A$101,1)), "")</f>
        <v>4.1000000000000002E-2</v>
      </c>
      <c r="AT760" s="48">
        <f t="shared" ca="1" si="239"/>
        <v>76.100306684931482</v>
      </c>
      <c r="AU760" s="3">
        <f t="shared" ca="1" si="241"/>
        <v>-76.100306684931482</v>
      </c>
      <c r="AV760" s="3">
        <f t="shared" ca="1" si="242"/>
        <v>-76.100306684931482</v>
      </c>
    </row>
    <row r="761" spans="43:48" x14ac:dyDescent="0.2">
      <c r="AQ761" s="4">
        <f t="shared" ref="AQ761:AQ824" ca="1" si="243">IF(AQ760&lt;$AP$3,AQ760+1,"")</f>
        <v>45109</v>
      </c>
      <c r="AR761" s="3">
        <f t="shared" ca="1" si="240"/>
        <v>677478.33999999973</v>
      </c>
      <c r="AS761" s="63">
        <f ca="1">IF($AQ761&lt;&gt;"", INDEX(Inputs!$B$3:$B$101, MATCH($AQ761,Inputs!$A$3:$A$101,1)), "")</f>
        <v>4.1000000000000002E-2</v>
      </c>
      <c r="AT761" s="48">
        <f t="shared" ref="AT761:AT824" ca="1" si="244">IF($AQ761&lt;&gt;"", AR761*AS761/365, "")</f>
        <v>76.100306684931482</v>
      </c>
      <c r="AU761" s="3">
        <f t="shared" ca="1" si="241"/>
        <v>-76.100306684931482</v>
      </c>
      <c r="AV761" s="3">
        <f t="shared" ca="1" si="242"/>
        <v>-76.100306684931482</v>
      </c>
    </row>
    <row r="762" spans="43:48" x14ac:dyDescent="0.2">
      <c r="AQ762" s="4">
        <f t="shared" ca="1" si="243"/>
        <v>45110</v>
      </c>
      <c r="AR762" s="3">
        <f t="shared" ca="1" si="240"/>
        <v>677478.33999999973</v>
      </c>
      <c r="AS762" s="63">
        <f ca="1">IF($AQ762&lt;&gt;"", INDEX(Inputs!$B$3:$B$101, MATCH($AQ762,Inputs!$A$3:$A$101,1)), "")</f>
        <v>4.1000000000000002E-2</v>
      </c>
      <c r="AT762" s="48">
        <f t="shared" ca="1" si="244"/>
        <v>76.100306684931482</v>
      </c>
      <c r="AU762" s="3">
        <f t="shared" ca="1" si="241"/>
        <v>-76.100306684931482</v>
      </c>
      <c r="AV762" s="3">
        <f t="shared" ca="1" si="242"/>
        <v>-76.100306684931482</v>
      </c>
    </row>
    <row r="763" spans="43:48" x14ac:dyDescent="0.2">
      <c r="AQ763" s="4">
        <f t="shared" ca="1" si="243"/>
        <v>45111</v>
      </c>
      <c r="AR763" s="3">
        <f t="shared" ca="1" si="240"/>
        <v>677478.33999999973</v>
      </c>
      <c r="AS763" s="63">
        <f ca="1">IF($AQ763&lt;&gt;"", INDEX(Inputs!$B$3:$B$101, MATCH($AQ763,Inputs!$A$3:$A$101,1)), "")</f>
        <v>4.1000000000000002E-2</v>
      </c>
      <c r="AT763" s="48">
        <f t="shared" ca="1" si="244"/>
        <v>76.100306684931482</v>
      </c>
      <c r="AU763" s="3">
        <f t="shared" ca="1" si="241"/>
        <v>-76.100306684931482</v>
      </c>
      <c r="AV763" s="3">
        <f t="shared" ca="1" si="242"/>
        <v>-76.100306684931482</v>
      </c>
    </row>
    <row r="764" spans="43:48" x14ac:dyDescent="0.2">
      <c r="AQ764" s="4">
        <f t="shared" ca="1" si="243"/>
        <v>45112</v>
      </c>
      <c r="AR764" s="3">
        <f t="shared" ca="1" si="240"/>
        <v>677478.33999999973</v>
      </c>
      <c r="AS764" s="63">
        <f ca="1">IF($AQ764&lt;&gt;"", INDEX(Inputs!$B$3:$B$101, MATCH($AQ764,Inputs!$A$3:$A$101,1)), "")</f>
        <v>4.1000000000000002E-2</v>
      </c>
      <c r="AT764" s="48">
        <f t="shared" ca="1" si="244"/>
        <v>76.100306684931482</v>
      </c>
      <c r="AU764" s="3">
        <f t="shared" ca="1" si="241"/>
        <v>-76.100306684931482</v>
      </c>
      <c r="AV764" s="3">
        <f t="shared" ca="1" si="242"/>
        <v>-76.100306684931482</v>
      </c>
    </row>
    <row r="765" spans="43:48" x14ac:dyDescent="0.2">
      <c r="AQ765" s="4">
        <f t="shared" ca="1" si="243"/>
        <v>45113</v>
      </c>
      <c r="AR765" s="3">
        <f t="shared" ca="1" si="240"/>
        <v>677478.33999999973</v>
      </c>
      <c r="AS765" s="63">
        <f ca="1">IF($AQ765&lt;&gt;"", INDEX(Inputs!$B$3:$B$101, MATCH($AQ765,Inputs!$A$3:$A$101,1)), "")</f>
        <v>4.1000000000000002E-2</v>
      </c>
      <c r="AT765" s="48">
        <f t="shared" ca="1" si="244"/>
        <v>76.100306684931482</v>
      </c>
      <c r="AU765" s="3">
        <f t="shared" ca="1" si="241"/>
        <v>-76.100306684931482</v>
      </c>
      <c r="AV765" s="3">
        <f t="shared" ca="1" si="242"/>
        <v>-76.100306684931482</v>
      </c>
    </row>
    <row r="766" spans="43:48" x14ac:dyDescent="0.2">
      <c r="AQ766" s="4">
        <f t="shared" ca="1" si="243"/>
        <v>45114</v>
      </c>
      <c r="AR766" s="3">
        <f t="shared" ca="1" si="240"/>
        <v>677478.33999999973</v>
      </c>
      <c r="AS766" s="63">
        <f ca="1">IF($AQ766&lt;&gt;"", INDEX(Inputs!$B$3:$B$101, MATCH($AQ766,Inputs!$A$3:$A$101,1)), "")</f>
        <v>4.1000000000000002E-2</v>
      </c>
      <c r="AT766" s="48">
        <f t="shared" ca="1" si="244"/>
        <v>76.100306684931482</v>
      </c>
      <c r="AU766" s="3">
        <f t="shared" ca="1" si="241"/>
        <v>1823.8996933150686</v>
      </c>
      <c r="AV766" s="3">
        <f t="shared" ca="1" si="242"/>
        <v>1823.8996933150686</v>
      </c>
    </row>
    <row r="767" spans="43:48" x14ac:dyDescent="0.2">
      <c r="AQ767" s="4">
        <f t="shared" ca="1" si="243"/>
        <v>45115</v>
      </c>
      <c r="AR767" s="3">
        <f t="shared" ca="1" si="240"/>
        <v>677478.33999999973</v>
      </c>
      <c r="AS767" s="63">
        <f ca="1">IF($AQ767&lt;&gt;"", INDEX(Inputs!$B$3:$B$101, MATCH($AQ767,Inputs!$A$3:$A$101,1)), "")</f>
        <v>4.1000000000000002E-2</v>
      </c>
      <c r="AT767" s="48">
        <f t="shared" ca="1" si="244"/>
        <v>76.100306684931482</v>
      </c>
      <c r="AU767" s="3">
        <f t="shared" ca="1" si="241"/>
        <v>-76.100306684931482</v>
      </c>
      <c r="AV767" s="3">
        <f t="shared" ca="1" si="242"/>
        <v>-76.100306684931482</v>
      </c>
    </row>
    <row r="768" spans="43:48" x14ac:dyDescent="0.2">
      <c r="AQ768" s="4">
        <f t="shared" ca="1" si="243"/>
        <v>45116</v>
      </c>
      <c r="AR768" s="3">
        <f t="shared" ca="1" si="240"/>
        <v>677478.33999999973</v>
      </c>
      <c r="AS768" s="63">
        <f ca="1">IF($AQ768&lt;&gt;"", INDEX(Inputs!$B$3:$B$101, MATCH($AQ768,Inputs!$A$3:$A$101,1)), "")</f>
        <v>4.1000000000000002E-2</v>
      </c>
      <c r="AT768" s="48">
        <f t="shared" ca="1" si="244"/>
        <v>76.100306684931482</v>
      </c>
      <c r="AU768" s="3">
        <f t="shared" ca="1" si="241"/>
        <v>-76.100306684931482</v>
      </c>
      <c r="AV768" s="3">
        <f t="shared" ca="1" si="242"/>
        <v>-76.100306684931482</v>
      </c>
    </row>
    <row r="769" spans="43:48" x14ac:dyDescent="0.2">
      <c r="AQ769" s="4">
        <f t="shared" ca="1" si="243"/>
        <v>45117</v>
      </c>
      <c r="AR769" s="3">
        <f t="shared" ca="1" si="240"/>
        <v>677478.33999999973</v>
      </c>
      <c r="AS769" s="63">
        <f ca="1">IF($AQ769&lt;&gt;"", INDEX(Inputs!$B$3:$B$101, MATCH($AQ769,Inputs!$A$3:$A$101,1)), "")</f>
        <v>4.1000000000000002E-2</v>
      </c>
      <c r="AT769" s="48">
        <f t="shared" ca="1" si="244"/>
        <v>76.100306684931482</v>
      </c>
      <c r="AU769" s="3">
        <f t="shared" ca="1" si="241"/>
        <v>-76.100306684931482</v>
      </c>
      <c r="AV769" s="3">
        <f t="shared" ca="1" si="242"/>
        <v>-76.100306684931482</v>
      </c>
    </row>
    <row r="770" spans="43:48" x14ac:dyDescent="0.2">
      <c r="AQ770" s="4">
        <f t="shared" ca="1" si="243"/>
        <v>45118</v>
      </c>
      <c r="AR770" s="3">
        <f t="shared" ca="1" si="240"/>
        <v>677478.33999999973</v>
      </c>
      <c r="AS770" s="63">
        <f ca="1">IF($AQ770&lt;&gt;"", INDEX(Inputs!$B$3:$B$101, MATCH($AQ770,Inputs!$A$3:$A$101,1)), "")</f>
        <v>4.1000000000000002E-2</v>
      </c>
      <c r="AT770" s="48">
        <f t="shared" ca="1" si="244"/>
        <v>76.100306684931482</v>
      </c>
      <c r="AU770" s="3">
        <f t="shared" ca="1" si="241"/>
        <v>-76.100306684931482</v>
      </c>
      <c r="AV770" s="3">
        <f t="shared" ca="1" si="242"/>
        <v>-76.100306684931482</v>
      </c>
    </row>
    <row r="771" spans="43:48" x14ac:dyDescent="0.2">
      <c r="AQ771" s="4">
        <f t="shared" ca="1" si="243"/>
        <v>45119</v>
      </c>
      <c r="AR771" s="3">
        <f t="shared" ca="1" si="240"/>
        <v>677478.33999999973</v>
      </c>
      <c r="AS771" s="63">
        <f ca="1">IF($AQ771&lt;&gt;"", INDEX(Inputs!$B$3:$B$101, MATCH($AQ771,Inputs!$A$3:$A$101,1)), "")</f>
        <v>4.1000000000000002E-2</v>
      </c>
      <c r="AT771" s="48">
        <f t="shared" ca="1" si="244"/>
        <v>76.100306684931482</v>
      </c>
      <c r="AU771" s="3">
        <f t="shared" ca="1" si="241"/>
        <v>-76.100306684931482</v>
      </c>
      <c r="AV771" s="3">
        <f t="shared" ca="1" si="242"/>
        <v>-76.100306684931482</v>
      </c>
    </row>
    <row r="772" spans="43:48" x14ac:dyDescent="0.2">
      <c r="AQ772" s="4">
        <f t="shared" ca="1" si="243"/>
        <v>45120</v>
      </c>
      <c r="AR772" s="3">
        <f t="shared" ca="1" si="240"/>
        <v>677478.33999999973</v>
      </c>
      <c r="AS772" s="63">
        <f ca="1">IF($AQ772&lt;&gt;"", INDEX(Inputs!$B$3:$B$101, MATCH($AQ772,Inputs!$A$3:$A$101,1)), "")</f>
        <v>4.1000000000000002E-2</v>
      </c>
      <c r="AT772" s="48">
        <f t="shared" ca="1" si="244"/>
        <v>76.100306684931482</v>
      </c>
      <c r="AU772" s="3">
        <f t="shared" ca="1" si="241"/>
        <v>-76.100306684931482</v>
      </c>
      <c r="AV772" s="3">
        <f t="shared" ca="1" si="242"/>
        <v>-76.100306684931482</v>
      </c>
    </row>
    <row r="773" spans="43:48" x14ac:dyDescent="0.2">
      <c r="AQ773" s="4">
        <f t="shared" ca="1" si="243"/>
        <v>45121</v>
      </c>
      <c r="AR773" s="3">
        <f t="shared" ca="1" si="240"/>
        <v>677478.33999999973</v>
      </c>
      <c r="AS773" s="63">
        <f ca="1">IF($AQ773&lt;&gt;"", INDEX(Inputs!$B$3:$B$101, MATCH($AQ773,Inputs!$A$3:$A$101,1)), "")</f>
        <v>4.1000000000000002E-2</v>
      </c>
      <c r="AT773" s="48">
        <f t="shared" ca="1" si="244"/>
        <v>76.100306684931482</v>
      </c>
      <c r="AU773" s="3">
        <f t="shared" ca="1" si="241"/>
        <v>1428.8996933150686</v>
      </c>
      <c r="AV773" s="3">
        <f t="shared" ca="1" si="242"/>
        <v>1428.8996933150686</v>
      </c>
    </row>
    <row r="774" spans="43:48" x14ac:dyDescent="0.2">
      <c r="AQ774" s="4">
        <f t="shared" ca="1" si="243"/>
        <v>45122</v>
      </c>
      <c r="AR774" s="3">
        <f t="shared" ca="1" si="240"/>
        <v>677478.33999999973</v>
      </c>
      <c r="AS774" s="63">
        <f ca="1">IF($AQ774&lt;&gt;"", INDEX(Inputs!$B$3:$B$101, MATCH($AQ774,Inputs!$A$3:$A$101,1)), "")</f>
        <v>4.1000000000000002E-2</v>
      </c>
      <c r="AT774" s="48">
        <f t="shared" ca="1" si="244"/>
        <v>76.100306684931482</v>
      </c>
      <c r="AU774" s="3">
        <f t="shared" ca="1" si="241"/>
        <v>-709.18030668493157</v>
      </c>
      <c r="AV774" s="3">
        <f t="shared" ca="1" si="242"/>
        <v>-709.18030668493157</v>
      </c>
    </row>
    <row r="775" spans="43:48" x14ac:dyDescent="0.2">
      <c r="AQ775" s="4">
        <f t="shared" ca="1" si="243"/>
        <v>45123</v>
      </c>
      <c r="AR775" s="3">
        <f t="shared" ca="1" si="240"/>
        <v>677478.33999999973</v>
      </c>
      <c r="AS775" s="63">
        <f ca="1">IF($AQ775&lt;&gt;"", INDEX(Inputs!$B$3:$B$101, MATCH($AQ775,Inputs!$A$3:$A$101,1)), "")</f>
        <v>4.1000000000000002E-2</v>
      </c>
      <c r="AT775" s="48">
        <f t="shared" ca="1" si="244"/>
        <v>76.100306684931482</v>
      </c>
      <c r="AU775" s="3">
        <f t="shared" ca="1" si="241"/>
        <v>-76.100306684931482</v>
      </c>
      <c r="AV775" s="3">
        <f t="shared" ca="1" si="242"/>
        <v>-76.100306684931482</v>
      </c>
    </row>
    <row r="776" spans="43:48" x14ac:dyDescent="0.2">
      <c r="AQ776" s="4">
        <f t="shared" ca="1" si="243"/>
        <v>45124</v>
      </c>
      <c r="AR776" s="3">
        <f t="shared" ca="1" si="240"/>
        <v>690195.34999999974</v>
      </c>
      <c r="AS776" s="63">
        <f ca="1">IF($AQ776&lt;&gt;"", INDEX(Inputs!$B$3:$B$101, MATCH($AQ776,Inputs!$A$3:$A$101,1)), "")</f>
        <v>4.1000000000000002E-2</v>
      </c>
      <c r="AT776" s="48">
        <f t="shared" ca="1" si="244"/>
        <v>77.528792739726001</v>
      </c>
      <c r="AU776" s="3">
        <f t="shared" ca="1" si="241"/>
        <v>-12794.538792739726</v>
      </c>
      <c r="AV776" s="3">
        <f t="shared" ca="1" si="242"/>
        <v>-12794.538792739726</v>
      </c>
    </row>
    <row r="777" spans="43:48" x14ac:dyDescent="0.2">
      <c r="AQ777" s="4">
        <f t="shared" ca="1" si="243"/>
        <v>45125</v>
      </c>
      <c r="AR777" s="3">
        <f t="shared" ca="1" si="240"/>
        <v>690195.34999999974</v>
      </c>
      <c r="AS777" s="63">
        <f ca="1">IF($AQ777&lt;&gt;"", INDEX(Inputs!$B$3:$B$101, MATCH($AQ777,Inputs!$A$3:$A$101,1)), "")</f>
        <v>4.1000000000000002E-2</v>
      </c>
      <c r="AT777" s="48">
        <f t="shared" ca="1" si="244"/>
        <v>77.528792739726001</v>
      </c>
      <c r="AU777" s="3">
        <f t="shared" ca="1" si="241"/>
        <v>-77.528792739726001</v>
      </c>
      <c r="AV777" s="3">
        <f t="shared" ca="1" si="242"/>
        <v>-77.528792739726001</v>
      </c>
    </row>
    <row r="778" spans="43:48" x14ac:dyDescent="0.2">
      <c r="AQ778" s="4">
        <f t="shared" ca="1" si="243"/>
        <v>45126</v>
      </c>
      <c r="AR778" s="3">
        <f t="shared" ca="1" si="240"/>
        <v>690195.34999999974</v>
      </c>
      <c r="AS778" s="63">
        <f ca="1">IF($AQ778&lt;&gt;"", INDEX(Inputs!$B$3:$B$101, MATCH($AQ778,Inputs!$A$3:$A$101,1)), "")</f>
        <v>4.1000000000000002E-2</v>
      </c>
      <c r="AT778" s="48">
        <f t="shared" ca="1" si="244"/>
        <v>77.528792739726001</v>
      </c>
      <c r="AU778" s="3">
        <f t="shared" ca="1" si="241"/>
        <v>-77.528792739726001</v>
      </c>
      <c r="AV778" s="3">
        <f t="shared" ca="1" si="242"/>
        <v>-77.528792739726001</v>
      </c>
    </row>
    <row r="779" spans="43:48" x14ac:dyDescent="0.2">
      <c r="AQ779" s="4">
        <f t="shared" ca="1" si="243"/>
        <v>45127</v>
      </c>
      <c r="AR779" s="3">
        <f t="shared" ca="1" si="240"/>
        <v>690195.34999999974</v>
      </c>
      <c r="AS779" s="63">
        <f ca="1">IF($AQ779&lt;&gt;"", INDEX(Inputs!$B$3:$B$101, MATCH($AQ779,Inputs!$A$3:$A$101,1)), "")</f>
        <v>4.1000000000000002E-2</v>
      </c>
      <c r="AT779" s="48">
        <f t="shared" ca="1" si="244"/>
        <v>77.528792739726001</v>
      </c>
      <c r="AU779" s="3">
        <f t="shared" ca="1" si="241"/>
        <v>-77.528792739726001</v>
      </c>
      <c r="AV779" s="3">
        <f t="shared" ca="1" si="242"/>
        <v>-77.528792739726001</v>
      </c>
    </row>
    <row r="780" spans="43:48" x14ac:dyDescent="0.2">
      <c r="AQ780" s="4">
        <f t="shared" ca="1" si="243"/>
        <v>45128</v>
      </c>
      <c r="AR780" s="3">
        <f t="shared" ca="1" si="240"/>
        <v>690195.34999999974</v>
      </c>
      <c r="AS780" s="63">
        <f ca="1">IF($AQ780&lt;&gt;"", INDEX(Inputs!$B$3:$B$101, MATCH($AQ780,Inputs!$A$3:$A$101,1)), "")</f>
        <v>4.1000000000000002E-2</v>
      </c>
      <c r="AT780" s="48">
        <f t="shared" ca="1" si="244"/>
        <v>77.528792739726001</v>
      </c>
      <c r="AU780" s="3">
        <f t="shared" ca="1" si="241"/>
        <v>1822.471207260274</v>
      </c>
      <c r="AV780" s="3">
        <f t="shared" ca="1" si="242"/>
        <v>1822.471207260274</v>
      </c>
    </row>
    <row r="781" spans="43:48" x14ac:dyDescent="0.2">
      <c r="AQ781" s="4">
        <f t="shared" ca="1" si="243"/>
        <v>45129</v>
      </c>
      <c r="AR781" s="3">
        <f t="shared" ca="1" si="240"/>
        <v>690195.34999999974</v>
      </c>
      <c r="AS781" s="63">
        <f ca="1">IF($AQ781&lt;&gt;"", INDEX(Inputs!$B$3:$B$101, MATCH($AQ781,Inputs!$A$3:$A$101,1)), "")</f>
        <v>4.1000000000000002E-2</v>
      </c>
      <c r="AT781" s="48">
        <f t="shared" ca="1" si="244"/>
        <v>77.528792739726001</v>
      </c>
      <c r="AU781" s="3">
        <f t="shared" ca="1" si="241"/>
        <v>-77.528792739726001</v>
      </c>
      <c r="AV781" s="3">
        <f t="shared" ca="1" si="242"/>
        <v>-77.528792739726001</v>
      </c>
    </row>
    <row r="782" spans="43:48" x14ac:dyDescent="0.2">
      <c r="AQ782" s="4">
        <f t="shared" ca="1" si="243"/>
        <v>45130</v>
      </c>
      <c r="AR782" s="3">
        <f t="shared" ca="1" si="240"/>
        <v>690195.34999999974</v>
      </c>
      <c r="AS782" s="63">
        <f ca="1">IF($AQ782&lt;&gt;"", INDEX(Inputs!$B$3:$B$101, MATCH($AQ782,Inputs!$A$3:$A$101,1)), "")</f>
        <v>4.1000000000000002E-2</v>
      </c>
      <c r="AT782" s="48">
        <f t="shared" ca="1" si="244"/>
        <v>77.528792739726001</v>
      </c>
      <c r="AU782" s="3">
        <f t="shared" ca="1" si="241"/>
        <v>-77.528792739726001</v>
      </c>
      <c r="AV782" s="3">
        <f t="shared" ca="1" si="242"/>
        <v>-77.528792739726001</v>
      </c>
    </row>
    <row r="783" spans="43:48" x14ac:dyDescent="0.2">
      <c r="AQ783" s="4">
        <f t="shared" ca="1" si="243"/>
        <v>45131</v>
      </c>
      <c r="AR783" s="3">
        <f t="shared" ca="1" si="240"/>
        <v>690195.34999999974</v>
      </c>
      <c r="AS783" s="63">
        <f ca="1">IF($AQ783&lt;&gt;"", INDEX(Inputs!$B$3:$B$101, MATCH($AQ783,Inputs!$A$3:$A$101,1)), "")</f>
        <v>4.1000000000000002E-2</v>
      </c>
      <c r="AT783" s="48">
        <f t="shared" ca="1" si="244"/>
        <v>77.528792739726001</v>
      </c>
      <c r="AU783" s="3">
        <f t="shared" ca="1" si="241"/>
        <v>-77.528792739726001</v>
      </c>
      <c r="AV783" s="3">
        <f t="shared" ca="1" si="242"/>
        <v>-77.528792739726001</v>
      </c>
    </row>
    <row r="784" spans="43:48" x14ac:dyDescent="0.2">
      <c r="AQ784" s="4">
        <f t="shared" ca="1" si="243"/>
        <v>45132</v>
      </c>
      <c r="AR784" s="3">
        <f t="shared" ca="1" si="240"/>
        <v>690195.34999999974</v>
      </c>
      <c r="AS784" s="63">
        <f ca="1">IF($AQ784&lt;&gt;"", INDEX(Inputs!$B$3:$B$101, MATCH($AQ784,Inputs!$A$3:$A$101,1)), "")</f>
        <v>4.1000000000000002E-2</v>
      </c>
      <c r="AT784" s="48">
        <f t="shared" ca="1" si="244"/>
        <v>77.528792739726001</v>
      </c>
      <c r="AU784" s="3">
        <f t="shared" ca="1" si="241"/>
        <v>-77.528792739726001</v>
      </c>
      <c r="AV784" s="3">
        <f t="shared" ca="1" si="242"/>
        <v>-77.528792739726001</v>
      </c>
    </row>
    <row r="785" spans="43:48" x14ac:dyDescent="0.2">
      <c r="AQ785" s="4">
        <f t="shared" ca="1" si="243"/>
        <v>45133</v>
      </c>
      <c r="AR785" s="3">
        <f t="shared" ca="1" si="240"/>
        <v>690195.34999999974</v>
      </c>
      <c r="AS785" s="63">
        <f ca="1">IF($AQ785&lt;&gt;"", INDEX(Inputs!$B$3:$B$101, MATCH($AQ785,Inputs!$A$3:$A$101,1)), "")</f>
        <v>4.1000000000000002E-2</v>
      </c>
      <c r="AT785" s="48">
        <f t="shared" ca="1" si="244"/>
        <v>77.528792739726001</v>
      </c>
      <c r="AU785" s="3">
        <f t="shared" ca="1" si="241"/>
        <v>-77.528792739726001</v>
      </c>
      <c r="AV785" s="3">
        <f t="shared" ca="1" si="242"/>
        <v>-77.528792739726001</v>
      </c>
    </row>
    <row r="786" spans="43:48" x14ac:dyDescent="0.2">
      <c r="AQ786" s="4">
        <f t="shared" ca="1" si="243"/>
        <v>45134</v>
      </c>
      <c r="AR786" s="3">
        <f t="shared" ca="1" si="240"/>
        <v>690195.34999999974</v>
      </c>
      <c r="AS786" s="63">
        <f ca="1">IF($AQ786&lt;&gt;"", INDEX(Inputs!$B$3:$B$101, MATCH($AQ786,Inputs!$A$3:$A$101,1)), "")</f>
        <v>4.1000000000000002E-2</v>
      </c>
      <c r="AT786" s="48">
        <f t="shared" ca="1" si="244"/>
        <v>77.528792739726001</v>
      </c>
      <c r="AU786" s="3">
        <f t="shared" ca="1" si="241"/>
        <v>-77.528792739726001</v>
      </c>
      <c r="AV786" s="3">
        <f t="shared" ca="1" si="242"/>
        <v>-77.528792739726001</v>
      </c>
    </row>
    <row r="787" spans="43:48" x14ac:dyDescent="0.2">
      <c r="AQ787" s="4">
        <f t="shared" ca="1" si="243"/>
        <v>45135</v>
      </c>
      <c r="AR787" s="3">
        <f t="shared" ca="1" si="240"/>
        <v>690195.34999999974</v>
      </c>
      <c r="AS787" s="63">
        <f ca="1">IF($AQ787&lt;&gt;"", INDEX(Inputs!$B$3:$B$101, MATCH($AQ787,Inputs!$A$3:$A$101,1)), "")</f>
        <v>4.1000000000000002E-2</v>
      </c>
      <c r="AT787" s="48">
        <f t="shared" ca="1" si="244"/>
        <v>77.528792739726001</v>
      </c>
      <c r="AU787" s="3">
        <f t="shared" ca="1" si="241"/>
        <v>1822.471207260274</v>
      </c>
      <c r="AV787" s="3">
        <f t="shared" ca="1" si="242"/>
        <v>1822.471207260274</v>
      </c>
    </row>
    <row r="788" spans="43:48" x14ac:dyDescent="0.2">
      <c r="AQ788" s="4">
        <f t="shared" ca="1" si="243"/>
        <v>45136</v>
      </c>
      <c r="AR788" s="3">
        <f t="shared" ca="1" si="240"/>
        <v>690195.34999999974</v>
      </c>
      <c r="AS788" s="63">
        <f ca="1">IF($AQ788&lt;&gt;"", INDEX(Inputs!$B$3:$B$101, MATCH($AQ788,Inputs!$A$3:$A$101,1)), "")</f>
        <v>4.1000000000000002E-2</v>
      </c>
      <c r="AT788" s="48">
        <f t="shared" ca="1" si="244"/>
        <v>77.528792739726001</v>
      </c>
      <c r="AU788" s="3">
        <f t="shared" ca="1" si="241"/>
        <v>-77.528792739726001</v>
      </c>
      <c r="AV788" s="3">
        <f t="shared" ca="1" si="242"/>
        <v>-77.528792739726001</v>
      </c>
    </row>
    <row r="789" spans="43:48" x14ac:dyDescent="0.2">
      <c r="AQ789" s="4">
        <f t="shared" ca="1" si="243"/>
        <v>45137</v>
      </c>
      <c r="AR789" s="3">
        <f t="shared" ca="1" si="240"/>
        <v>690195.34999999974</v>
      </c>
      <c r="AS789" s="63">
        <f ca="1">IF($AQ789&lt;&gt;"", INDEX(Inputs!$B$3:$B$101, MATCH($AQ789,Inputs!$A$3:$A$101,1)), "")</f>
        <v>4.1000000000000002E-2</v>
      </c>
      <c r="AT789" s="48">
        <f t="shared" ca="1" si="244"/>
        <v>77.528792739726001</v>
      </c>
      <c r="AU789" s="3">
        <f t="shared" ca="1" si="241"/>
        <v>-77.528792739726001</v>
      </c>
      <c r="AV789" s="3">
        <f t="shared" ca="1" si="242"/>
        <v>-77.528792739726001</v>
      </c>
    </row>
    <row r="790" spans="43:48" x14ac:dyDescent="0.2">
      <c r="AQ790" s="4">
        <f t="shared" ca="1" si="243"/>
        <v>45138</v>
      </c>
      <c r="AR790" s="3">
        <f t="shared" ca="1" si="240"/>
        <v>685963.86999999976</v>
      </c>
      <c r="AS790" s="63">
        <f ca="1">IF($AQ790&lt;&gt;"", INDEX(Inputs!$B$3:$B$101, MATCH($AQ790,Inputs!$A$3:$A$101,1)), "")</f>
        <v>4.1000000000000002E-2</v>
      </c>
      <c r="AT790" s="48">
        <f t="shared" ca="1" si="244"/>
        <v>77.053475808219147</v>
      </c>
      <c r="AU790" s="3">
        <f t="shared" ca="1" si="241"/>
        <v>-77.053475808219147</v>
      </c>
      <c r="AV790" s="3">
        <f t="shared" ca="1" si="242"/>
        <v>-77.053475808219147</v>
      </c>
    </row>
    <row r="791" spans="43:48" x14ac:dyDescent="0.2">
      <c r="AQ791" s="4">
        <f t="shared" ca="1" si="243"/>
        <v>45139</v>
      </c>
      <c r="AR791" s="3">
        <f t="shared" ca="1" si="240"/>
        <v>685963.86999999976</v>
      </c>
      <c r="AS791" s="63">
        <f ca="1">IF($AQ791&lt;&gt;"", INDEX(Inputs!$B$3:$B$101, MATCH($AQ791,Inputs!$A$3:$A$101,1)), "")</f>
        <v>4.1000000000000002E-2</v>
      </c>
      <c r="AT791" s="48">
        <f t="shared" ca="1" si="244"/>
        <v>77.053475808219147</v>
      </c>
      <c r="AU791" s="3">
        <f t="shared" ca="1" si="241"/>
        <v>-3201.053475808219</v>
      </c>
      <c r="AV791" s="3">
        <f t="shared" ca="1" si="242"/>
        <v>-3201.053475808219</v>
      </c>
    </row>
    <row r="792" spans="43:48" x14ac:dyDescent="0.2">
      <c r="AQ792" s="4">
        <f t="shared" ca="1" si="243"/>
        <v>45140</v>
      </c>
      <c r="AR792" s="3">
        <f t="shared" ca="1" si="240"/>
        <v>685963.86999999976</v>
      </c>
      <c r="AS792" s="63">
        <f ca="1">IF($AQ792&lt;&gt;"", INDEX(Inputs!$B$3:$B$101, MATCH($AQ792,Inputs!$A$3:$A$101,1)), "")</f>
        <v>4.1000000000000002E-2</v>
      </c>
      <c r="AT792" s="48">
        <f t="shared" ca="1" si="244"/>
        <v>77.053475808219147</v>
      </c>
      <c r="AU792" s="3">
        <f t="shared" ca="1" si="241"/>
        <v>-77.053475808219147</v>
      </c>
      <c r="AV792" s="3">
        <f t="shared" ca="1" si="242"/>
        <v>-77.053475808219147</v>
      </c>
    </row>
    <row r="793" spans="43:48" x14ac:dyDescent="0.2">
      <c r="AQ793" s="4">
        <f t="shared" ca="1" si="243"/>
        <v>45141</v>
      </c>
      <c r="AR793" s="3">
        <f t="shared" ref="AR793:AR856" ca="1" si="245">IF($AQ793&lt;&gt;"", INDEX($AC$3:$AC$1055, MATCH($AQ793,$A$3:$A$1055,1)), "")</f>
        <v>685963.86999999976</v>
      </c>
      <c r="AS793" s="63">
        <f ca="1">IF($AQ793&lt;&gt;"", INDEX(Inputs!$B$3:$B$101, MATCH($AQ793,Inputs!$A$3:$A$101,1)), "")</f>
        <v>4.1000000000000002E-2</v>
      </c>
      <c r="AT793" s="48">
        <f t="shared" ca="1" si="244"/>
        <v>77.053475808219147</v>
      </c>
      <c r="AU793" s="3">
        <f t="shared" ref="AU793:AU856" ca="1" si="246">IF($AQ793&lt;&gt;"", SUMIFS($AL$3:$AL$1054, $A$3:$A$1054,$AQ793) + SUMIFS($M$3:$M$1054, $A$3:$A$1054,$AQ793)*IFERROR(AVERAGEIFS($L$3:$L$1054, $A$3:$A$1054,$AQ793, $M$3:$M$1054,"&gt;0"),0) - AT793, "")</f>
        <v>-77.053475808219147</v>
      </c>
      <c r="AV793" s="3">
        <f t="shared" ca="1" si="242"/>
        <v>-77.053475808219147</v>
      </c>
    </row>
    <row r="794" spans="43:48" x14ac:dyDescent="0.2">
      <c r="AQ794" s="4">
        <f t="shared" ca="1" si="243"/>
        <v>45142</v>
      </c>
      <c r="AR794" s="3">
        <f t="shared" ca="1" si="245"/>
        <v>685963.86999999976</v>
      </c>
      <c r="AS794" s="63">
        <f ca="1">IF($AQ794&lt;&gt;"", INDEX(Inputs!$B$3:$B$101, MATCH($AQ794,Inputs!$A$3:$A$101,1)), "")</f>
        <v>4.1000000000000002E-2</v>
      </c>
      <c r="AT794" s="48">
        <f t="shared" ca="1" si="244"/>
        <v>77.053475808219147</v>
      </c>
      <c r="AU794" s="3">
        <f t="shared" ca="1" si="246"/>
        <v>-77.053475808219147</v>
      </c>
      <c r="AV794" s="3">
        <f t="shared" ca="1" si="242"/>
        <v>-77.053475808219147</v>
      </c>
    </row>
    <row r="795" spans="43:48" x14ac:dyDescent="0.2">
      <c r="AQ795" s="4">
        <f t="shared" ca="1" si="243"/>
        <v>45143</v>
      </c>
      <c r="AR795" s="3">
        <f t="shared" ca="1" si="245"/>
        <v>685963.86999999976</v>
      </c>
      <c r="AS795" s="63">
        <f ca="1">IF($AQ795&lt;&gt;"", INDEX(Inputs!$B$3:$B$101, MATCH($AQ795,Inputs!$A$3:$A$101,1)), "")</f>
        <v>4.1000000000000002E-2</v>
      </c>
      <c r="AT795" s="48">
        <f t="shared" ca="1" si="244"/>
        <v>77.053475808219147</v>
      </c>
      <c r="AU795" s="3">
        <f t="shared" ca="1" si="246"/>
        <v>-77.053475808219147</v>
      </c>
      <c r="AV795" s="3">
        <f t="shared" ca="1" si="242"/>
        <v>-77.053475808219147</v>
      </c>
    </row>
    <row r="796" spans="43:48" x14ac:dyDescent="0.2">
      <c r="AQ796" s="4">
        <f t="shared" ca="1" si="243"/>
        <v>45144</v>
      </c>
      <c r="AR796" s="3">
        <f t="shared" ca="1" si="245"/>
        <v>685963.86999999976</v>
      </c>
      <c r="AS796" s="63">
        <f ca="1">IF($AQ796&lt;&gt;"", INDEX(Inputs!$B$3:$B$101, MATCH($AQ796,Inputs!$A$3:$A$101,1)), "")</f>
        <v>4.1000000000000002E-2</v>
      </c>
      <c r="AT796" s="48">
        <f t="shared" ca="1" si="244"/>
        <v>77.053475808219147</v>
      </c>
      <c r="AU796" s="3">
        <f t="shared" ca="1" si="246"/>
        <v>-77.053475808219147</v>
      </c>
      <c r="AV796" s="3">
        <f t="shared" ca="1" si="242"/>
        <v>-77.053475808219147</v>
      </c>
    </row>
    <row r="797" spans="43:48" x14ac:dyDescent="0.2">
      <c r="AQ797" s="4">
        <f t="shared" ca="1" si="243"/>
        <v>45145</v>
      </c>
      <c r="AR797" s="3">
        <f t="shared" ca="1" si="245"/>
        <v>685963.86999999976</v>
      </c>
      <c r="AS797" s="63">
        <f ca="1">IF($AQ797&lt;&gt;"", INDEX(Inputs!$B$3:$B$101, MATCH($AQ797,Inputs!$A$3:$A$101,1)), "")</f>
        <v>4.1000000000000002E-2</v>
      </c>
      <c r="AT797" s="48">
        <f t="shared" ca="1" si="244"/>
        <v>77.053475808219147</v>
      </c>
      <c r="AU797" s="3">
        <f t="shared" ca="1" si="246"/>
        <v>-77.053475808219147</v>
      </c>
      <c r="AV797" s="3">
        <f t="shared" ca="1" si="242"/>
        <v>-77.053475808219147</v>
      </c>
    </row>
    <row r="798" spans="43:48" x14ac:dyDescent="0.2">
      <c r="AQ798" s="4">
        <f t="shared" ca="1" si="243"/>
        <v>45146</v>
      </c>
      <c r="AR798" s="3">
        <f t="shared" ca="1" si="245"/>
        <v>685963.86999999976</v>
      </c>
      <c r="AS798" s="63">
        <f ca="1">IF($AQ798&lt;&gt;"", INDEX(Inputs!$B$3:$B$101, MATCH($AQ798,Inputs!$A$3:$A$101,1)), "")</f>
        <v>4.1000000000000002E-2</v>
      </c>
      <c r="AT798" s="48">
        <f t="shared" ca="1" si="244"/>
        <v>77.053475808219147</v>
      </c>
      <c r="AU798" s="3">
        <f t="shared" ca="1" si="246"/>
        <v>-77.053475808219147</v>
      </c>
      <c r="AV798" s="3">
        <f t="shared" ca="1" si="242"/>
        <v>-77.053475808219147</v>
      </c>
    </row>
    <row r="799" spans="43:48" x14ac:dyDescent="0.2">
      <c r="AQ799" s="4">
        <f t="shared" ca="1" si="243"/>
        <v>45147</v>
      </c>
      <c r="AR799" s="3">
        <f t="shared" ca="1" si="245"/>
        <v>685963.86999999976</v>
      </c>
      <c r="AS799" s="63">
        <f ca="1">IF($AQ799&lt;&gt;"", INDEX(Inputs!$B$3:$B$101, MATCH($AQ799,Inputs!$A$3:$A$101,1)), "")</f>
        <v>4.1000000000000002E-2</v>
      </c>
      <c r="AT799" s="48">
        <f t="shared" ca="1" si="244"/>
        <v>77.053475808219147</v>
      </c>
      <c r="AU799" s="3">
        <f t="shared" ca="1" si="246"/>
        <v>-77.053475808219147</v>
      </c>
      <c r="AV799" s="3">
        <f t="shared" ca="1" si="242"/>
        <v>-77.053475808219147</v>
      </c>
    </row>
    <row r="800" spans="43:48" x14ac:dyDescent="0.2">
      <c r="AQ800" s="4">
        <f t="shared" ca="1" si="243"/>
        <v>45148</v>
      </c>
      <c r="AR800" s="3">
        <f t="shared" ca="1" si="245"/>
        <v>685963.86999999976</v>
      </c>
      <c r="AS800" s="63">
        <f ca="1">IF($AQ800&lt;&gt;"", INDEX(Inputs!$B$3:$B$101, MATCH($AQ800,Inputs!$A$3:$A$101,1)), "")</f>
        <v>4.1000000000000002E-2</v>
      </c>
      <c r="AT800" s="48">
        <f t="shared" ca="1" si="244"/>
        <v>77.053475808219147</v>
      </c>
      <c r="AU800" s="3">
        <f t="shared" ca="1" si="246"/>
        <v>-77.053475808219147</v>
      </c>
      <c r="AV800" s="3">
        <f t="shared" ref="AV800:AV863" ca="1" si="247">IF(AQ800&lt;&gt;"", AU800*(1+$X$9/CompoundingRate)^-((AQ800-AQ$3)/(365/CompoundingRate)), "")</f>
        <v>-77.053475808219147</v>
      </c>
    </row>
    <row r="801" spans="43:48" x14ac:dyDescent="0.2">
      <c r="AQ801" s="4">
        <f t="shared" ca="1" si="243"/>
        <v>45149</v>
      </c>
      <c r="AR801" s="3">
        <f t="shared" ca="1" si="245"/>
        <v>685963.86999999976</v>
      </c>
      <c r="AS801" s="63">
        <f ca="1">IF($AQ801&lt;&gt;"", INDEX(Inputs!$B$3:$B$101, MATCH($AQ801,Inputs!$A$3:$A$101,1)), "")</f>
        <v>4.1000000000000002E-2</v>
      </c>
      <c r="AT801" s="48">
        <f t="shared" ca="1" si="244"/>
        <v>77.053475808219147</v>
      </c>
      <c r="AU801" s="3">
        <f t="shared" ca="1" si="246"/>
        <v>-77.053475808219147</v>
      </c>
      <c r="AV801" s="3">
        <f t="shared" ca="1" si="247"/>
        <v>-77.053475808219147</v>
      </c>
    </row>
    <row r="802" spans="43:48" x14ac:dyDescent="0.2">
      <c r="AQ802" s="4">
        <f t="shared" ca="1" si="243"/>
        <v>45150</v>
      </c>
      <c r="AR802" s="3">
        <f t="shared" ca="1" si="245"/>
        <v>685963.86999999976</v>
      </c>
      <c r="AS802" s="63">
        <f ca="1">IF($AQ802&lt;&gt;"", INDEX(Inputs!$B$3:$B$101, MATCH($AQ802,Inputs!$A$3:$A$101,1)), "")</f>
        <v>4.1000000000000002E-2</v>
      </c>
      <c r="AT802" s="48">
        <f t="shared" ca="1" si="244"/>
        <v>77.053475808219147</v>
      </c>
      <c r="AU802" s="3">
        <f t="shared" ca="1" si="246"/>
        <v>-77.053475808219147</v>
      </c>
      <c r="AV802" s="3">
        <f t="shared" ca="1" si="247"/>
        <v>-77.053475808219147</v>
      </c>
    </row>
    <row r="803" spans="43:48" x14ac:dyDescent="0.2">
      <c r="AQ803" s="4">
        <f t="shared" ca="1" si="243"/>
        <v>45151</v>
      </c>
      <c r="AR803" s="3">
        <f t="shared" ca="1" si="245"/>
        <v>685963.86999999976</v>
      </c>
      <c r="AS803" s="63">
        <f ca="1">IF($AQ803&lt;&gt;"", INDEX(Inputs!$B$3:$B$101, MATCH($AQ803,Inputs!$A$3:$A$101,1)), "")</f>
        <v>4.1000000000000002E-2</v>
      </c>
      <c r="AT803" s="48">
        <f t="shared" ca="1" si="244"/>
        <v>77.053475808219147</v>
      </c>
      <c r="AU803" s="3">
        <f t="shared" ca="1" si="246"/>
        <v>-77.053475808219147</v>
      </c>
      <c r="AV803" s="3">
        <f t="shared" ca="1" si="247"/>
        <v>-77.053475808219147</v>
      </c>
    </row>
    <row r="804" spans="43:48" x14ac:dyDescent="0.2">
      <c r="AQ804" s="4">
        <f t="shared" ca="1" si="243"/>
        <v>45152</v>
      </c>
      <c r="AR804" s="3">
        <f t="shared" ca="1" si="245"/>
        <v>685963.86999999976</v>
      </c>
      <c r="AS804" s="63">
        <f ca="1">IF($AQ804&lt;&gt;"", INDEX(Inputs!$B$3:$B$101, MATCH($AQ804,Inputs!$A$3:$A$101,1)), "")</f>
        <v>4.1000000000000002E-2</v>
      </c>
      <c r="AT804" s="48">
        <f t="shared" ca="1" si="244"/>
        <v>77.053475808219147</v>
      </c>
      <c r="AU804" s="3">
        <f t="shared" ca="1" si="246"/>
        <v>-77.053475808219147</v>
      </c>
      <c r="AV804" s="3">
        <f t="shared" ca="1" si="247"/>
        <v>-77.053475808219147</v>
      </c>
    </row>
    <row r="805" spans="43:48" x14ac:dyDescent="0.2">
      <c r="AQ805" s="4">
        <f t="shared" ca="1" si="243"/>
        <v>45153</v>
      </c>
      <c r="AR805" s="3">
        <f t="shared" ca="1" si="245"/>
        <v>685963.86999999976</v>
      </c>
      <c r="AS805" s="63">
        <f ca="1">IF($AQ805&lt;&gt;"", INDEX(Inputs!$B$3:$B$101, MATCH($AQ805,Inputs!$A$3:$A$101,1)), "")</f>
        <v>4.1000000000000002E-2</v>
      </c>
      <c r="AT805" s="48">
        <f t="shared" ca="1" si="244"/>
        <v>77.053475808219147</v>
      </c>
      <c r="AU805" s="3">
        <f t="shared" ca="1" si="246"/>
        <v>-77.053475808219147</v>
      </c>
      <c r="AV805" s="3">
        <f t="shared" ca="1" si="247"/>
        <v>-77.053475808219147</v>
      </c>
    </row>
    <row r="806" spans="43:48" x14ac:dyDescent="0.2">
      <c r="AQ806" s="4">
        <f t="shared" ca="1" si="243"/>
        <v>45154</v>
      </c>
      <c r="AR806" s="3">
        <f t="shared" ca="1" si="245"/>
        <v>698680.87999999977</v>
      </c>
      <c r="AS806" s="63">
        <f ca="1">IF($AQ806&lt;&gt;"", INDEX(Inputs!$B$3:$B$101, MATCH($AQ806,Inputs!$A$3:$A$101,1)), "")</f>
        <v>4.1000000000000002E-2</v>
      </c>
      <c r="AT806" s="48">
        <f t="shared" ca="1" si="244"/>
        <v>78.48196186301368</v>
      </c>
      <c r="AU806" s="3">
        <f t="shared" ca="1" si="246"/>
        <v>-12795.491961863014</v>
      </c>
      <c r="AV806" s="3">
        <f t="shared" ca="1" si="247"/>
        <v>-12795.491961863014</v>
      </c>
    </row>
    <row r="807" spans="43:48" x14ac:dyDescent="0.2">
      <c r="AQ807" s="4">
        <f t="shared" ca="1" si="243"/>
        <v>45155</v>
      </c>
      <c r="AR807" s="3">
        <f t="shared" ca="1" si="245"/>
        <v>698680.87999999977</v>
      </c>
      <c r="AS807" s="63">
        <f ca="1">IF($AQ807&lt;&gt;"", INDEX(Inputs!$B$3:$B$101, MATCH($AQ807,Inputs!$A$3:$A$101,1)), "")</f>
        <v>4.1000000000000002E-2</v>
      </c>
      <c r="AT807" s="48">
        <f t="shared" ca="1" si="244"/>
        <v>78.48196186301368</v>
      </c>
      <c r="AU807" s="3">
        <f t="shared" ca="1" si="246"/>
        <v>-78.48196186301368</v>
      </c>
      <c r="AV807" s="3">
        <f t="shared" ca="1" si="247"/>
        <v>-78.48196186301368</v>
      </c>
    </row>
    <row r="808" spans="43:48" x14ac:dyDescent="0.2">
      <c r="AQ808" s="4">
        <f t="shared" ca="1" si="243"/>
        <v>45156</v>
      </c>
      <c r="AR808" s="3">
        <f t="shared" ca="1" si="245"/>
        <v>698680.87999999977</v>
      </c>
      <c r="AS808" s="63">
        <f ca="1">IF($AQ808&lt;&gt;"", INDEX(Inputs!$B$3:$B$101, MATCH($AQ808,Inputs!$A$3:$A$101,1)), "")</f>
        <v>4.1000000000000002E-2</v>
      </c>
      <c r="AT808" s="48">
        <f t="shared" ca="1" si="244"/>
        <v>78.48196186301368</v>
      </c>
      <c r="AU808" s="3">
        <f t="shared" ca="1" si="246"/>
        <v>7521.5180381369864</v>
      </c>
      <c r="AV808" s="3">
        <f t="shared" ca="1" si="247"/>
        <v>7521.5180381369864</v>
      </c>
    </row>
    <row r="809" spans="43:48" x14ac:dyDescent="0.2">
      <c r="AQ809" s="4">
        <f t="shared" ca="1" si="243"/>
        <v>45157</v>
      </c>
      <c r="AR809" s="3">
        <f t="shared" ca="1" si="245"/>
        <v>698680.87999999977</v>
      </c>
      <c r="AS809" s="63">
        <f ca="1">IF($AQ809&lt;&gt;"", INDEX(Inputs!$B$3:$B$101, MATCH($AQ809,Inputs!$A$3:$A$101,1)), "")</f>
        <v>4.1000000000000002E-2</v>
      </c>
      <c r="AT809" s="48">
        <f t="shared" ca="1" si="244"/>
        <v>78.48196186301368</v>
      </c>
      <c r="AU809" s="3">
        <f t="shared" ca="1" si="246"/>
        <v>-78.48196186301368</v>
      </c>
      <c r="AV809" s="3">
        <f t="shared" ca="1" si="247"/>
        <v>-78.48196186301368</v>
      </c>
    </row>
    <row r="810" spans="43:48" x14ac:dyDescent="0.2">
      <c r="AQ810" s="4">
        <f t="shared" ca="1" si="243"/>
        <v>45158</v>
      </c>
      <c r="AR810" s="3">
        <f t="shared" ca="1" si="245"/>
        <v>698680.87999999977</v>
      </c>
      <c r="AS810" s="63">
        <f ca="1">IF($AQ810&lt;&gt;"", INDEX(Inputs!$B$3:$B$101, MATCH($AQ810,Inputs!$A$3:$A$101,1)), "")</f>
        <v>4.1000000000000002E-2</v>
      </c>
      <c r="AT810" s="48">
        <f t="shared" ca="1" si="244"/>
        <v>78.48196186301368</v>
      </c>
      <c r="AU810" s="3">
        <f t="shared" ca="1" si="246"/>
        <v>-78.48196186301368</v>
      </c>
      <c r="AV810" s="3">
        <f t="shared" ca="1" si="247"/>
        <v>-78.48196186301368</v>
      </c>
    </row>
    <row r="811" spans="43:48" x14ac:dyDescent="0.2">
      <c r="AQ811" s="4">
        <f t="shared" ca="1" si="243"/>
        <v>45159</v>
      </c>
      <c r="AR811" s="3">
        <f t="shared" ca="1" si="245"/>
        <v>698680.87999999977</v>
      </c>
      <c r="AS811" s="63">
        <f ca="1">IF($AQ811&lt;&gt;"", INDEX(Inputs!$B$3:$B$101, MATCH($AQ811,Inputs!$A$3:$A$101,1)), "")</f>
        <v>4.1000000000000002E-2</v>
      </c>
      <c r="AT811" s="48">
        <f t="shared" ca="1" si="244"/>
        <v>78.48196186301368</v>
      </c>
      <c r="AU811" s="3">
        <f t="shared" ca="1" si="246"/>
        <v>-78.48196186301368</v>
      </c>
      <c r="AV811" s="3">
        <f t="shared" ca="1" si="247"/>
        <v>-78.48196186301368</v>
      </c>
    </row>
    <row r="812" spans="43:48" x14ac:dyDescent="0.2">
      <c r="AQ812" s="4">
        <f t="shared" ca="1" si="243"/>
        <v>45160</v>
      </c>
      <c r="AR812" s="3">
        <f t="shared" ca="1" si="245"/>
        <v>698680.87999999977</v>
      </c>
      <c r="AS812" s="63">
        <f ca="1">IF($AQ812&lt;&gt;"", INDEX(Inputs!$B$3:$B$101, MATCH($AQ812,Inputs!$A$3:$A$101,1)), "")</f>
        <v>4.1000000000000002E-2</v>
      </c>
      <c r="AT812" s="48">
        <f t="shared" ca="1" si="244"/>
        <v>78.48196186301368</v>
      </c>
      <c r="AU812" s="3">
        <f t="shared" ca="1" si="246"/>
        <v>-78.48196186301368</v>
      </c>
      <c r="AV812" s="3">
        <f t="shared" ca="1" si="247"/>
        <v>-78.48196186301368</v>
      </c>
    </row>
    <row r="813" spans="43:48" x14ac:dyDescent="0.2">
      <c r="AQ813" s="4">
        <f t="shared" ca="1" si="243"/>
        <v>45161</v>
      </c>
      <c r="AR813" s="3">
        <f t="shared" ca="1" si="245"/>
        <v>698680.87999999977</v>
      </c>
      <c r="AS813" s="63">
        <f ca="1">IF($AQ813&lt;&gt;"", INDEX(Inputs!$B$3:$B$101, MATCH($AQ813,Inputs!$A$3:$A$101,1)), "")</f>
        <v>4.1000000000000002E-2</v>
      </c>
      <c r="AT813" s="48">
        <f t="shared" ca="1" si="244"/>
        <v>78.48196186301368</v>
      </c>
      <c r="AU813" s="3">
        <f t="shared" ca="1" si="246"/>
        <v>-78.48196186301368</v>
      </c>
      <c r="AV813" s="3">
        <f t="shared" ca="1" si="247"/>
        <v>-78.48196186301368</v>
      </c>
    </row>
    <row r="814" spans="43:48" x14ac:dyDescent="0.2">
      <c r="AQ814" s="4">
        <f t="shared" ca="1" si="243"/>
        <v>45162</v>
      </c>
      <c r="AR814" s="3">
        <f t="shared" ca="1" si="245"/>
        <v>698680.87999999977</v>
      </c>
      <c r="AS814" s="63">
        <f ca="1">IF($AQ814&lt;&gt;"", INDEX(Inputs!$B$3:$B$101, MATCH($AQ814,Inputs!$A$3:$A$101,1)), "")</f>
        <v>4.1000000000000002E-2</v>
      </c>
      <c r="AT814" s="48">
        <f t="shared" ca="1" si="244"/>
        <v>78.48196186301368</v>
      </c>
      <c r="AU814" s="3">
        <f t="shared" ca="1" si="246"/>
        <v>-78.48196186301368</v>
      </c>
      <c r="AV814" s="3">
        <f t="shared" ca="1" si="247"/>
        <v>-78.48196186301368</v>
      </c>
    </row>
    <row r="815" spans="43:48" x14ac:dyDescent="0.2">
      <c r="AQ815" s="4">
        <f t="shared" ca="1" si="243"/>
        <v>45163</v>
      </c>
      <c r="AR815" s="3">
        <f t="shared" ca="1" si="245"/>
        <v>698680.87999999977</v>
      </c>
      <c r="AS815" s="63">
        <f ca="1">IF($AQ815&lt;&gt;"", INDEX(Inputs!$B$3:$B$101, MATCH($AQ815,Inputs!$A$3:$A$101,1)), "")</f>
        <v>4.1000000000000002E-2</v>
      </c>
      <c r="AT815" s="48">
        <f t="shared" ca="1" si="244"/>
        <v>78.48196186301368</v>
      </c>
      <c r="AU815" s="3">
        <f t="shared" ca="1" si="246"/>
        <v>-78.48196186301368</v>
      </c>
      <c r="AV815" s="3">
        <f t="shared" ca="1" si="247"/>
        <v>-78.48196186301368</v>
      </c>
    </row>
    <row r="816" spans="43:48" x14ac:dyDescent="0.2">
      <c r="AQ816" s="4">
        <f t="shared" ca="1" si="243"/>
        <v>45164</v>
      </c>
      <c r="AR816" s="3">
        <f t="shared" ca="1" si="245"/>
        <v>698680.87999999977</v>
      </c>
      <c r="AS816" s="63">
        <f ca="1">IF($AQ816&lt;&gt;"", INDEX(Inputs!$B$3:$B$101, MATCH($AQ816,Inputs!$A$3:$A$101,1)), "")</f>
        <v>4.1000000000000002E-2</v>
      </c>
      <c r="AT816" s="48">
        <f t="shared" ca="1" si="244"/>
        <v>78.48196186301368</v>
      </c>
      <c r="AU816" s="3">
        <f t="shared" ca="1" si="246"/>
        <v>-78.48196186301368</v>
      </c>
      <c r="AV816" s="3">
        <f t="shared" ca="1" si="247"/>
        <v>-78.48196186301368</v>
      </c>
    </row>
    <row r="817" spans="43:48" x14ac:dyDescent="0.2">
      <c r="AQ817" s="4">
        <f t="shared" ca="1" si="243"/>
        <v>45165</v>
      </c>
      <c r="AR817" s="3">
        <f t="shared" ca="1" si="245"/>
        <v>698680.87999999977</v>
      </c>
      <c r="AS817" s="63">
        <f ca="1">IF($AQ817&lt;&gt;"", INDEX(Inputs!$B$3:$B$101, MATCH($AQ817,Inputs!$A$3:$A$101,1)), "")</f>
        <v>4.1000000000000002E-2</v>
      </c>
      <c r="AT817" s="48">
        <f t="shared" ca="1" si="244"/>
        <v>78.48196186301368</v>
      </c>
      <c r="AU817" s="3">
        <f t="shared" ca="1" si="246"/>
        <v>-78.48196186301368</v>
      </c>
      <c r="AV817" s="3">
        <f t="shared" ca="1" si="247"/>
        <v>-78.48196186301368</v>
      </c>
    </row>
    <row r="818" spans="43:48" x14ac:dyDescent="0.2">
      <c r="AQ818" s="4">
        <f t="shared" ca="1" si="243"/>
        <v>45166</v>
      </c>
      <c r="AR818" s="3">
        <f t="shared" ca="1" si="245"/>
        <v>698680.87999999977</v>
      </c>
      <c r="AS818" s="63">
        <f ca="1">IF($AQ818&lt;&gt;"", INDEX(Inputs!$B$3:$B$101, MATCH($AQ818,Inputs!$A$3:$A$101,1)), "")</f>
        <v>4.1000000000000002E-2</v>
      </c>
      <c r="AT818" s="48">
        <f t="shared" ca="1" si="244"/>
        <v>78.48196186301368</v>
      </c>
      <c r="AU818" s="3">
        <f t="shared" ca="1" si="246"/>
        <v>-78.48196186301368</v>
      </c>
      <c r="AV818" s="3">
        <f t="shared" ca="1" si="247"/>
        <v>-78.48196186301368</v>
      </c>
    </row>
    <row r="819" spans="43:48" x14ac:dyDescent="0.2">
      <c r="AQ819" s="4">
        <f t="shared" ca="1" si="243"/>
        <v>45167</v>
      </c>
      <c r="AR819" s="3">
        <f t="shared" ca="1" si="245"/>
        <v>698680.87999999977</v>
      </c>
      <c r="AS819" s="63">
        <f ca="1">IF($AQ819&lt;&gt;"", INDEX(Inputs!$B$3:$B$101, MATCH($AQ819,Inputs!$A$3:$A$101,1)), "")</f>
        <v>4.1000000000000002E-2</v>
      </c>
      <c r="AT819" s="48">
        <f t="shared" ca="1" si="244"/>
        <v>78.48196186301368</v>
      </c>
      <c r="AU819" s="3">
        <f t="shared" ca="1" si="246"/>
        <v>-78.48196186301368</v>
      </c>
      <c r="AV819" s="3">
        <f t="shared" ca="1" si="247"/>
        <v>-78.48196186301368</v>
      </c>
    </row>
    <row r="820" spans="43:48" x14ac:dyDescent="0.2">
      <c r="AQ820" s="4">
        <f t="shared" ca="1" si="243"/>
        <v>45168</v>
      </c>
      <c r="AR820" s="3">
        <f t="shared" ca="1" si="245"/>
        <v>698680.87999999977</v>
      </c>
      <c r="AS820" s="63">
        <f ca="1">IF($AQ820&lt;&gt;"", INDEX(Inputs!$B$3:$B$101, MATCH($AQ820,Inputs!$A$3:$A$101,1)), "")</f>
        <v>4.1000000000000002E-2</v>
      </c>
      <c r="AT820" s="48">
        <f t="shared" ca="1" si="244"/>
        <v>78.48196186301368</v>
      </c>
      <c r="AU820" s="3">
        <f t="shared" ca="1" si="246"/>
        <v>-78.48196186301368</v>
      </c>
      <c r="AV820" s="3">
        <f t="shared" ca="1" si="247"/>
        <v>-78.48196186301368</v>
      </c>
    </row>
    <row r="821" spans="43:48" x14ac:dyDescent="0.2">
      <c r="AQ821" s="4">
        <f t="shared" ca="1" si="243"/>
        <v>45169</v>
      </c>
      <c r="AR821" s="3">
        <f t="shared" ca="1" si="245"/>
        <v>694618.86999999976</v>
      </c>
      <c r="AS821" s="63">
        <f ca="1">IF($AQ821&lt;&gt;"", INDEX(Inputs!$B$3:$B$101, MATCH($AQ821,Inputs!$A$3:$A$101,1)), "")</f>
        <v>4.1000000000000002E-2</v>
      </c>
      <c r="AT821" s="48">
        <f t="shared" ca="1" si="244"/>
        <v>78.025681287671205</v>
      </c>
      <c r="AU821" s="3">
        <f t="shared" ca="1" si="246"/>
        <v>-78.025681287671205</v>
      </c>
      <c r="AV821" s="3">
        <f t="shared" ca="1" si="247"/>
        <v>-78.025681287671205</v>
      </c>
    </row>
    <row r="822" spans="43:48" x14ac:dyDescent="0.2">
      <c r="AQ822" s="4">
        <f t="shared" ca="1" si="243"/>
        <v>45170</v>
      </c>
      <c r="AR822" s="3">
        <f t="shared" ca="1" si="245"/>
        <v>694618.86999999976</v>
      </c>
      <c r="AS822" s="63">
        <f ca="1">IF($AQ822&lt;&gt;"", INDEX(Inputs!$B$3:$B$101, MATCH($AQ822,Inputs!$A$3:$A$101,1)), "")</f>
        <v>4.1000000000000002E-2</v>
      </c>
      <c r="AT822" s="48">
        <f t="shared" ca="1" si="244"/>
        <v>78.025681287671205</v>
      </c>
      <c r="AU822" s="3">
        <f t="shared" ca="1" si="246"/>
        <v>-78.025681287671205</v>
      </c>
      <c r="AV822" s="3">
        <f t="shared" ca="1" si="247"/>
        <v>-78.025681287671205</v>
      </c>
    </row>
    <row r="823" spans="43:48" x14ac:dyDescent="0.2">
      <c r="AQ823" s="4">
        <f t="shared" ca="1" si="243"/>
        <v>45171</v>
      </c>
      <c r="AR823" s="3">
        <f t="shared" ca="1" si="245"/>
        <v>694618.86999999976</v>
      </c>
      <c r="AS823" s="63">
        <f ca="1">IF($AQ823&lt;&gt;"", INDEX(Inputs!$B$3:$B$101, MATCH($AQ823,Inputs!$A$3:$A$101,1)), "")</f>
        <v>4.1000000000000002E-2</v>
      </c>
      <c r="AT823" s="48">
        <f t="shared" ca="1" si="244"/>
        <v>78.025681287671205</v>
      </c>
      <c r="AU823" s="3">
        <f t="shared" ca="1" si="246"/>
        <v>-78.025681287671205</v>
      </c>
      <c r="AV823" s="3">
        <f t="shared" ca="1" si="247"/>
        <v>-78.025681287671205</v>
      </c>
    </row>
    <row r="824" spans="43:48" x14ac:dyDescent="0.2">
      <c r="AQ824" s="4">
        <f t="shared" ca="1" si="243"/>
        <v>45172</v>
      </c>
      <c r="AR824" s="3">
        <f t="shared" ca="1" si="245"/>
        <v>694618.86999999976</v>
      </c>
      <c r="AS824" s="63">
        <f ca="1">IF($AQ824&lt;&gt;"", INDEX(Inputs!$B$3:$B$101, MATCH($AQ824,Inputs!$A$3:$A$101,1)), "")</f>
        <v>4.1000000000000002E-2</v>
      </c>
      <c r="AT824" s="48">
        <f t="shared" ca="1" si="244"/>
        <v>78.025681287671205</v>
      </c>
      <c r="AU824" s="3">
        <f t="shared" ca="1" si="246"/>
        <v>-78.025681287671205</v>
      </c>
      <c r="AV824" s="3">
        <f t="shared" ca="1" si="247"/>
        <v>-78.025681287671205</v>
      </c>
    </row>
    <row r="825" spans="43:48" x14ac:dyDescent="0.2">
      <c r="AQ825" s="4">
        <f t="shared" ref="AQ825:AQ888" ca="1" si="248">IF(AQ824&lt;$AP$3,AQ824+1,"")</f>
        <v>45173</v>
      </c>
      <c r="AR825" s="3">
        <f t="shared" ca="1" si="245"/>
        <v>694618.86999999976</v>
      </c>
      <c r="AS825" s="63">
        <f ca="1">IF($AQ825&lt;&gt;"", INDEX(Inputs!$B$3:$B$101, MATCH($AQ825,Inputs!$A$3:$A$101,1)), "")</f>
        <v>4.1000000000000002E-2</v>
      </c>
      <c r="AT825" s="48">
        <f t="shared" ref="AT825:AT888" ca="1" si="249">IF($AQ825&lt;&gt;"", AR825*AS825/365, "")</f>
        <v>78.025681287671205</v>
      </c>
      <c r="AU825" s="3">
        <f t="shared" ca="1" si="246"/>
        <v>-78.025681287671205</v>
      </c>
      <c r="AV825" s="3">
        <f t="shared" ca="1" si="247"/>
        <v>-78.025681287671205</v>
      </c>
    </row>
    <row r="826" spans="43:48" x14ac:dyDescent="0.2">
      <c r="AQ826" s="4">
        <f t="shared" ca="1" si="248"/>
        <v>45174</v>
      </c>
      <c r="AR826" s="3">
        <f t="shared" ca="1" si="245"/>
        <v>694618.86999999976</v>
      </c>
      <c r="AS826" s="63">
        <f ca="1">IF($AQ826&lt;&gt;"", INDEX(Inputs!$B$3:$B$101, MATCH($AQ826,Inputs!$A$3:$A$101,1)), "")</f>
        <v>4.1000000000000002E-2</v>
      </c>
      <c r="AT826" s="48">
        <f t="shared" ca="1" si="249"/>
        <v>78.025681287671205</v>
      </c>
      <c r="AU826" s="3">
        <f t="shared" ca="1" si="246"/>
        <v>-78.025681287671205</v>
      </c>
      <c r="AV826" s="3">
        <f t="shared" ca="1" si="247"/>
        <v>-78.025681287671205</v>
      </c>
    </row>
    <row r="827" spans="43:48" x14ac:dyDescent="0.2">
      <c r="AQ827" s="4">
        <f t="shared" ca="1" si="248"/>
        <v>45175</v>
      </c>
      <c r="AR827" s="3">
        <f t="shared" ca="1" si="245"/>
        <v>694618.86999999976</v>
      </c>
      <c r="AS827" s="63">
        <f ca="1">IF($AQ827&lt;&gt;"", INDEX(Inputs!$B$3:$B$101, MATCH($AQ827,Inputs!$A$3:$A$101,1)), "")</f>
        <v>4.1000000000000002E-2</v>
      </c>
      <c r="AT827" s="48">
        <f t="shared" ca="1" si="249"/>
        <v>78.025681287671205</v>
      </c>
      <c r="AU827" s="3">
        <f t="shared" ca="1" si="246"/>
        <v>10321.974318712329</v>
      </c>
      <c r="AV827" s="3">
        <f t="shared" ca="1" si="247"/>
        <v>10321.974318712329</v>
      </c>
    </row>
    <row r="828" spans="43:48" x14ac:dyDescent="0.2">
      <c r="AQ828" s="4">
        <f t="shared" ca="1" si="248"/>
        <v>45176</v>
      </c>
      <c r="AR828" s="3">
        <f t="shared" ca="1" si="245"/>
        <v>694618.86999999976</v>
      </c>
      <c r="AS828" s="63">
        <f ca="1">IF($AQ828&lt;&gt;"", INDEX(Inputs!$B$3:$B$101, MATCH($AQ828,Inputs!$A$3:$A$101,1)), "")</f>
        <v>4.1000000000000002E-2</v>
      </c>
      <c r="AT828" s="48">
        <f t="shared" ca="1" si="249"/>
        <v>78.025681287671205</v>
      </c>
      <c r="AU828" s="3">
        <f t="shared" ca="1" si="246"/>
        <v>-78.025681287671205</v>
      </c>
      <c r="AV828" s="3">
        <f t="shared" ca="1" si="247"/>
        <v>-78.025681287671205</v>
      </c>
    </row>
    <row r="829" spans="43:48" x14ac:dyDescent="0.2">
      <c r="AQ829" s="4">
        <f t="shared" ca="1" si="248"/>
        <v>45177</v>
      </c>
      <c r="AR829" s="3">
        <f t="shared" ca="1" si="245"/>
        <v>694618.86999999976</v>
      </c>
      <c r="AS829" s="63">
        <f ca="1">IF($AQ829&lt;&gt;"", INDEX(Inputs!$B$3:$B$101, MATCH($AQ829,Inputs!$A$3:$A$101,1)), "")</f>
        <v>4.1000000000000002E-2</v>
      </c>
      <c r="AT829" s="48">
        <f t="shared" ca="1" si="249"/>
        <v>78.025681287671205</v>
      </c>
      <c r="AU829" s="3">
        <f t="shared" ca="1" si="246"/>
        <v>-78.025681287671205</v>
      </c>
      <c r="AV829" s="3">
        <f t="shared" ca="1" si="247"/>
        <v>-78.025681287671205</v>
      </c>
    </row>
    <row r="830" spans="43:48" x14ac:dyDescent="0.2">
      <c r="AQ830" s="4">
        <f t="shared" ca="1" si="248"/>
        <v>45178</v>
      </c>
      <c r="AR830" s="3">
        <f t="shared" ca="1" si="245"/>
        <v>694618.86999999976</v>
      </c>
      <c r="AS830" s="63">
        <f ca="1">IF($AQ830&lt;&gt;"", INDEX(Inputs!$B$3:$B$101, MATCH($AQ830,Inputs!$A$3:$A$101,1)), "")</f>
        <v>4.1000000000000002E-2</v>
      </c>
      <c r="AT830" s="48">
        <f t="shared" ca="1" si="249"/>
        <v>78.025681287671205</v>
      </c>
      <c r="AU830" s="3">
        <f t="shared" ca="1" si="246"/>
        <v>-78.025681287671205</v>
      </c>
      <c r="AV830" s="3">
        <f t="shared" ca="1" si="247"/>
        <v>-78.025681287671205</v>
      </c>
    </row>
    <row r="831" spans="43:48" x14ac:dyDescent="0.2">
      <c r="AQ831" s="4">
        <f t="shared" ca="1" si="248"/>
        <v>45179</v>
      </c>
      <c r="AR831" s="3">
        <f t="shared" ca="1" si="245"/>
        <v>694618.86999999976</v>
      </c>
      <c r="AS831" s="63">
        <f ca="1">IF($AQ831&lt;&gt;"", INDEX(Inputs!$B$3:$B$101, MATCH($AQ831,Inputs!$A$3:$A$101,1)), "")</f>
        <v>4.1000000000000002E-2</v>
      </c>
      <c r="AT831" s="48">
        <f t="shared" ca="1" si="249"/>
        <v>78.025681287671205</v>
      </c>
      <c r="AU831" s="3">
        <f t="shared" ca="1" si="246"/>
        <v>-78.025681287671205</v>
      </c>
      <c r="AV831" s="3">
        <f t="shared" ca="1" si="247"/>
        <v>-78.025681287671205</v>
      </c>
    </row>
    <row r="832" spans="43:48" x14ac:dyDescent="0.2">
      <c r="AQ832" s="4">
        <f t="shared" ca="1" si="248"/>
        <v>45180</v>
      </c>
      <c r="AR832" s="3">
        <f t="shared" ca="1" si="245"/>
        <v>694618.86999999976</v>
      </c>
      <c r="AS832" s="63">
        <f ca="1">IF($AQ832&lt;&gt;"", INDEX(Inputs!$B$3:$B$101, MATCH($AQ832,Inputs!$A$3:$A$101,1)), "")</f>
        <v>4.1000000000000002E-2</v>
      </c>
      <c r="AT832" s="48">
        <f t="shared" ca="1" si="249"/>
        <v>78.025681287671205</v>
      </c>
      <c r="AU832" s="3">
        <f t="shared" ca="1" si="246"/>
        <v>-78.025681287671205</v>
      </c>
      <c r="AV832" s="3">
        <f t="shared" ca="1" si="247"/>
        <v>-78.025681287671205</v>
      </c>
    </row>
    <row r="833" spans="43:48" x14ac:dyDescent="0.2">
      <c r="AQ833" s="4">
        <f t="shared" ca="1" si="248"/>
        <v>45181</v>
      </c>
      <c r="AR833" s="3">
        <f t="shared" ca="1" si="245"/>
        <v>694618.86999999976</v>
      </c>
      <c r="AS833" s="63">
        <f ca="1">IF($AQ833&lt;&gt;"", INDEX(Inputs!$B$3:$B$101, MATCH($AQ833,Inputs!$A$3:$A$101,1)), "")</f>
        <v>4.1000000000000002E-2</v>
      </c>
      <c r="AT833" s="48">
        <f t="shared" ca="1" si="249"/>
        <v>78.025681287671205</v>
      </c>
      <c r="AU833" s="3">
        <f t="shared" ca="1" si="246"/>
        <v>-78.025681287671205</v>
      </c>
      <c r="AV833" s="3">
        <f t="shared" ca="1" si="247"/>
        <v>-78.025681287671205</v>
      </c>
    </row>
    <row r="834" spans="43:48" x14ac:dyDescent="0.2">
      <c r="AQ834" s="4">
        <f t="shared" ca="1" si="248"/>
        <v>45182</v>
      </c>
      <c r="AR834" s="3">
        <f t="shared" ca="1" si="245"/>
        <v>694618.86999999976</v>
      </c>
      <c r="AS834" s="63">
        <f ca="1">IF($AQ834&lt;&gt;"", INDEX(Inputs!$B$3:$B$101, MATCH($AQ834,Inputs!$A$3:$A$101,1)), "")</f>
        <v>4.1000000000000002E-2</v>
      </c>
      <c r="AT834" s="48">
        <f t="shared" ca="1" si="249"/>
        <v>78.025681287671205</v>
      </c>
      <c r="AU834" s="3">
        <f t="shared" ca="1" si="246"/>
        <v>-78.025681287671205</v>
      </c>
      <c r="AV834" s="3">
        <f t="shared" ca="1" si="247"/>
        <v>-78.025681287671205</v>
      </c>
    </row>
    <row r="835" spans="43:48" x14ac:dyDescent="0.2">
      <c r="AQ835" s="4">
        <f t="shared" ca="1" si="248"/>
        <v>45183</v>
      </c>
      <c r="AR835" s="3">
        <f t="shared" ca="1" si="245"/>
        <v>694618.86999999976</v>
      </c>
      <c r="AS835" s="63">
        <f ca="1">IF($AQ835&lt;&gt;"", INDEX(Inputs!$B$3:$B$101, MATCH($AQ835,Inputs!$A$3:$A$101,1)), "")</f>
        <v>4.1000000000000002E-2</v>
      </c>
      <c r="AT835" s="48">
        <f t="shared" ca="1" si="249"/>
        <v>78.025681287671205</v>
      </c>
      <c r="AU835" s="3">
        <f t="shared" ca="1" si="246"/>
        <v>-78.025681287671205</v>
      </c>
      <c r="AV835" s="3">
        <f t="shared" ca="1" si="247"/>
        <v>-78.025681287671205</v>
      </c>
    </row>
    <row r="836" spans="43:48" x14ac:dyDescent="0.2">
      <c r="AQ836" s="4">
        <f t="shared" ca="1" si="248"/>
        <v>45184</v>
      </c>
      <c r="AR836" s="3">
        <f t="shared" ca="1" si="245"/>
        <v>694618.86999999976</v>
      </c>
      <c r="AS836" s="63">
        <f ca="1">IF($AQ836&lt;&gt;"", INDEX(Inputs!$B$3:$B$101, MATCH($AQ836,Inputs!$A$3:$A$101,1)), "")</f>
        <v>4.1000000000000002E-2</v>
      </c>
      <c r="AT836" s="48">
        <f t="shared" ca="1" si="249"/>
        <v>78.025681287671205</v>
      </c>
      <c r="AU836" s="3">
        <f t="shared" ca="1" si="246"/>
        <v>-78.025681287671205</v>
      </c>
      <c r="AV836" s="3">
        <f t="shared" ca="1" si="247"/>
        <v>-78.025681287671205</v>
      </c>
    </row>
    <row r="837" spans="43:48" x14ac:dyDescent="0.2">
      <c r="AQ837" s="4">
        <f t="shared" ca="1" si="248"/>
        <v>45185</v>
      </c>
      <c r="AR837" s="3">
        <f t="shared" ca="1" si="245"/>
        <v>694618.86999999976</v>
      </c>
      <c r="AS837" s="63">
        <f ca="1">IF($AQ837&lt;&gt;"", INDEX(Inputs!$B$3:$B$101, MATCH($AQ837,Inputs!$A$3:$A$101,1)), "")</f>
        <v>4.1000000000000002E-2</v>
      </c>
      <c r="AT837" s="48">
        <f t="shared" ca="1" si="249"/>
        <v>78.025681287671205</v>
      </c>
      <c r="AU837" s="3">
        <f t="shared" ca="1" si="246"/>
        <v>-78.025681287671205</v>
      </c>
      <c r="AV837" s="3">
        <f t="shared" ca="1" si="247"/>
        <v>-78.025681287671205</v>
      </c>
    </row>
    <row r="838" spans="43:48" x14ac:dyDescent="0.2">
      <c r="AQ838" s="4">
        <f t="shared" ca="1" si="248"/>
        <v>45186</v>
      </c>
      <c r="AR838" s="3">
        <f t="shared" ca="1" si="245"/>
        <v>694618.86999999976</v>
      </c>
      <c r="AS838" s="63">
        <f ca="1">IF($AQ838&lt;&gt;"", INDEX(Inputs!$B$3:$B$101, MATCH($AQ838,Inputs!$A$3:$A$101,1)), "")</f>
        <v>4.1000000000000002E-2</v>
      </c>
      <c r="AT838" s="48">
        <f t="shared" ca="1" si="249"/>
        <v>78.025681287671205</v>
      </c>
      <c r="AU838" s="3">
        <f t="shared" ca="1" si="246"/>
        <v>-78.025681287671205</v>
      </c>
      <c r="AV838" s="3">
        <f t="shared" ca="1" si="247"/>
        <v>-78.025681287671205</v>
      </c>
    </row>
    <row r="839" spans="43:48" x14ac:dyDescent="0.2">
      <c r="AQ839" s="4">
        <f t="shared" ca="1" si="248"/>
        <v>45187</v>
      </c>
      <c r="AR839" s="3">
        <f t="shared" ca="1" si="245"/>
        <v>707335.87999999977</v>
      </c>
      <c r="AS839" s="63">
        <f ca="1">IF($AQ839&lt;&gt;"", INDEX(Inputs!$B$3:$B$101, MATCH($AQ839,Inputs!$A$3:$A$101,1)), "")</f>
        <v>4.1000000000000002E-2</v>
      </c>
      <c r="AT839" s="48">
        <f t="shared" ca="1" si="249"/>
        <v>79.454167342465723</v>
      </c>
      <c r="AU839" s="3">
        <f t="shared" ca="1" si="246"/>
        <v>-12796.464167342467</v>
      </c>
      <c r="AV839" s="3">
        <f t="shared" ca="1" si="247"/>
        <v>-12796.464167342467</v>
      </c>
    </row>
    <row r="840" spans="43:48" x14ac:dyDescent="0.2">
      <c r="AQ840" s="4">
        <f t="shared" ca="1" si="248"/>
        <v>45188</v>
      </c>
      <c r="AR840" s="3">
        <f t="shared" ca="1" si="245"/>
        <v>707335.87999999977</v>
      </c>
      <c r="AS840" s="63">
        <f ca="1">IF($AQ840&lt;&gt;"", INDEX(Inputs!$B$3:$B$101, MATCH($AQ840,Inputs!$A$3:$A$101,1)), "")</f>
        <v>4.1000000000000002E-2</v>
      </c>
      <c r="AT840" s="48">
        <f t="shared" ca="1" si="249"/>
        <v>79.454167342465723</v>
      </c>
      <c r="AU840" s="3">
        <f t="shared" ca="1" si="246"/>
        <v>-79.454167342465723</v>
      </c>
      <c r="AV840" s="3">
        <f t="shared" ca="1" si="247"/>
        <v>-79.454167342465723</v>
      </c>
    </row>
    <row r="841" spans="43:48" x14ac:dyDescent="0.2">
      <c r="AQ841" s="4">
        <f t="shared" ca="1" si="248"/>
        <v>45189</v>
      </c>
      <c r="AR841" s="3">
        <f t="shared" ca="1" si="245"/>
        <v>707335.87999999977</v>
      </c>
      <c r="AS841" s="63">
        <f ca="1">IF($AQ841&lt;&gt;"", INDEX(Inputs!$B$3:$B$101, MATCH($AQ841,Inputs!$A$3:$A$101,1)), "")</f>
        <v>4.1000000000000002E-2</v>
      </c>
      <c r="AT841" s="48">
        <f t="shared" ca="1" si="249"/>
        <v>79.454167342465723</v>
      </c>
      <c r="AU841" s="3">
        <f t="shared" ca="1" si="246"/>
        <v>-79.454167342465723</v>
      </c>
      <c r="AV841" s="3">
        <f t="shared" ca="1" si="247"/>
        <v>-79.454167342465723</v>
      </c>
    </row>
    <row r="842" spans="43:48" x14ac:dyDescent="0.2">
      <c r="AQ842" s="4">
        <f t="shared" ca="1" si="248"/>
        <v>45190</v>
      </c>
      <c r="AR842" s="3">
        <f t="shared" ca="1" si="245"/>
        <v>707335.87999999977</v>
      </c>
      <c r="AS842" s="63">
        <f ca="1">IF($AQ842&lt;&gt;"", INDEX(Inputs!$B$3:$B$101, MATCH($AQ842,Inputs!$A$3:$A$101,1)), "")</f>
        <v>4.1000000000000002E-2</v>
      </c>
      <c r="AT842" s="48">
        <f t="shared" ca="1" si="249"/>
        <v>79.454167342465723</v>
      </c>
      <c r="AU842" s="3">
        <f t="shared" ca="1" si="246"/>
        <v>-79.454167342465723</v>
      </c>
      <c r="AV842" s="3">
        <f t="shared" ca="1" si="247"/>
        <v>-79.454167342465723</v>
      </c>
    </row>
    <row r="843" spans="43:48" x14ac:dyDescent="0.2">
      <c r="AQ843" s="4">
        <f t="shared" ca="1" si="248"/>
        <v>45191</v>
      </c>
      <c r="AR843" s="3">
        <f t="shared" ca="1" si="245"/>
        <v>707335.87999999977</v>
      </c>
      <c r="AS843" s="63">
        <f ca="1">IF($AQ843&lt;&gt;"", INDEX(Inputs!$B$3:$B$101, MATCH($AQ843,Inputs!$A$3:$A$101,1)), "")</f>
        <v>4.1000000000000002E-2</v>
      </c>
      <c r="AT843" s="48">
        <f t="shared" ca="1" si="249"/>
        <v>79.454167342465723</v>
      </c>
      <c r="AU843" s="3">
        <f t="shared" ca="1" si="246"/>
        <v>-79.454167342465723</v>
      </c>
      <c r="AV843" s="3">
        <f t="shared" ca="1" si="247"/>
        <v>-79.454167342465723</v>
      </c>
    </row>
    <row r="844" spans="43:48" x14ac:dyDescent="0.2">
      <c r="AQ844" s="4">
        <f t="shared" ca="1" si="248"/>
        <v>45192</v>
      </c>
      <c r="AR844" s="3">
        <f t="shared" ca="1" si="245"/>
        <v>707335.87999999977</v>
      </c>
      <c r="AS844" s="63">
        <f ca="1">IF($AQ844&lt;&gt;"", INDEX(Inputs!$B$3:$B$101, MATCH($AQ844,Inputs!$A$3:$A$101,1)), "")</f>
        <v>4.1000000000000002E-2</v>
      </c>
      <c r="AT844" s="48">
        <f t="shared" ca="1" si="249"/>
        <v>79.454167342465723</v>
      </c>
      <c r="AU844" s="3">
        <f t="shared" ca="1" si="246"/>
        <v>-79.454167342465723</v>
      </c>
      <c r="AV844" s="3">
        <f t="shared" ca="1" si="247"/>
        <v>-79.454167342465723</v>
      </c>
    </row>
    <row r="845" spans="43:48" x14ac:dyDescent="0.2">
      <c r="AQ845" s="4">
        <f t="shared" ca="1" si="248"/>
        <v>45193</v>
      </c>
      <c r="AR845" s="3">
        <f t="shared" ca="1" si="245"/>
        <v>707335.87999999977</v>
      </c>
      <c r="AS845" s="63">
        <f ca="1">IF($AQ845&lt;&gt;"", INDEX(Inputs!$B$3:$B$101, MATCH($AQ845,Inputs!$A$3:$A$101,1)), "")</f>
        <v>4.1000000000000002E-2</v>
      </c>
      <c r="AT845" s="48">
        <f t="shared" ca="1" si="249"/>
        <v>79.454167342465723</v>
      </c>
      <c r="AU845" s="3">
        <f t="shared" ca="1" si="246"/>
        <v>-79.454167342465723</v>
      </c>
      <c r="AV845" s="3">
        <f t="shared" ca="1" si="247"/>
        <v>-79.454167342465723</v>
      </c>
    </row>
    <row r="846" spans="43:48" x14ac:dyDescent="0.2">
      <c r="AQ846" s="4">
        <f t="shared" ca="1" si="248"/>
        <v>45194</v>
      </c>
      <c r="AR846" s="3">
        <f t="shared" ca="1" si="245"/>
        <v>707335.87999999977</v>
      </c>
      <c r="AS846" s="63">
        <f ca="1">IF($AQ846&lt;&gt;"", INDEX(Inputs!$B$3:$B$101, MATCH($AQ846,Inputs!$A$3:$A$101,1)), "")</f>
        <v>4.1000000000000002E-2</v>
      </c>
      <c r="AT846" s="48">
        <f t="shared" ca="1" si="249"/>
        <v>79.454167342465723</v>
      </c>
      <c r="AU846" s="3">
        <f t="shared" ca="1" si="246"/>
        <v>-365.90416734246571</v>
      </c>
      <c r="AV846" s="3">
        <f t="shared" ca="1" si="247"/>
        <v>-365.90416734246571</v>
      </c>
    </row>
    <row r="847" spans="43:48" x14ac:dyDescent="0.2">
      <c r="AQ847" s="4">
        <f t="shared" ca="1" si="248"/>
        <v>45195</v>
      </c>
      <c r="AR847" s="3">
        <f t="shared" ca="1" si="245"/>
        <v>707335.87999999977</v>
      </c>
      <c r="AS847" s="63">
        <f ca="1">IF($AQ847&lt;&gt;"", INDEX(Inputs!$B$3:$B$101, MATCH($AQ847,Inputs!$A$3:$A$101,1)), "")</f>
        <v>4.1000000000000002E-2</v>
      </c>
      <c r="AT847" s="48">
        <f t="shared" ca="1" si="249"/>
        <v>79.454167342465723</v>
      </c>
      <c r="AU847" s="3">
        <f t="shared" ca="1" si="246"/>
        <v>-79.454167342465723</v>
      </c>
      <c r="AV847" s="3">
        <f t="shared" ca="1" si="247"/>
        <v>-79.454167342465723</v>
      </c>
    </row>
    <row r="848" spans="43:48" x14ac:dyDescent="0.2">
      <c r="AQ848" s="4">
        <f t="shared" ca="1" si="248"/>
        <v>45196</v>
      </c>
      <c r="AR848" s="3">
        <f t="shared" ca="1" si="245"/>
        <v>707335.87999999977</v>
      </c>
      <c r="AS848" s="63">
        <f ca="1">IF($AQ848&lt;&gt;"", INDEX(Inputs!$B$3:$B$101, MATCH($AQ848,Inputs!$A$3:$A$101,1)), "")</f>
        <v>4.1000000000000002E-2</v>
      </c>
      <c r="AT848" s="48">
        <f t="shared" ca="1" si="249"/>
        <v>79.454167342465723</v>
      </c>
      <c r="AU848" s="3">
        <f t="shared" ca="1" si="246"/>
        <v>-79.454167342465723</v>
      </c>
      <c r="AV848" s="3">
        <f t="shared" ca="1" si="247"/>
        <v>-79.454167342465723</v>
      </c>
    </row>
    <row r="849" spans="43:48" x14ac:dyDescent="0.2">
      <c r="AQ849" s="4">
        <f t="shared" ca="1" si="248"/>
        <v>45197</v>
      </c>
      <c r="AR849" s="3">
        <f t="shared" ca="1" si="245"/>
        <v>707335.87999999977</v>
      </c>
      <c r="AS849" s="63">
        <f ca="1">IF($AQ849&lt;&gt;"", INDEX(Inputs!$B$3:$B$101, MATCH($AQ849,Inputs!$A$3:$A$101,1)), "")</f>
        <v>4.1000000000000002E-2</v>
      </c>
      <c r="AT849" s="48">
        <f t="shared" ca="1" si="249"/>
        <v>79.454167342465723</v>
      </c>
      <c r="AU849" s="3">
        <f t="shared" ca="1" si="246"/>
        <v>-79.454167342465723</v>
      </c>
      <c r="AV849" s="3">
        <f t="shared" ca="1" si="247"/>
        <v>-79.454167342465723</v>
      </c>
    </row>
    <row r="850" spans="43:48" x14ac:dyDescent="0.2">
      <c r="AQ850" s="4">
        <f t="shared" ca="1" si="248"/>
        <v>45198</v>
      </c>
      <c r="AR850" s="3">
        <f t="shared" ca="1" si="245"/>
        <v>703540.21999999974</v>
      </c>
      <c r="AS850" s="63">
        <f ca="1">IF($AQ850&lt;&gt;"", INDEX(Inputs!$B$3:$B$101, MATCH($AQ850,Inputs!$A$3:$A$101,1)), "")</f>
        <v>4.1000000000000002E-2</v>
      </c>
      <c r="AT850" s="48">
        <f t="shared" ca="1" si="249"/>
        <v>79.027805534246554</v>
      </c>
      <c r="AU850" s="3">
        <f t="shared" ca="1" si="246"/>
        <v>-79.027805534246554</v>
      </c>
      <c r="AV850" s="3">
        <f t="shared" ca="1" si="247"/>
        <v>-79.027805534246554</v>
      </c>
    </row>
    <row r="851" spans="43:48" x14ac:dyDescent="0.2">
      <c r="AQ851" s="4">
        <f t="shared" ca="1" si="248"/>
        <v>45199</v>
      </c>
      <c r="AR851" s="3">
        <f t="shared" ca="1" si="245"/>
        <v>703540.21999999974</v>
      </c>
      <c r="AS851" s="63">
        <f ca="1">IF($AQ851&lt;&gt;"", INDEX(Inputs!$B$3:$B$101, MATCH($AQ851,Inputs!$A$3:$A$101,1)), "")</f>
        <v>4.1000000000000002E-2</v>
      </c>
      <c r="AT851" s="48">
        <f t="shared" ca="1" si="249"/>
        <v>79.027805534246554</v>
      </c>
      <c r="AU851" s="3">
        <f t="shared" ca="1" si="246"/>
        <v>-79.027805534246554</v>
      </c>
      <c r="AV851" s="3">
        <f t="shared" ca="1" si="247"/>
        <v>-79.027805534246554</v>
      </c>
    </row>
    <row r="852" spans="43:48" x14ac:dyDescent="0.2">
      <c r="AQ852" s="4">
        <f t="shared" ca="1" si="248"/>
        <v>45200</v>
      </c>
      <c r="AR852" s="3">
        <f t="shared" ca="1" si="245"/>
        <v>703540.21999999974</v>
      </c>
      <c r="AS852" s="63">
        <f ca="1">IF($AQ852&lt;&gt;"", INDEX(Inputs!$B$3:$B$101, MATCH($AQ852,Inputs!$A$3:$A$101,1)), "")</f>
        <v>4.1000000000000002E-2</v>
      </c>
      <c r="AT852" s="48">
        <f t="shared" ca="1" si="249"/>
        <v>79.027805534246554</v>
      </c>
      <c r="AU852" s="3">
        <f t="shared" ca="1" si="246"/>
        <v>-79.027805534246554</v>
      </c>
      <c r="AV852" s="3">
        <f t="shared" ca="1" si="247"/>
        <v>-79.027805534246554</v>
      </c>
    </row>
    <row r="853" spans="43:48" x14ac:dyDescent="0.2">
      <c r="AQ853" s="4">
        <f t="shared" ca="1" si="248"/>
        <v>45201</v>
      </c>
      <c r="AR853" s="3">
        <f t="shared" ca="1" si="245"/>
        <v>703540.21999999974</v>
      </c>
      <c r="AS853" s="63">
        <f ca="1">IF($AQ853&lt;&gt;"", INDEX(Inputs!$B$3:$B$101, MATCH($AQ853,Inputs!$A$3:$A$101,1)), "")</f>
        <v>4.1000000000000002E-2</v>
      </c>
      <c r="AT853" s="48">
        <f t="shared" ca="1" si="249"/>
        <v>79.027805534246554</v>
      </c>
      <c r="AU853" s="3">
        <f t="shared" ca="1" si="246"/>
        <v>10320.972194465754</v>
      </c>
      <c r="AV853" s="3">
        <f t="shared" ca="1" si="247"/>
        <v>10320.972194465754</v>
      </c>
    </row>
    <row r="854" spans="43:48" x14ac:dyDescent="0.2">
      <c r="AQ854" s="4">
        <f t="shared" ca="1" si="248"/>
        <v>45202</v>
      </c>
      <c r="AR854" s="3">
        <f t="shared" ca="1" si="245"/>
        <v>703540.21999999974</v>
      </c>
      <c r="AS854" s="63">
        <f ca="1">IF($AQ854&lt;&gt;"", INDEX(Inputs!$B$3:$B$101, MATCH($AQ854,Inputs!$A$3:$A$101,1)), "")</f>
        <v>4.1000000000000002E-2</v>
      </c>
      <c r="AT854" s="48">
        <f t="shared" ca="1" si="249"/>
        <v>79.027805534246554</v>
      </c>
      <c r="AU854" s="3">
        <f t="shared" ca="1" si="246"/>
        <v>-79.027805534246554</v>
      </c>
      <c r="AV854" s="3">
        <f t="shared" ca="1" si="247"/>
        <v>-79.027805534246554</v>
      </c>
    </row>
    <row r="855" spans="43:48" x14ac:dyDescent="0.2">
      <c r="AQ855" s="4">
        <f t="shared" ca="1" si="248"/>
        <v>45203</v>
      </c>
      <c r="AR855" s="3">
        <f t="shared" ca="1" si="245"/>
        <v>703540.21999999974</v>
      </c>
      <c r="AS855" s="63">
        <f ca="1">IF($AQ855&lt;&gt;"", INDEX(Inputs!$B$3:$B$101, MATCH($AQ855,Inputs!$A$3:$A$101,1)), "")</f>
        <v>4.1000000000000002E-2</v>
      </c>
      <c r="AT855" s="48">
        <f t="shared" ca="1" si="249"/>
        <v>79.027805534246554</v>
      </c>
      <c r="AU855" s="3">
        <f t="shared" ca="1" si="246"/>
        <v>-79.027805534246554</v>
      </c>
      <c r="AV855" s="3">
        <f t="shared" ca="1" si="247"/>
        <v>-79.027805534246554</v>
      </c>
    </row>
    <row r="856" spans="43:48" x14ac:dyDescent="0.2">
      <c r="AQ856" s="4">
        <f t="shared" ca="1" si="248"/>
        <v>45204</v>
      </c>
      <c r="AR856" s="3">
        <f t="shared" ca="1" si="245"/>
        <v>703540.21999999974</v>
      </c>
      <c r="AS856" s="63">
        <f ca="1">IF($AQ856&lt;&gt;"", INDEX(Inputs!$B$3:$B$101, MATCH($AQ856,Inputs!$A$3:$A$101,1)), "")</f>
        <v>4.1000000000000002E-2</v>
      </c>
      <c r="AT856" s="48">
        <f t="shared" ca="1" si="249"/>
        <v>79.027805534246554</v>
      </c>
      <c r="AU856" s="3">
        <f t="shared" ca="1" si="246"/>
        <v>-79.027805534246554</v>
      </c>
      <c r="AV856" s="3">
        <f t="shared" ca="1" si="247"/>
        <v>-79.027805534246554</v>
      </c>
    </row>
    <row r="857" spans="43:48" x14ac:dyDescent="0.2">
      <c r="AQ857" s="4">
        <f t="shared" ca="1" si="248"/>
        <v>45205</v>
      </c>
      <c r="AR857" s="3">
        <f t="shared" ref="AR857:AR920" ca="1" si="250">IF($AQ857&lt;&gt;"", INDEX($AC$3:$AC$1055, MATCH($AQ857,$A$3:$A$1055,1)), "")</f>
        <v>703540.21999999974</v>
      </c>
      <c r="AS857" s="63">
        <f ca="1">IF($AQ857&lt;&gt;"", INDEX(Inputs!$B$3:$B$101, MATCH($AQ857,Inputs!$A$3:$A$101,1)), "")</f>
        <v>4.1000000000000002E-2</v>
      </c>
      <c r="AT857" s="48">
        <f t="shared" ca="1" si="249"/>
        <v>79.027805534246554</v>
      </c>
      <c r="AU857" s="3">
        <f t="shared" ref="AU857:AU920" ca="1" si="251">IF($AQ857&lt;&gt;"", SUMIFS($AL$3:$AL$1054, $A$3:$A$1054,$AQ857) + SUMIFS($M$3:$M$1054, $A$3:$A$1054,$AQ857)*IFERROR(AVERAGEIFS($L$3:$L$1054, $A$3:$A$1054,$AQ857, $M$3:$M$1054,"&gt;0"),0) - AT857, "")</f>
        <v>-79.027805534246554</v>
      </c>
      <c r="AV857" s="3">
        <f t="shared" ca="1" si="247"/>
        <v>-79.027805534246554</v>
      </c>
    </row>
    <row r="858" spans="43:48" x14ac:dyDescent="0.2">
      <c r="AQ858" s="4">
        <f t="shared" ca="1" si="248"/>
        <v>45206</v>
      </c>
      <c r="AR858" s="3">
        <f t="shared" ca="1" si="250"/>
        <v>703540.21999999974</v>
      </c>
      <c r="AS858" s="63">
        <f ca="1">IF($AQ858&lt;&gt;"", INDEX(Inputs!$B$3:$B$101, MATCH($AQ858,Inputs!$A$3:$A$101,1)), "")</f>
        <v>4.1000000000000002E-2</v>
      </c>
      <c r="AT858" s="48">
        <f t="shared" ca="1" si="249"/>
        <v>79.027805534246554</v>
      </c>
      <c r="AU858" s="3">
        <f t="shared" ca="1" si="251"/>
        <v>-79.027805534246554</v>
      </c>
      <c r="AV858" s="3">
        <f t="shared" ca="1" si="247"/>
        <v>-79.027805534246554</v>
      </c>
    </row>
    <row r="859" spans="43:48" x14ac:dyDescent="0.2">
      <c r="AQ859" s="4">
        <f t="shared" ca="1" si="248"/>
        <v>45207</v>
      </c>
      <c r="AR859" s="3">
        <f t="shared" ca="1" si="250"/>
        <v>703540.21999999974</v>
      </c>
      <c r="AS859" s="63">
        <f ca="1">IF($AQ859&lt;&gt;"", INDEX(Inputs!$B$3:$B$101, MATCH($AQ859,Inputs!$A$3:$A$101,1)), "")</f>
        <v>4.1000000000000002E-2</v>
      </c>
      <c r="AT859" s="48">
        <f t="shared" ca="1" si="249"/>
        <v>79.027805534246554</v>
      </c>
      <c r="AU859" s="3">
        <f t="shared" ca="1" si="251"/>
        <v>-79.027805534246554</v>
      </c>
      <c r="AV859" s="3">
        <f t="shared" ca="1" si="247"/>
        <v>-79.027805534246554</v>
      </c>
    </row>
    <row r="860" spans="43:48" x14ac:dyDescent="0.2">
      <c r="AQ860" s="4">
        <f t="shared" ca="1" si="248"/>
        <v>45208</v>
      </c>
      <c r="AR860" s="3">
        <f t="shared" ca="1" si="250"/>
        <v>703540.21999999974</v>
      </c>
      <c r="AS860" s="63">
        <f ca="1">IF($AQ860&lt;&gt;"", INDEX(Inputs!$B$3:$B$101, MATCH($AQ860,Inputs!$A$3:$A$101,1)), "")</f>
        <v>4.1000000000000002E-2</v>
      </c>
      <c r="AT860" s="48">
        <f t="shared" ca="1" si="249"/>
        <v>79.027805534246554</v>
      </c>
      <c r="AU860" s="3">
        <f t="shared" ca="1" si="251"/>
        <v>-79.027805534246554</v>
      </c>
      <c r="AV860" s="3">
        <f t="shared" ca="1" si="247"/>
        <v>-79.027805534246554</v>
      </c>
    </row>
    <row r="861" spans="43:48" x14ac:dyDescent="0.2">
      <c r="AQ861" s="4">
        <f t="shared" ca="1" si="248"/>
        <v>45209</v>
      </c>
      <c r="AR861" s="3">
        <f t="shared" ca="1" si="250"/>
        <v>703540.21999999974</v>
      </c>
      <c r="AS861" s="63">
        <f ca="1">IF($AQ861&lt;&gt;"", INDEX(Inputs!$B$3:$B$101, MATCH($AQ861,Inputs!$A$3:$A$101,1)), "")</f>
        <v>4.1000000000000002E-2</v>
      </c>
      <c r="AT861" s="48">
        <f t="shared" ca="1" si="249"/>
        <v>79.027805534246554</v>
      </c>
      <c r="AU861" s="3">
        <f t="shared" ca="1" si="251"/>
        <v>-79.027805534246554</v>
      </c>
      <c r="AV861" s="3">
        <f t="shared" ca="1" si="247"/>
        <v>-79.027805534246554</v>
      </c>
    </row>
    <row r="862" spans="43:48" x14ac:dyDescent="0.2">
      <c r="AQ862" s="4">
        <f t="shared" ca="1" si="248"/>
        <v>45210</v>
      </c>
      <c r="AR862" s="3">
        <f t="shared" ca="1" si="250"/>
        <v>703540.21999999974</v>
      </c>
      <c r="AS862" s="63">
        <f ca="1">IF($AQ862&lt;&gt;"", INDEX(Inputs!$B$3:$B$101, MATCH($AQ862,Inputs!$A$3:$A$101,1)), "")</f>
        <v>4.1000000000000002E-2</v>
      </c>
      <c r="AT862" s="48">
        <f t="shared" ca="1" si="249"/>
        <v>79.027805534246554</v>
      </c>
      <c r="AU862" s="3">
        <f t="shared" ca="1" si="251"/>
        <v>-79.027805534246554</v>
      </c>
      <c r="AV862" s="3">
        <f t="shared" ca="1" si="247"/>
        <v>-79.027805534246554</v>
      </c>
    </row>
    <row r="863" spans="43:48" x14ac:dyDescent="0.2">
      <c r="AQ863" s="4">
        <f t="shared" ca="1" si="248"/>
        <v>45211</v>
      </c>
      <c r="AR863" s="3">
        <f t="shared" ca="1" si="250"/>
        <v>703540.21999999974</v>
      </c>
      <c r="AS863" s="63">
        <f ca="1">IF($AQ863&lt;&gt;"", INDEX(Inputs!$B$3:$B$101, MATCH($AQ863,Inputs!$A$3:$A$101,1)), "")</f>
        <v>4.1000000000000002E-2</v>
      </c>
      <c r="AT863" s="48">
        <f t="shared" ca="1" si="249"/>
        <v>79.027805534246554</v>
      </c>
      <c r="AU863" s="3">
        <f t="shared" ca="1" si="251"/>
        <v>-79.027805534246554</v>
      </c>
      <c r="AV863" s="3">
        <f t="shared" ca="1" si="247"/>
        <v>-79.027805534246554</v>
      </c>
    </row>
    <row r="864" spans="43:48" x14ac:dyDescent="0.2">
      <c r="AQ864" s="4">
        <f t="shared" ca="1" si="248"/>
        <v>45212</v>
      </c>
      <c r="AR864" s="3">
        <f t="shared" ca="1" si="250"/>
        <v>703540.21999999974</v>
      </c>
      <c r="AS864" s="63">
        <f ca="1">IF($AQ864&lt;&gt;"", INDEX(Inputs!$B$3:$B$101, MATCH($AQ864,Inputs!$A$3:$A$101,1)), "")</f>
        <v>4.1000000000000002E-2</v>
      </c>
      <c r="AT864" s="48">
        <f t="shared" ca="1" si="249"/>
        <v>79.027805534246554</v>
      </c>
      <c r="AU864" s="3">
        <f t="shared" ca="1" si="251"/>
        <v>-79.027805534246554</v>
      </c>
      <c r="AV864" s="3">
        <f t="shared" ref="AV864:AV927" ca="1" si="252">IF(AQ864&lt;&gt;"", AU864*(1+$X$9/CompoundingRate)^-((AQ864-AQ$3)/(365/CompoundingRate)), "")</f>
        <v>-79.027805534246554</v>
      </c>
    </row>
    <row r="865" spans="43:48" x14ac:dyDescent="0.2">
      <c r="AQ865" s="4">
        <f t="shared" ca="1" si="248"/>
        <v>45213</v>
      </c>
      <c r="AR865" s="3">
        <f t="shared" ca="1" si="250"/>
        <v>703540.21999999974</v>
      </c>
      <c r="AS865" s="63">
        <f ca="1">IF($AQ865&lt;&gt;"", INDEX(Inputs!$B$3:$B$101, MATCH($AQ865,Inputs!$A$3:$A$101,1)), "")</f>
        <v>4.1000000000000002E-2</v>
      </c>
      <c r="AT865" s="48">
        <f t="shared" ca="1" si="249"/>
        <v>79.027805534246554</v>
      </c>
      <c r="AU865" s="3">
        <f t="shared" ca="1" si="251"/>
        <v>-79.027805534246554</v>
      </c>
      <c r="AV865" s="3">
        <f t="shared" ca="1" si="252"/>
        <v>-79.027805534246554</v>
      </c>
    </row>
    <row r="866" spans="43:48" x14ac:dyDescent="0.2">
      <c r="AQ866" s="4">
        <f t="shared" ca="1" si="248"/>
        <v>45214</v>
      </c>
      <c r="AR866" s="3">
        <f t="shared" ca="1" si="250"/>
        <v>703540.21999999974</v>
      </c>
      <c r="AS866" s="63">
        <f ca="1">IF($AQ866&lt;&gt;"", INDEX(Inputs!$B$3:$B$101, MATCH($AQ866,Inputs!$A$3:$A$101,1)), "")</f>
        <v>4.1000000000000002E-2</v>
      </c>
      <c r="AT866" s="48">
        <f t="shared" ca="1" si="249"/>
        <v>79.027805534246554</v>
      </c>
      <c r="AU866" s="3">
        <f t="shared" ca="1" si="251"/>
        <v>-79.027805534246554</v>
      </c>
      <c r="AV866" s="3">
        <f t="shared" ca="1" si="252"/>
        <v>-79.027805534246554</v>
      </c>
    </row>
    <row r="867" spans="43:48" x14ac:dyDescent="0.2">
      <c r="AQ867" s="4">
        <f t="shared" ca="1" si="248"/>
        <v>45215</v>
      </c>
      <c r="AR867" s="3">
        <f t="shared" ca="1" si="250"/>
        <v>716293.83999999973</v>
      </c>
      <c r="AS867" s="63">
        <f ca="1">IF($AQ867&lt;&gt;"", INDEX(Inputs!$B$3:$B$101, MATCH($AQ867,Inputs!$A$3:$A$101,1)), "")</f>
        <v>4.1000000000000002E-2</v>
      </c>
      <c r="AT867" s="48">
        <f t="shared" ca="1" si="249"/>
        <v>80.460403945205456</v>
      </c>
      <c r="AU867" s="3">
        <f t="shared" ca="1" si="251"/>
        <v>-12834.080403945207</v>
      </c>
      <c r="AV867" s="3">
        <f t="shared" ca="1" si="252"/>
        <v>-12834.080403945207</v>
      </c>
    </row>
    <row r="868" spans="43:48" x14ac:dyDescent="0.2">
      <c r="AQ868" s="4">
        <f t="shared" ca="1" si="248"/>
        <v>45216</v>
      </c>
      <c r="AR868" s="3">
        <f t="shared" ca="1" si="250"/>
        <v>716293.83999999973</v>
      </c>
      <c r="AS868" s="63">
        <f ca="1">IF($AQ868&lt;&gt;"", INDEX(Inputs!$B$3:$B$101, MATCH($AQ868,Inputs!$A$3:$A$101,1)), "")</f>
        <v>4.1000000000000002E-2</v>
      </c>
      <c r="AT868" s="48">
        <f t="shared" ca="1" si="249"/>
        <v>80.460403945205456</v>
      </c>
      <c r="AU868" s="3">
        <f t="shared" ca="1" si="251"/>
        <v>-80.460403945205456</v>
      </c>
      <c r="AV868" s="3">
        <f t="shared" ca="1" si="252"/>
        <v>-80.460403945205456</v>
      </c>
    </row>
    <row r="869" spans="43:48" x14ac:dyDescent="0.2">
      <c r="AQ869" s="4">
        <f t="shared" ca="1" si="248"/>
        <v>45217</v>
      </c>
      <c r="AR869" s="3">
        <f t="shared" ca="1" si="250"/>
        <v>716293.83999999973</v>
      </c>
      <c r="AS869" s="63">
        <f ca="1">IF($AQ869&lt;&gt;"", INDEX(Inputs!$B$3:$B$101, MATCH($AQ869,Inputs!$A$3:$A$101,1)), "")</f>
        <v>4.1000000000000002E-2</v>
      </c>
      <c r="AT869" s="48">
        <f t="shared" ca="1" si="249"/>
        <v>80.460403945205456</v>
      </c>
      <c r="AU869" s="3">
        <f t="shared" ca="1" si="251"/>
        <v>-80.460403945205456</v>
      </c>
      <c r="AV869" s="3">
        <f t="shared" ca="1" si="252"/>
        <v>-80.460403945205456</v>
      </c>
    </row>
    <row r="870" spans="43:48" x14ac:dyDescent="0.2">
      <c r="AQ870" s="4">
        <f t="shared" ca="1" si="248"/>
        <v>45218</v>
      </c>
      <c r="AR870" s="3">
        <f t="shared" ca="1" si="250"/>
        <v>716293.83999999973</v>
      </c>
      <c r="AS870" s="63">
        <f ca="1">IF($AQ870&lt;&gt;"", INDEX(Inputs!$B$3:$B$101, MATCH($AQ870,Inputs!$A$3:$A$101,1)), "")</f>
        <v>4.1000000000000002E-2</v>
      </c>
      <c r="AT870" s="48">
        <f t="shared" ca="1" si="249"/>
        <v>80.460403945205456</v>
      </c>
      <c r="AU870" s="3">
        <f t="shared" ca="1" si="251"/>
        <v>-80.460403945205456</v>
      </c>
      <c r="AV870" s="3">
        <f t="shared" ca="1" si="252"/>
        <v>-80.460403945205456</v>
      </c>
    </row>
    <row r="871" spans="43:48" x14ac:dyDescent="0.2">
      <c r="AQ871" s="4">
        <f t="shared" ca="1" si="248"/>
        <v>45219</v>
      </c>
      <c r="AR871" s="3">
        <f t="shared" ca="1" si="250"/>
        <v>716293.83999999973</v>
      </c>
      <c r="AS871" s="63">
        <f ca="1">IF($AQ871&lt;&gt;"", INDEX(Inputs!$B$3:$B$101, MATCH($AQ871,Inputs!$A$3:$A$101,1)), "")</f>
        <v>4.1000000000000002E-2</v>
      </c>
      <c r="AT871" s="48">
        <f t="shared" ca="1" si="249"/>
        <v>80.460403945205456</v>
      </c>
      <c r="AU871" s="3">
        <f t="shared" ca="1" si="251"/>
        <v>-80.460403945205456</v>
      </c>
      <c r="AV871" s="3">
        <f t="shared" ca="1" si="252"/>
        <v>-80.460403945205456</v>
      </c>
    </row>
    <row r="872" spans="43:48" x14ac:dyDescent="0.2">
      <c r="AQ872" s="4">
        <f t="shared" ca="1" si="248"/>
        <v>45220</v>
      </c>
      <c r="AR872" s="3">
        <f t="shared" ca="1" si="250"/>
        <v>716293.83999999973</v>
      </c>
      <c r="AS872" s="63">
        <f ca="1">IF($AQ872&lt;&gt;"", INDEX(Inputs!$B$3:$B$101, MATCH($AQ872,Inputs!$A$3:$A$101,1)), "")</f>
        <v>4.1000000000000002E-2</v>
      </c>
      <c r="AT872" s="48">
        <f t="shared" ca="1" si="249"/>
        <v>80.460403945205456</v>
      </c>
      <c r="AU872" s="3">
        <f t="shared" ca="1" si="251"/>
        <v>-80.460403945205456</v>
      </c>
      <c r="AV872" s="3">
        <f t="shared" ca="1" si="252"/>
        <v>-80.460403945205456</v>
      </c>
    </row>
    <row r="873" spans="43:48" x14ac:dyDescent="0.2">
      <c r="AQ873" s="4">
        <f t="shared" ca="1" si="248"/>
        <v>45221</v>
      </c>
      <c r="AR873" s="3">
        <f t="shared" ca="1" si="250"/>
        <v>716293.83999999973</v>
      </c>
      <c r="AS873" s="63">
        <f ca="1">IF($AQ873&lt;&gt;"", INDEX(Inputs!$B$3:$B$101, MATCH($AQ873,Inputs!$A$3:$A$101,1)), "")</f>
        <v>4.1000000000000002E-2</v>
      </c>
      <c r="AT873" s="48">
        <f t="shared" ca="1" si="249"/>
        <v>80.460403945205456</v>
      </c>
      <c r="AU873" s="3">
        <f t="shared" ca="1" si="251"/>
        <v>-80.460403945205456</v>
      </c>
      <c r="AV873" s="3">
        <f t="shared" ca="1" si="252"/>
        <v>-80.460403945205456</v>
      </c>
    </row>
    <row r="874" spans="43:48" x14ac:dyDescent="0.2">
      <c r="AQ874" s="4">
        <f t="shared" ca="1" si="248"/>
        <v>45222</v>
      </c>
      <c r="AR874" s="3">
        <f t="shared" ca="1" si="250"/>
        <v>716293.83999999973</v>
      </c>
      <c r="AS874" s="63">
        <f ca="1">IF($AQ874&lt;&gt;"", INDEX(Inputs!$B$3:$B$101, MATCH($AQ874,Inputs!$A$3:$A$101,1)), "")</f>
        <v>4.1000000000000002E-2</v>
      </c>
      <c r="AT874" s="48">
        <f t="shared" ca="1" si="249"/>
        <v>80.460403945205456</v>
      </c>
      <c r="AU874" s="3">
        <f t="shared" ca="1" si="251"/>
        <v>-80.460403945205456</v>
      </c>
      <c r="AV874" s="3">
        <f t="shared" ca="1" si="252"/>
        <v>-80.460403945205456</v>
      </c>
    </row>
    <row r="875" spans="43:48" x14ac:dyDescent="0.2">
      <c r="AQ875" s="4">
        <f t="shared" ca="1" si="248"/>
        <v>45223</v>
      </c>
      <c r="AR875" s="3">
        <f t="shared" ca="1" si="250"/>
        <v>716293.83999999973</v>
      </c>
      <c r="AS875" s="63">
        <f ca="1">IF($AQ875&lt;&gt;"", INDEX(Inputs!$B$3:$B$101, MATCH($AQ875,Inputs!$A$3:$A$101,1)), "")</f>
        <v>4.1000000000000002E-2</v>
      </c>
      <c r="AT875" s="48">
        <f t="shared" ca="1" si="249"/>
        <v>80.460403945205456</v>
      </c>
      <c r="AU875" s="3">
        <f t="shared" ca="1" si="251"/>
        <v>-80.460403945205456</v>
      </c>
      <c r="AV875" s="3">
        <f t="shared" ca="1" si="252"/>
        <v>-80.460403945205456</v>
      </c>
    </row>
    <row r="876" spans="43:48" x14ac:dyDescent="0.2">
      <c r="AQ876" s="4">
        <f t="shared" ca="1" si="248"/>
        <v>45224</v>
      </c>
      <c r="AR876" s="3">
        <f t="shared" ca="1" si="250"/>
        <v>716293.83999999973</v>
      </c>
      <c r="AS876" s="63">
        <f ca="1">IF($AQ876&lt;&gt;"", INDEX(Inputs!$B$3:$B$101, MATCH($AQ876,Inputs!$A$3:$A$101,1)), "")</f>
        <v>4.1000000000000002E-2</v>
      </c>
      <c r="AT876" s="48">
        <f t="shared" ca="1" si="249"/>
        <v>80.460403945205456</v>
      </c>
      <c r="AU876" s="3">
        <f t="shared" ca="1" si="251"/>
        <v>-80.460403945205456</v>
      </c>
      <c r="AV876" s="3">
        <f t="shared" ca="1" si="252"/>
        <v>-80.460403945205456</v>
      </c>
    </row>
    <row r="877" spans="43:48" x14ac:dyDescent="0.2">
      <c r="AQ877" s="4">
        <f t="shared" ca="1" si="248"/>
        <v>45225</v>
      </c>
      <c r="AR877" s="3">
        <f t="shared" ca="1" si="250"/>
        <v>716293.83999999973</v>
      </c>
      <c r="AS877" s="63">
        <f ca="1">IF($AQ877&lt;&gt;"", INDEX(Inputs!$B$3:$B$101, MATCH($AQ877,Inputs!$A$3:$A$101,1)), "")</f>
        <v>4.1000000000000002E-2</v>
      </c>
      <c r="AT877" s="48">
        <f t="shared" ca="1" si="249"/>
        <v>80.460403945205456</v>
      </c>
      <c r="AU877" s="3">
        <f t="shared" ca="1" si="251"/>
        <v>-80.460403945205456</v>
      </c>
      <c r="AV877" s="3">
        <f t="shared" ca="1" si="252"/>
        <v>-80.460403945205456</v>
      </c>
    </row>
    <row r="878" spans="43:48" x14ac:dyDescent="0.2">
      <c r="AQ878" s="4">
        <f t="shared" ca="1" si="248"/>
        <v>45226</v>
      </c>
      <c r="AR878" s="3">
        <f t="shared" ca="1" si="250"/>
        <v>716293.83999999973</v>
      </c>
      <c r="AS878" s="63">
        <f ca="1">IF($AQ878&lt;&gt;"", INDEX(Inputs!$B$3:$B$101, MATCH($AQ878,Inputs!$A$3:$A$101,1)), "")</f>
        <v>4.1000000000000002E-2</v>
      </c>
      <c r="AT878" s="48">
        <f t="shared" ca="1" si="249"/>
        <v>80.460403945205456</v>
      </c>
      <c r="AU878" s="3">
        <f t="shared" ca="1" si="251"/>
        <v>-80.460403945205456</v>
      </c>
      <c r="AV878" s="3">
        <f t="shared" ca="1" si="252"/>
        <v>-80.460403945205456</v>
      </c>
    </row>
    <row r="879" spans="43:48" x14ac:dyDescent="0.2">
      <c r="AQ879" s="4">
        <f t="shared" ca="1" si="248"/>
        <v>45227</v>
      </c>
      <c r="AR879" s="3">
        <f t="shared" ca="1" si="250"/>
        <v>716293.83999999973</v>
      </c>
      <c r="AS879" s="63">
        <f ca="1">IF($AQ879&lt;&gt;"", INDEX(Inputs!$B$3:$B$101, MATCH($AQ879,Inputs!$A$3:$A$101,1)), "")</f>
        <v>4.1000000000000002E-2</v>
      </c>
      <c r="AT879" s="48">
        <f t="shared" ca="1" si="249"/>
        <v>80.460403945205456</v>
      </c>
      <c r="AU879" s="3">
        <f t="shared" ca="1" si="251"/>
        <v>-80.460403945205456</v>
      </c>
      <c r="AV879" s="3">
        <f t="shared" ca="1" si="252"/>
        <v>-80.460403945205456</v>
      </c>
    </row>
    <row r="880" spans="43:48" x14ac:dyDescent="0.2">
      <c r="AQ880" s="4">
        <f t="shared" ca="1" si="248"/>
        <v>45228</v>
      </c>
      <c r="AR880" s="3">
        <f t="shared" ca="1" si="250"/>
        <v>716293.83999999973</v>
      </c>
      <c r="AS880" s="63">
        <f ca="1">IF($AQ880&lt;&gt;"", INDEX(Inputs!$B$3:$B$101, MATCH($AQ880,Inputs!$A$3:$A$101,1)), "")</f>
        <v>4.1000000000000002E-2</v>
      </c>
      <c r="AT880" s="48">
        <f t="shared" ca="1" si="249"/>
        <v>80.460403945205456</v>
      </c>
      <c r="AU880" s="3">
        <f t="shared" ca="1" si="251"/>
        <v>-80.460403945205456</v>
      </c>
      <c r="AV880" s="3">
        <f t="shared" ca="1" si="252"/>
        <v>-80.460403945205456</v>
      </c>
    </row>
    <row r="881" spans="43:48" x14ac:dyDescent="0.2">
      <c r="AQ881" s="4">
        <f t="shared" ca="1" si="248"/>
        <v>45229</v>
      </c>
      <c r="AR881" s="3">
        <f t="shared" ca="1" si="250"/>
        <v>716293.83999999973</v>
      </c>
      <c r="AS881" s="63">
        <f ca="1">IF($AQ881&lt;&gt;"", INDEX(Inputs!$B$3:$B$101, MATCH($AQ881,Inputs!$A$3:$A$101,1)), "")</f>
        <v>4.1000000000000002E-2</v>
      </c>
      <c r="AT881" s="48">
        <f t="shared" ca="1" si="249"/>
        <v>80.460403945205456</v>
      </c>
      <c r="AU881" s="3">
        <f t="shared" ca="1" si="251"/>
        <v>-80.460403945205456</v>
      </c>
      <c r="AV881" s="3">
        <f t="shared" ca="1" si="252"/>
        <v>-80.460403945205456</v>
      </c>
    </row>
    <row r="882" spans="43:48" x14ac:dyDescent="0.2">
      <c r="AQ882" s="4">
        <f t="shared" ca="1" si="248"/>
        <v>45230</v>
      </c>
      <c r="AR882" s="3">
        <f t="shared" ca="1" si="250"/>
        <v>710772.7799999998</v>
      </c>
      <c r="AS882" s="63">
        <f ca="1">IF($AQ882&lt;&gt;"", INDEX(Inputs!$B$3:$B$101, MATCH($AQ882,Inputs!$A$3:$A$101,1)), "")</f>
        <v>4.1000000000000002E-2</v>
      </c>
      <c r="AT882" s="48">
        <f t="shared" ca="1" si="249"/>
        <v>79.840230082191766</v>
      </c>
      <c r="AU882" s="3">
        <f t="shared" ca="1" si="251"/>
        <v>-79.840230082191766</v>
      </c>
      <c r="AV882" s="3">
        <f t="shared" ca="1" si="252"/>
        <v>-79.840230082191766</v>
      </c>
    </row>
    <row r="883" spans="43:48" x14ac:dyDescent="0.2">
      <c r="AQ883" s="4">
        <f t="shared" ca="1" si="248"/>
        <v>45231</v>
      </c>
      <c r="AR883" s="3">
        <f t="shared" ca="1" si="250"/>
        <v>710772.7799999998</v>
      </c>
      <c r="AS883" s="63">
        <f ca="1">IF($AQ883&lt;&gt;"", INDEX(Inputs!$B$3:$B$101, MATCH($AQ883,Inputs!$A$3:$A$101,1)), "")</f>
        <v>4.1000000000000002E-2</v>
      </c>
      <c r="AT883" s="48">
        <f t="shared" ca="1" si="249"/>
        <v>79.840230082191766</v>
      </c>
      <c r="AU883" s="3">
        <f t="shared" ca="1" si="251"/>
        <v>10320.159769917807</v>
      </c>
      <c r="AV883" s="3">
        <f t="shared" ca="1" si="252"/>
        <v>10320.159769917807</v>
      </c>
    </row>
    <row r="884" spans="43:48" x14ac:dyDescent="0.2">
      <c r="AQ884" s="4">
        <f t="shared" ca="1" si="248"/>
        <v>45232</v>
      </c>
      <c r="AR884" s="3">
        <f t="shared" ca="1" si="250"/>
        <v>710772.7799999998</v>
      </c>
      <c r="AS884" s="63">
        <f ca="1">IF($AQ884&lt;&gt;"", INDEX(Inputs!$B$3:$B$101, MATCH($AQ884,Inputs!$A$3:$A$101,1)), "")</f>
        <v>4.1000000000000002E-2</v>
      </c>
      <c r="AT884" s="48">
        <f t="shared" ca="1" si="249"/>
        <v>79.840230082191766</v>
      </c>
      <c r="AU884" s="3">
        <f t="shared" ca="1" si="251"/>
        <v>-79.840230082191766</v>
      </c>
      <c r="AV884" s="3">
        <f t="shared" ca="1" si="252"/>
        <v>-79.840230082191766</v>
      </c>
    </row>
    <row r="885" spans="43:48" x14ac:dyDescent="0.2">
      <c r="AQ885" s="4">
        <f t="shared" ca="1" si="248"/>
        <v>45233</v>
      </c>
      <c r="AR885" s="3">
        <f t="shared" ca="1" si="250"/>
        <v>710772.7799999998</v>
      </c>
      <c r="AS885" s="63">
        <f ca="1">IF($AQ885&lt;&gt;"", INDEX(Inputs!$B$3:$B$101, MATCH($AQ885,Inputs!$A$3:$A$101,1)), "")</f>
        <v>4.1000000000000002E-2</v>
      </c>
      <c r="AT885" s="48">
        <f t="shared" ca="1" si="249"/>
        <v>79.840230082191766</v>
      </c>
      <c r="AU885" s="3">
        <f t="shared" ca="1" si="251"/>
        <v>-79.840230082191766</v>
      </c>
      <c r="AV885" s="3">
        <f t="shared" ca="1" si="252"/>
        <v>-79.840230082191766</v>
      </c>
    </row>
    <row r="886" spans="43:48" x14ac:dyDescent="0.2">
      <c r="AQ886" s="4">
        <f t="shared" ca="1" si="248"/>
        <v>45234</v>
      </c>
      <c r="AR886" s="3">
        <f t="shared" ca="1" si="250"/>
        <v>710772.7799999998</v>
      </c>
      <c r="AS886" s="63">
        <f ca="1">IF($AQ886&lt;&gt;"", INDEX(Inputs!$B$3:$B$101, MATCH($AQ886,Inputs!$A$3:$A$101,1)), "")</f>
        <v>4.1000000000000002E-2</v>
      </c>
      <c r="AT886" s="48">
        <f t="shared" ca="1" si="249"/>
        <v>79.840230082191766</v>
      </c>
      <c r="AU886" s="3">
        <f t="shared" ca="1" si="251"/>
        <v>-79.840230082191766</v>
      </c>
      <c r="AV886" s="3">
        <f t="shared" ca="1" si="252"/>
        <v>-79.840230082191766</v>
      </c>
    </row>
    <row r="887" spans="43:48" x14ac:dyDescent="0.2">
      <c r="AQ887" s="4">
        <f t="shared" ca="1" si="248"/>
        <v>45235</v>
      </c>
      <c r="AR887" s="3">
        <f t="shared" ca="1" si="250"/>
        <v>710772.7799999998</v>
      </c>
      <c r="AS887" s="63">
        <f ca="1">IF($AQ887&lt;&gt;"", INDEX(Inputs!$B$3:$B$101, MATCH($AQ887,Inputs!$A$3:$A$101,1)), "")</f>
        <v>4.1000000000000002E-2</v>
      </c>
      <c r="AT887" s="48">
        <f t="shared" ca="1" si="249"/>
        <v>79.840230082191766</v>
      </c>
      <c r="AU887" s="3">
        <f t="shared" ca="1" si="251"/>
        <v>-79.840230082191766</v>
      </c>
      <c r="AV887" s="3">
        <f t="shared" ca="1" si="252"/>
        <v>-79.840230082191766</v>
      </c>
    </row>
    <row r="888" spans="43:48" x14ac:dyDescent="0.2">
      <c r="AQ888" s="4">
        <f t="shared" ca="1" si="248"/>
        <v>45236</v>
      </c>
      <c r="AR888" s="3">
        <f t="shared" ca="1" si="250"/>
        <v>710772.7799999998</v>
      </c>
      <c r="AS888" s="63">
        <f ca="1">IF($AQ888&lt;&gt;"", INDEX(Inputs!$B$3:$B$101, MATCH($AQ888,Inputs!$A$3:$A$101,1)), "")</f>
        <v>4.1000000000000002E-2</v>
      </c>
      <c r="AT888" s="48">
        <f t="shared" ca="1" si="249"/>
        <v>79.840230082191766</v>
      </c>
      <c r="AU888" s="3">
        <f t="shared" ca="1" si="251"/>
        <v>-79.840230082191766</v>
      </c>
      <c r="AV888" s="3">
        <f t="shared" ca="1" si="252"/>
        <v>-79.840230082191766</v>
      </c>
    </row>
    <row r="889" spans="43:48" x14ac:dyDescent="0.2">
      <c r="AQ889" s="4">
        <f t="shared" ref="AQ889:AQ952" ca="1" si="253">IF(AQ888&lt;$AP$3,AQ888+1,"")</f>
        <v>45237</v>
      </c>
      <c r="AR889" s="3">
        <f t="shared" ca="1" si="250"/>
        <v>710772.7799999998</v>
      </c>
      <c r="AS889" s="63">
        <f ca="1">IF($AQ889&lt;&gt;"", INDEX(Inputs!$B$3:$B$101, MATCH($AQ889,Inputs!$A$3:$A$101,1)), "")</f>
        <v>4.1000000000000002E-2</v>
      </c>
      <c r="AT889" s="48">
        <f t="shared" ref="AT889:AT952" ca="1" si="254">IF($AQ889&lt;&gt;"", AR889*AS889/365, "")</f>
        <v>79.840230082191766</v>
      </c>
      <c r="AU889" s="3">
        <f t="shared" ca="1" si="251"/>
        <v>-79.840230082191766</v>
      </c>
      <c r="AV889" s="3">
        <f t="shared" ca="1" si="252"/>
        <v>-79.840230082191766</v>
      </c>
    </row>
    <row r="890" spans="43:48" x14ac:dyDescent="0.2">
      <c r="AQ890" s="4">
        <f t="shared" ca="1" si="253"/>
        <v>45238</v>
      </c>
      <c r="AR890" s="3">
        <f t="shared" ca="1" si="250"/>
        <v>710772.7799999998</v>
      </c>
      <c r="AS890" s="63">
        <f ca="1">IF($AQ890&lt;&gt;"", INDEX(Inputs!$B$3:$B$101, MATCH($AQ890,Inputs!$A$3:$A$101,1)), "")</f>
        <v>4.3499999999999997E-2</v>
      </c>
      <c r="AT890" s="48">
        <f t="shared" ca="1" si="254"/>
        <v>84.708536794520512</v>
      </c>
      <c r="AU890" s="3">
        <f t="shared" ca="1" si="251"/>
        <v>-84.708536794520512</v>
      </c>
      <c r="AV890" s="3">
        <f t="shared" ca="1" si="252"/>
        <v>-84.708536794520512</v>
      </c>
    </row>
    <row r="891" spans="43:48" x14ac:dyDescent="0.2">
      <c r="AQ891" s="4">
        <f t="shared" ca="1" si="253"/>
        <v>45239</v>
      </c>
      <c r="AR891" s="3">
        <f t="shared" ca="1" si="250"/>
        <v>710772.7799999998</v>
      </c>
      <c r="AS891" s="63">
        <f ca="1">IF($AQ891&lt;&gt;"", INDEX(Inputs!$B$3:$B$101, MATCH($AQ891,Inputs!$A$3:$A$101,1)), "")</f>
        <v>4.3499999999999997E-2</v>
      </c>
      <c r="AT891" s="48">
        <f t="shared" ca="1" si="254"/>
        <v>84.708536794520512</v>
      </c>
      <c r="AU891" s="3">
        <f t="shared" ca="1" si="251"/>
        <v>-84.708536794520512</v>
      </c>
      <c r="AV891" s="3">
        <f t="shared" ca="1" si="252"/>
        <v>-84.708536794520512</v>
      </c>
    </row>
    <row r="892" spans="43:48" x14ac:dyDescent="0.2">
      <c r="AQ892" s="4">
        <f t="shared" ca="1" si="253"/>
        <v>45240</v>
      </c>
      <c r="AR892" s="3">
        <f t="shared" ca="1" si="250"/>
        <v>710772.7799999998</v>
      </c>
      <c r="AS892" s="63">
        <f ca="1">IF($AQ892&lt;&gt;"", INDEX(Inputs!$B$3:$B$101, MATCH($AQ892,Inputs!$A$3:$A$101,1)), "")</f>
        <v>4.3499999999999997E-2</v>
      </c>
      <c r="AT892" s="48">
        <f t="shared" ca="1" si="254"/>
        <v>84.708536794520512</v>
      </c>
      <c r="AU892" s="3">
        <f t="shared" ca="1" si="251"/>
        <v>-84.708536794520512</v>
      </c>
      <c r="AV892" s="3">
        <f t="shared" ca="1" si="252"/>
        <v>-84.708536794520512</v>
      </c>
    </row>
    <row r="893" spans="43:48" x14ac:dyDescent="0.2">
      <c r="AQ893" s="4">
        <f t="shared" ca="1" si="253"/>
        <v>45241</v>
      </c>
      <c r="AR893" s="3">
        <f t="shared" ca="1" si="250"/>
        <v>710772.7799999998</v>
      </c>
      <c r="AS893" s="63">
        <f ca="1">IF($AQ893&lt;&gt;"", INDEX(Inputs!$B$3:$B$101, MATCH($AQ893,Inputs!$A$3:$A$101,1)), "")</f>
        <v>4.3499999999999997E-2</v>
      </c>
      <c r="AT893" s="48">
        <f t="shared" ca="1" si="254"/>
        <v>84.708536794520512</v>
      </c>
      <c r="AU893" s="3">
        <f t="shared" ca="1" si="251"/>
        <v>-84.708536794520512</v>
      </c>
      <c r="AV893" s="3">
        <f t="shared" ca="1" si="252"/>
        <v>-84.708536794520512</v>
      </c>
    </row>
    <row r="894" spans="43:48" x14ac:dyDescent="0.2">
      <c r="AQ894" s="4">
        <f t="shared" ca="1" si="253"/>
        <v>45242</v>
      </c>
      <c r="AR894" s="3">
        <f t="shared" ca="1" si="250"/>
        <v>710772.7799999998</v>
      </c>
      <c r="AS894" s="63">
        <f ca="1">IF($AQ894&lt;&gt;"", INDEX(Inputs!$B$3:$B$101, MATCH($AQ894,Inputs!$A$3:$A$101,1)), "")</f>
        <v>4.3499999999999997E-2</v>
      </c>
      <c r="AT894" s="48">
        <f t="shared" ca="1" si="254"/>
        <v>84.708536794520512</v>
      </c>
      <c r="AU894" s="3">
        <f t="shared" ca="1" si="251"/>
        <v>-84.708536794520512</v>
      </c>
      <c r="AV894" s="3">
        <f t="shared" ca="1" si="252"/>
        <v>-84.708536794520512</v>
      </c>
    </row>
    <row r="895" spans="43:48" x14ac:dyDescent="0.2">
      <c r="AQ895" s="4">
        <f t="shared" ca="1" si="253"/>
        <v>45243</v>
      </c>
      <c r="AR895" s="3">
        <f t="shared" ca="1" si="250"/>
        <v>710772.7799999998</v>
      </c>
      <c r="AS895" s="63">
        <f ca="1">IF($AQ895&lt;&gt;"", INDEX(Inputs!$B$3:$B$101, MATCH($AQ895,Inputs!$A$3:$A$101,1)), "")</f>
        <v>4.3499999999999997E-2</v>
      </c>
      <c r="AT895" s="48">
        <f t="shared" ca="1" si="254"/>
        <v>84.708536794520512</v>
      </c>
      <c r="AU895" s="3">
        <f t="shared" ca="1" si="251"/>
        <v>-84.708536794520512</v>
      </c>
      <c r="AV895" s="3">
        <f t="shared" ca="1" si="252"/>
        <v>-84.708536794520512</v>
      </c>
    </row>
    <row r="896" spans="43:48" x14ac:dyDescent="0.2">
      <c r="AQ896" s="4">
        <f t="shared" ca="1" si="253"/>
        <v>45244</v>
      </c>
      <c r="AR896" s="3">
        <f t="shared" ca="1" si="250"/>
        <v>710772.7799999998</v>
      </c>
      <c r="AS896" s="63">
        <f ca="1">IF($AQ896&lt;&gt;"", INDEX(Inputs!$B$3:$B$101, MATCH($AQ896,Inputs!$A$3:$A$101,1)), "")</f>
        <v>4.3499999999999997E-2</v>
      </c>
      <c r="AT896" s="48">
        <f t="shared" ca="1" si="254"/>
        <v>84.708536794520512</v>
      </c>
      <c r="AU896" s="3">
        <f t="shared" ca="1" si="251"/>
        <v>-84.708536794520512</v>
      </c>
      <c r="AV896" s="3">
        <f t="shared" ca="1" si="252"/>
        <v>-84.708536794520512</v>
      </c>
    </row>
    <row r="897" spans="43:48" x14ac:dyDescent="0.2">
      <c r="AQ897" s="4">
        <f t="shared" ca="1" si="253"/>
        <v>45245</v>
      </c>
      <c r="AR897" s="3">
        <f t="shared" ca="1" si="250"/>
        <v>710772.7799999998</v>
      </c>
      <c r="AS897" s="63">
        <f ca="1">IF($AQ897&lt;&gt;"", INDEX(Inputs!$B$3:$B$101, MATCH($AQ897,Inputs!$A$3:$A$101,1)), "")</f>
        <v>4.3499999999999997E-2</v>
      </c>
      <c r="AT897" s="48">
        <f t="shared" ca="1" si="254"/>
        <v>84.708536794520512</v>
      </c>
      <c r="AU897" s="3">
        <f t="shared" ca="1" si="251"/>
        <v>-84.708536794520512</v>
      </c>
      <c r="AV897" s="3">
        <f t="shared" ca="1" si="252"/>
        <v>-84.708536794520512</v>
      </c>
    </row>
    <row r="898" spans="43:48" x14ac:dyDescent="0.2">
      <c r="AQ898" s="4">
        <f t="shared" ca="1" si="253"/>
        <v>45246</v>
      </c>
      <c r="AR898" s="3">
        <f t="shared" ca="1" si="250"/>
        <v>723526.39999999979</v>
      </c>
      <c r="AS898" s="63">
        <f ca="1">IF($AQ898&lt;&gt;"", INDEX(Inputs!$B$3:$B$101, MATCH($AQ898,Inputs!$A$3:$A$101,1)), "")</f>
        <v>4.3499999999999997E-2</v>
      </c>
      <c r="AT898" s="48">
        <f t="shared" ca="1" si="254"/>
        <v>86.228488767123253</v>
      </c>
      <c r="AU898" s="3">
        <f t="shared" ca="1" si="251"/>
        <v>-12839.848488767124</v>
      </c>
      <c r="AV898" s="3">
        <f t="shared" ca="1" si="252"/>
        <v>-12839.848488767124</v>
      </c>
    </row>
    <row r="899" spans="43:48" x14ac:dyDescent="0.2">
      <c r="AQ899" s="4">
        <f t="shared" ca="1" si="253"/>
        <v>45247</v>
      </c>
      <c r="AR899" s="3">
        <f t="shared" ca="1" si="250"/>
        <v>723526.39999999979</v>
      </c>
      <c r="AS899" s="63">
        <f ca="1">IF($AQ899&lt;&gt;"", INDEX(Inputs!$B$3:$B$101, MATCH($AQ899,Inputs!$A$3:$A$101,1)), "")</f>
        <v>4.3499999999999997E-2</v>
      </c>
      <c r="AT899" s="48">
        <f t="shared" ca="1" si="254"/>
        <v>86.228488767123253</v>
      </c>
      <c r="AU899" s="3">
        <f t="shared" ca="1" si="251"/>
        <v>-86.228488767123253</v>
      </c>
      <c r="AV899" s="3">
        <f t="shared" ca="1" si="252"/>
        <v>-86.228488767123253</v>
      </c>
    </row>
    <row r="900" spans="43:48" x14ac:dyDescent="0.2">
      <c r="AQ900" s="4">
        <f t="shared" ca="1" si="253"/>
        <v>45248</v>
      </c>
      <c r="AR900" s="3">
        <f t="shared" ca="1" si="250"/>
        <v>723526.39999999979</v>
      </c>
      <c r="AS900" s="63">
        <f ca="1">IF($AQ900&lt;&gt;"", INDEX(Inputs!$B$3:$B$101, MATCH($AQ900,Inputs!$A$3:$A$101,1)), "")</f>
        <v>4.3499999999999997E-2</v>
      </c>
      <c r="AT900" s="48">
        <f t="shared" ca="1" si="254"/>
        <v>86.228488767123253</v>
      </c>
      <c r="AU900" s="3">
        <f t="shared" ca="1" si="251"/>
        <v>-86.228488767123253</v>
      </c>
      <c r="AV900" s="3">
        <f t="shared" ca="1" si="252"/>
        <v>-86.228488767123253</v>
      </c>
    </row>
    <row r="901" spans="43:48" x14ac:dyDescent="0.2">
      <c r="AQ901" s="4">
        <f t="shared" ca="1" si="253"/>
        <v>45249</v>
      </c>
      <c r="AR901" s="3">
        <f t="shared" ca="1" si="250"/>
        <v>723526.39999999979</v>
      </c>
      <c r="AS901" s="63">
        <f ca="1">IF($AQ901&lt;&gt;"", INDEX(Inputs!$B$3:$B$101, MATCH($AQ901,Inputs!$A$3:$A$101,1)), "")</f>
        <v>4.3499999999999997E-2</v>
      </c>
      <c r="AT901" s="48">
        <f t="shared" ca="1" si="254"/>
        <v>86.228488767123253</v>
      </c>
      <c r="AU901" s="3">
        <f t="shared" ca="1" si="251"/>
        <v>-86.228488767123253</v>
      </c>
      <c r="AV901" s="3">
        <f t="shared" ca="1" si="252"/>
        <v>-86.228488767123253</v>
      </c>
    </row>
    <row r="902" spans="43:48" x14ac:dyDescent="0.2">
      <c r="AQ902" s="4">
        <f t="shared" ca="1" si="253"/>
        <v>45250</v>
      </c>
      <c r="AR902" s="3">
        <f t="shared" ca="1" si="250"/>
        <v>723526.39999999979</v>
      </c>
      <c r="AS902" s="63">
        <f ca="1">IF($AQ902&lt;&gt;"", INDEX(Inputs!$B$3:$B$101, MATCH($AQ902,Inputs!$A$3:$A$101,1)), "")</f>
        <v>4.3499999999999997E-2</v>
      </c>
      <c r="AT902" s="48">
        <f t="shared" ca="1" si="254"/>
        <v>86.228488767123253</v>
      </c>
      <c r="AU902" s="3">
        <f t="shared" ca="1" si="251"/>
        <v>-86.228488767123253</v>
      </c>
      <c r="AV902" s="3">
        <f t="shared" ca="1" si="252"/>
        <v>-86.228488767123253</v>
      </c>
    </row>
    <row r="903" spans="43:48" x14ac:dyDescent="0.2">
      <c r="AQ903" s="4">
        <f t="shared" ca="1" si="253"/>
        <v>45251</v>
      </c>
      <c r="AR903" s="3">
        <f t="shared" ca="1" si="250"/>
        <v>723526.39999999979</v>
      </c>
      <c r="AS903" s="63">
        <f ca="1">IF($AQ903&lt;&gt;"", INDEX(Inputs!$B$3:$B$101, MATCH($AQ903,Inputs!$A$3:$A$101,1)), "")</f>
        <v>4.3499999999999997E-2</v>
      </c>
      <c r="AT903" s="48">
        <f t="shared" ca="1" si="254"/>
        <v>86.228488767123253</v>
      </c>
      <c r="AU903" s="3">
        <f t="shared" ca="1" si="251"/>
        <v>-86.228488767123253</v>
      </c>
      <c r="AV903" s="3">
        <f t="shared" ca="1" si="252"/>
        <v>-86.228488767123253</v>
      </c>
    </row>
    <row r="904" spans="43:48" x14ac:dyDescent="0.2">
      <c r="AQ904" s="4">
        <f t="shared" ca="1" si="253"/>
        <v>45252</v>
      </c>
      <c r="AR904" s="3">
        <f t="shared" ca="1" si="250"/>
        <v>723526.39999999979</v>
      </c>
      <c r="AS904" s="63">
        <f ca="1">IF($AQ904&lt;&gt;"", INDEX(Inputs!$B$3:$B$101, MATCH($AQ904,Inputs!$A$3:$A$101,1)), "")</f>
        <v>4.3499999999999997E-2</v>
      </c>
      <c r="AT904" s="48">
        <f t="shared" ca="1" si="254"/>
        <v>86.228488767123253</v>
      </c>
      <c r="AU904" s="3">
        <f t="shared" ca="1" si="251"/>
        <v>-86.228488767123253</v>
      </c>
      <c r="AV904" s="3">
        <f t="shared" ca="1" si="252"/>
        <v>-86.228488767123253</v>
      </c>
    </row>
    <row r="905" spans="43:48" x14ac:dyDescent="0.2">
      <c r="AQ905" s="4">
        <f t="shared" ca="1" si="253"/>
        <v>45253</v>
      </c>
      <c r="AR905" s="3">
        <f t="shared" ca="1" si="250"/>
        <v>723526.39999999979</v>
      </c>
      <c r="AS905" s="63">
        <f ca="1">IF($AQ905&lt;&gt;"", INDEX(Inputs!$B$3:$B$101, MATCH($AQ905,Inputs!$A$3:$A$101,1)), "")</f>
        <v>4.3499999999999997E-2</v>
      </c>
      <c r="AT905" s="48">
        <f t="shared" ca="1" si="254"/>
        <v>86.228488767123253</v>
      </c>
      <c r="AU905" s="3">
        <f t="shared" ca="1" si="251"/>
        <v>-86.228488767123253</v>
      </c>
      <c r="AV905" s="3">
        <f t="shared" ca="1" si="252"/>
        <v>-86.228488767123253</v>
      </c>
    </row>
    <row r="906" spans="43:48" x14ac:dyDescent="0.2">
      <c r="AQ906" s="4">
        <f t="shared" ca="1" si="253"/>
        <v>45254</v>
      </c>
      <c r="AR906" s="3">
        <f t="shared" ca="1" si="250"/>
        <v>723526.39999999979</v>
      </c>
      <c r="AS906" s="63">
        <f ca="1">IF($AQ906&lt;&gt;"", INDEX(Inputs!$B$3:$B$101, MATCH($AQ906,Inputs!$A$3:$A$101,1)), "")</f>
        <v>4.3499999999999997E-2</v>
      </c>
      <c r="AT906" s="48">
        <f t="shared" ca="1" si="254"/>
        <v>86.228488767123253</v>
      </c>
      <c r="AU906" s="3">
        <f t="shared" ca="1" si="251"/>
        <v>-86.228488767123253</v>
      </c>
      <c r="AV906" s="3">
        <f t="shared" ca="1" si="252"/>
        <v>-86.228488767123253</v>
      </c>
    </row>
    <row r="907" spans="43:48" x14ac:dyDescent="0.2">
      <c r="AQ907" s="4">
        <f t="shared" ca="1" si="253"/>
        <v>45255</v>
      </c>
      <c r="AR907" s="3">
        <f t="shared" ca="1" si="250"/>
        <v>723526.39999999979</v>
      </c>
      <c r="AS907" s="63">
        <f ca="1">IF($AQ907&lt;&gt;"", INDEX(Inputs!$B$3:$B$101, MATCH($AQ907,Inputs!$A$3:$A$101,1)), "")</f>
        <v>4.3499999999999997E-2</v>
      </c>
      <c r="AT907" s="48">
        <f t="shared" ca="1" si="254"/>
        <v>86.228488767123253</v>
      </c>
      <c r="AU907" s="3">
        <f t="shared" ca="1" si="251"/>
        <v>-86.228488767123253</v>
      </c>
      <c r="AV907" s="3">
        <f t="shared" ca="1" si="252"/>
        <v>-86.228488767123253</v>
      </c>
    </row>
    <row r="908" spans="43:48" x14ac:dyDescent="0.2">
      <c r="AQ908" s="4">
        <f t="shared" ca="1" si="253"/>
        <v>45256</v>
      </c>
      <c r="AR908" s="3">
        <f t="shared" ca="1" si="250"/>
        <v>723526.39999999979</v>
      </c>
      <c r="AS908" s="63">
        <f ca="1">IF($AQ908&lt;&gt;"", INDEX(Inputs!$B$3:$B$101, MATCH($AQ908,Inputs!$A$3:$A$101,1)), "")</f>
        <v>4.3499999999999997E-2</v>
      </c>
      <c r="AT908" s="48">
        <f t="shared" ca="1" si="254"/>
        <v>86.228488767123253</v>
      </c>
      <c r="AU908" s="3">
        <f t="shared" ca="1" si="251"/>
        <v>-86.228488767123253</v>
      </c>
      <c r="AV908" s="3">
        <f t="shared" ca="1" si="252"/>
        <v>-86.228488767123253</v>
      </c>
    </row>
    <row r="909" spans="43:48" x14ac:dyDescent="0.2">
      <c r="AQ909" s="4">
        <f t="shared" ca="1" si="253"/>
        <v>45257</v>
      </c>
      <c r="AR909" s="3">
        <f t="shared" ca="1" si="250"/>
        <v>723526.39999999979</v>
      </c>
      <c r="AS909" s="63">
        <f ca="1">IF($AQ909&lt;&gt;"", INDEX(Inputs!$B$3:$B$101, MATCH($AQ909,Inputs!$A$3:$A$101,1)), "")</f>
        <v>4.3499999999999997E-2</v>
      </c>
      <c r="AT909" s="48">
        <f t="shared" ca="1" si="254"/>
        <v>86.228488767123253</v>
      </c>
      <c r="AU909" s="3">
        <f t="shared" ca="1" si="251"/>
        <v>-86.228488767123253</v>
      </c>
      <c r="AV909" s="3">
        <f t="shared" ca="1" si="252"/>
        <v>-86.228488767123253</v>
      </c>
    </row>
    <row r="910" spans="43:48" x14ac:dyDescent="0.2">
      <c r="AQ910" s="4">
        <f t="shared" ca="1" si="253"/>
        <v>45258</v>
      </c>
      <c r="AR910" s="3">
        <f t="shared" ca="1" si="250"/>
        <v>723526.39999999979</v>
      </c>
      <c r="AS910" s="63">
        <f ca="1">IF($AQ910&lt;&gt;"", INDEX(Inputs!$B$3:$B$101, MATCH($AQ910,Inputs!$A$3:$A$101,1)), "")</f>
        <v>4.3499999999999997E-2</v>
      </c>
      <c r="AT910" s="48">
        <f t="shared" ca="1" si="254"/>
        <v>86.228488767123253</v>
      </c>
      <c r="AU910" s="3">
        <f t="shared" ca="1" si="251"/>
        <v>-86.228488767123253</v>
      </c>
      <c r="AV910" s="3">
        <f t="shared" ca="1" si="252"/>
        <v>-86.228488767123253</v>
      </c>
    </row>
    <row r="911" spans="43:48" x14ac:dyDescent="0.2">
      <c r="AQ911" s="4">
        <f t="shared" ca="1" si="253"/>
        <v>45259</v>
      </c>
      <c r="AR911" s="3">
        <f t="shared" ca="1" si="250"/>
        <v>723526.39999999979</v>
      </c>
      <c r="AS911" s="63">
        <f ca="1">IF($AQ911&lt;&gt;"", INDEX(Inputs!$B$3:$B$101, MATCH($AQ911,Inputs!$A$3:$A$101,1)), "")</f>
        <v>4.3499999999999997E-2</v>
      </c>
      <c r="AT911" s="48">
        <f t="shared" ca="1" si="254"/>
        <v>86.228488767123253</v>
      </c>
      <c r="AU911" s="3">
        <f t="shared" ca="1" si="251"/>
        <v>-86.228488767123253</v>
      </c>
      <c r="AV911" s="3">
        <f t="shared" ca="1" si="252"/>
        <v>-86.228488767123253</v>
      </c>
    </row>
    <row r="912" spans="43:48" x14ac:dyDescent="0.2">
      <c r="AQ912" s="4">
        <f t="shared" ca="1" si="253"/>
        <v>45260</v>
      </c>
      <c r="AR912" s="3">
        <f t="shared" ca="1" si="250"/>
        <v>718374.06999999983</v>
      </c>
      <c r="AS912" s="63">
        <f ca="1">IF($AQ912&lt;&gt;"", INDEX(Inputs!$B$3:$B$101, MATCH($AQ912,Inputs!$A$3:$A$101,1)), "")</f>
        <v>4.3499999999999997E-2</v>
      </c>
      <c r="AT912" s="48">
        <f t="shared" ca="1" si="254"/>
        <v>85.61444395890409</v>
      </c>
      <c r="AU912" s="3">
        <f t="shared" ca="1" si="251"/>
        <v>-85.61444395890409</v>
      </c>
      <c r="AV912" s="3">
        <f t="shared" ca="1" si="252"/>
        <v>-85.61444395890409</v>
      </c>
    </row>
    <row r="913" spans="43:48" x14ac:dyDescent="0.2">
      <c r="AQ913" s="4">
        <f t="shared" ca="1" si="253"/>
        <v>45261</v>
      </c>
      <c r="AR913" s="3">
        <f t="shared" ca="1" si="250"/>
        <v>718374.06999999983</v>
      </c>
      <c r="AS913" s="63">
        <f ca="1">IF($AQ913&lt;&gt;"", INDEX(Inputs!$B$3:$B$101, MATCH($AQ913,Inputs!$A$3:$A$101,1)), "")</f>
        <v>4.3499999999999997E-2</v>
      </c>
      <c r="AT913" s="48">
        <f t="shared" ca="1" si="254"/>
        <v>85.61444395890409</v>
      </c>
      <c r="AU913" s="3">
        <f t="shared" ca="1" si="251"/>
        <v>10314.385556041096</v>
      </c>
      <c r="AV913" s="3">
        <f t="shared" ca="1" si="252"/>
        <v>10314.385556041096</v>
      </c>
    </row>
    <row r="914" spans="43:48" x14ac:dyDescent="0.2">
      <c r="AQ914" s="4">
        <f t="shared" ca="1" si="253"/>
        <v>45262</v>
      </c>
      <c r="AR914" s="3">
        <f t="shared" ca="1" si="250"/>
        <v>718374.06999999983</v>
      </c>
      <c r="AS914" s="63">
        <f ca="1">IF($AQ914&lt;&gt;"", INDEX(Inputs!$B$3:$B$101, MATCH($AQ914,Inputs!$A$3:$A$101,1)), "")</f>
        <v>4.3499999999999997E-2</v>
      </c>
      <c r="AT914" s="48">
        <f t="shared" ca="1" si="254"/>
        <v>85.61444395890409</v>
      </c>
      <c r="AU914" s="3">
        <f t="shared" ca="1" si="251"/>
        <v>-85.61444395890409</v>
      </c>
      <c r="AV914" s="3">
        <f t="shared" ca="1" si="252"/>
        <v>-85.61444395890409</v>
      </c>
    </row>
    <row r="915" spans="43:48" x14ac:dyDescent="0.2">
      <c r="AQ915" s="4">
        <f t="shared" ca="1" si="253"/>
        <v>45263</v>
      </c>
      <c r="AR915" s="3">
        <f t="shared" ca="1" si="250"/>
        <v>718374.06999999983</v>
      </c>
      <c r="AS915" s="63">
        <f ca="1">IF($AQ915&lt;&gt;"", INDEX(Inputs!$B$3:$B$101, MATCH($AQ915,Inputs!$A$3:$A$101,1)), "")</f>
        <v>4.3499999999999997E-2</v>
      </c>
      <c r="AT915" s="48">
        <f t="shared" ca="1" si="254"/>
        <v>85.61444395890409</v>
      </c>
      <c r="AU915" s="3">
        <f t="shared" ca="1" si="251"/>
        <v>-85.61444395890409</v>
      </c>
      <c r="AV915" s="3">
        <f t="shared" ca="1" si="252"/>
        <v>-85.61444395890409</v>
      </c>
    </row>
    <row r="916" spans="43:48" x14ac:dyDescent="0.2">
      <c r="AQ916" s="4">
        <f t="shared" ca="1" si="253"/>
        <v>45264</v>
      </c>
      <c r="AR916" s="3">
        <f t="shared" ca="1" si="250"/>
        <v>718374.06999999983</v>
      </c>
      <c r="AS916" s="63">
        <f ca="1">IF($AQ916&lt;&gt;"", INDEX(Inputs!$B$3:$B$101, MATCH($AQ916,Inputs!$A$3:$A$101,1)), "")</f>
        <v>4.3499999999999997E-2</v>
      </c>
      <c r="AT916" s="48">
        <f t="shared" ca="1" si="254"/>
        <v>85.61444395890409</v>
      </c>
      <c r="AU916" s="3">
        <f t="shared" ca="1" si="251"/>
        <v>-3626.1344439589043</v>
      </c>
      <c r="AV916" s="3">
        <f t="shared" ca="1" si="252"/>
        <v>-3626.1344439589043</v>
      </c>
    </row>
    <row r="917" spans="43:48" x14ac:dyDescent="0.2">
      <c r="AQ917" s="4">
        <f t="shared" ca="1" si="253"/>
        <v>45265</v>
      </c>
      <c r="AR917" s="3">
        <f t="shared" ca="1" si="250"/>
        <v>718374.06999999983</v>
      </c>
      <c r="AS917" s="63">
        <f ca="1">IF($AQ917&lt;&gt;"", INDEX(Inputs!$B$3:$B$101, MATCH($AQ917,Inputs!$A$3:$A$101,1)), "")</f>
        <v>4.3499999999999997E-2</v>
      </c>
      <c r="AT917" s="48">
        <f t="shared" ca="1" si="254"/>
        <v>85.61444395890409</v>
      </c>
      <c r="AU917" s="3">
        <f t="shared" ca="1" si="251"/>
        <v>-85.61444395890409</v>
      </c>
      <c r="AV917" s="3">
        <f t="shared" ca="1" si="252"/>
        <v>-85.61444395890409</v>
      </c>
    </row>
    <row r="918" spans="43:48" x14ac:dyDescent="0.2">
      <c r="AQ918" s="4">
        <f t="shared" ca="1" si="253"/>
        <v>45266</v>
      </c>
      <c r="AR918" s="3">
        <f t="shared" ca="1" si="250"/>
        <v>718374.06999999983</v>
      </c>
      <c r="AS918" s="63">
        <f ca="1">IF($AQ918&lt;&gt;"", INDEX(Inputs!$B$3:$B$101, MATCH($AQ918,Inputs!$A$3:$A$101,1)), "")</f>
        <v>4.3499999999999997E-2</v>
      </c>
      <c r="AT918" s="48">
        <f t="shared" ca="1" si="254"/>
        <v>85.61444395890409</v>
      </c>
      <c r="AU918" s="3">
        <f t="shared" ca="1" si="251"/>
        <v>-85.61444395890409</v>
      </c>
      <c r="AV918" s="3">
        <f t="shared" ca="1" si="252"/>
        <v>-85.61444395890409</v>
      </c>
    </row>
    <row r="919" spans="43:48" x14ac:dyDescent="0.2">
      <c r="AQ919" s="4">
        <f t="shared" ca="1" si="253"/>
        <v>45267</v>
      </c>
      <c r="AR919" s="3">
        <f t="shared" ca="1" si="250"/>
        <v>718374.06999999983</v>
      </c>
      <c r="AS919" s="63">
        <f ca="1">IF($AQ919&lt;&gt;"", INDEX(Inputs!$B$3:$B$101, MATCH($AQ919,Inputs!$A$3:$A$101,1)), "")</f>
        <v>4.3499999999999997E-2</v>
      </c>
      <c r="AT919" s="48">
        <f t="shared" ca="1" si="254"/>
        <v>85.61444395890409</v>
      </c>
      <c r="AU919" s="3">
        <f t="shared" ca="1" si="251"/>
        <v>-85.61444395890409</v>
      </c>
      <c r="AV919" s="3">
        <f t="shared" ca="1" si="252"/>
        <v>-85.61444395890409</v>
      </c>
    </row>
    <row r="920" spans="43:48" x14ac:dyDescent="0.2">
      <c r="AQ920" s="4">
        <f t="shared" ca="1" si="253"/>
        <v>45268</v>
      </c>
      <c r="AR920" s="3">
        <f t="shared" ca="1" si="250"/>
        <v>718374.06999999983</v>
      </c>
      <c r="AS920" s="63">
        <f ca="1">IF($AQ920&lt;&gt;"", INDEX(Inputs!$B$3:$B$101, MATCH($AQ920,Inputs!$A$3:$A$101,1)), "")</f>
        <v>4.3499999999999997E-2</v>
      </c>
      <c r="AT920" s="48">
        <f t="shared" ca="1" si="254"/>
        <v>85.61444395890409</v>
      </c>
      <c r="AU920" s="3">
        <f t="shared" ca="1" si="251"/>
        <v>-85.61444395890409</v>
      </c>
      <c r="AV920" s="3">
        <f t="shared" ca="1" si="252"/>
        <v>-85.61444395890409</v>
      </c>
    </row>
    <row r="921" spans="43:48" x14ac:dyDescent="0.2">
      <c r="AQ921" s="4">
        <f t="shared" ca="1" si="253"/>
        <v>45269</v>
      </c>
      <c r="AR921" s="3">
        <f t="shared" ref="AR921:AR984" ca="1" si="255">IF($AQ921&lt;&gt;"", INDEX($AC$3:$AC$1055, MATCH($AQ921,$A$3:$A$1055,1)), "")</f>
        <v>718374.06999999983</v>
      </c>
      <c r="AS921" s="63">
        <f ca="1">IF($AQ921&lt;&gt;"", INDEX(Inputs!$B$3:$B$101, MATCH($AQ921,Inputs!$A$3:$A$101,1)), "")</f>
        <v>4.3499999999999997E-2</v>
      </c>
      <c r="AT921" s="48">
        <f t="shared" ca="1" si="254"/>
        <v>85.61444395890409</v>
      </c>
      <c r="AU921" s="3">
        <f t="shared" ref="AU921:AU984" ca="1" si="256">IF($AQ921&lt;&gt;"", SUMIFS($AL$3:$AL$1054, $A$3:$A$1054,$AQ921) + SUMIFS($M$3:$M$1054, $A$3:$A$1054,$AQ921)*IFERROR(AVERAGEIFS($L$3:$L$1054, $A$3:$A$1054,$AQ921, $M$3:$M$1054,"&gt;0"),0) - AT921, "")</f>
        <v>-85.61444395890409</v>
      </c>
      <c r="AV921" s="3">
        <f t="shared" ca="1" si="252"/>
        <v>-85.61444395890409</v>
      </c>
    </row>
    <row r="922" spans="43:48" x14ac:dyDescent="0.2">
      <c r="AQ922" s="4">
        <f t="shared" ca="1" si="253"/>
        <v>45270</v>
      </c>
      <c r="AR922" s="3">
        <f t="shared" ca="1" si="255"/>
        <v>718374.06999999983</v>
      </c>
      <c r="AS922" s="63">
        <f ca="1">IF($AQ922&lt;&gt;"", INDEX(Inputs!$B$3:$B$101, MATCH($AQ922,Inputs!$A$3:$A$101,1)), "")</f>
        <v>4.3499999999999997E-2</v>
      </c>
      <c r="AT922" s="48">
        <f t="shared" ca="1" si="254"/>
        <v>85.61444395890409</v>
      </c>
      <c r="AU922" s="3">
        <f t="shared" ca="1" si="256"/>
        <v>-85.61444395890409</v>
      </c>
      <c r="AV922" s="3">
        <f t="shared" ca="1" si="252"/>
        <v>-85.61444395890409</v>
      </c>
    </row>
    <row r="923" spans="43:48" x14ac:dyDescent="0.2">
      <c r="AQ923" s="4">
        <f t="shared" ca="1" si="253"/>
        <v>45271</v>
      </c>
      <c r="AR923" s="3">
        <f t="shared" ca="1" si="255"/>
        <v>718374.06999999983</v>
      </c>
      <c r="AS923" s="63">
        <f ca="1">IF($AQ923&lt;&gt;"", INDEX(Inputs!$B$3:$B$101, MATCH($AQ923,Inputs!$A$3:$A$101,1)), "")</f>
        <v>4.3499999999999997E-2</v>
      </c>
      <c r="AT923" s="48">
        <f t="shared" ca="1" si="254"/>
        <v>85.61444395890409</v>
      </c>
      <c r="AU923" s="3">
        <f t="shared" ca="1" si="256"/>
        <v>-85.61444395890409</v>
      </c>
      <c r="AV923" s="3">
        <f t="shared" ca="1" si="252"/>
        <v>-85.61444395890409</v>
      </c>
    </row>
    <row r="924" spans="43:48" x14ac:dyDescent="0.2">
      <c r="AQ924" s="4">
        <f t="shared" ca="1" si="253"/>
        <v>45272</v>
      </c>
      <c r="AR924" s="3">
        <f t="shared" ca="1" si="255"/>
        <v>718374.06999999983</v>
      </c>
      <c r="AS924" s="63">
        <f ca="1">IF($AQ924&lt;&gt;"", INDEX(Inputs!$B$3:$B$101, MATCH($AQ924,Inputs!$A$3:$A$101,1)), "")</f>
        <v>4.3499999999999997E-2</v>
      </c>
      <c r="AT924" s="48">
        <f t="shared" ca="1" si="254"/>
        <v>85.61444395890409</v>
      </c>
      <c r="AU924" s="3">
        <f t="shared" ca="1" si="256"/>
        <v>-85.61444395890409</v>
      </c>
      <c r="AV924" s="3">
        <f t="shared" ca="1" si="252"/>
        <v>-85.61444395890409</v>
      </c>
    </row>
    <row r="925" spans="43:48" x14ac:dyDescent="0.2">
      <c r="AQ925" s="4">
        <f t="shared" ca="1" si="253"/>
        <v>45273</v>
      </c>
      <c r="AR925" s="3">
        <f t="shared" ca="1" si="255"/>
        <v>718374.06999999983</v>
      </c>
      <c r="AS925" s="63">
        <f ca="1">IF($AQ925&lt;&gt;"", INDEX(Inputs!$B$3:$B$101, MATCH($AQ925,Inputs!$A$3:$A$101,1)), "")</f>
        <v>4.3499999999999997E-2</v>
      </c>
      <c r="AT925" s="48">
        <f t="shared" ca="1" si="254"/>
        <v>85.61444395890409</v>
      </c>
      <c r="AU925" s="3">
        <f t="shared" ca="1" si="256"/>
        <v>-85.61444395890409</v>
      </c>
      <c r="AV925" s="3">
        <f t="shared" ca="1" si="252"/>
        <v>-85.61444395890409</v>
      </c>
    </row>
    <row r="926" spans="43:48" x14ac:dyDescent="0.2">
      <c r="AQ926" s="4">
        <f t="shared" ca="1" si="253"/>
        <v>45274</v>
      </c>
      <c r="AR926" s="3">
        <f t="shared" ca="1" si="255"/>
        <v>718374.06999999983</v>
      </c>
      <c r="AS926" s="63">
        <f ca="1">IF($AQ926&lt;&gt;"", INDEX(Inputs!$B$3:$B$101, MATCH($AQ926,Inputs!$A$3:$A$101,1)), "")</f>
        <v>4.3499999999999997E-2</v>
      </c>
      <c r="AT926" s="48">
        <f t="shared" ca="1" si="254"/>
        <v>85.61444395890409</v>
      </c>
      <c r="AU926" s="3">
        <f t="shared" ca="1" si="256"/>
        <v>-85.61444395890409</v>
      </c>
      <c r="AV926" s="3">
        <f t="shared" ca="1" si="252"/>
        <v>-85.61444395890409</v>
      </c>
    </row>
    <row r="927" spans="43:48" x14ac:dyDescent="0.2">
      <c r="AQ927" s="4">
        <f t="shared" ca="1" si="253"/>
        <v>45275</v>
      </c>
      <c r="AR927" s="3">
        <f t="shared" ca="1" si="255"/>
        <v>718374.06999999983</v>
      </c>
      <c r="AS927" s="63">
        <f ca="1">IF($AQ927&lt;&gt;"", INDEX(Inputs!$B$3:$B$101, MATCH($AQ927,Inputs!$A$3:$A$101,1)), "")</f>
        <v>4.3499999999999997E-2</v>
      </c>
      <c r="AT927" s="48">
        <f t="shared" ca="1" si="254"/>
        <v>85.61444395890409</v>
      </c>
      <c r="AU927" s="3">
        <f t="shared" ca="1" si="256"/>
        <v>-85.61444395890409</v>
      </c>
      <c r="AV927" s="3">
        <f t="shared" ca="1" si="252"/>
        <v>-85.61444395890409</v>
      </c>
    </row>
    <row r="928" spans="43:48" x14ac:dyDescent="0.2">
      <c r="AQ928" s="4">
        <f t="shared" ca="1" si="253"/>
        <v>45276</v>
      </c>
      <c r="AR928" s="3">
        <f t="shared" ca="1" si="255"/>
        <v>718374.06999999983</v>
      </c>
      <c r="AS928" s="63">
        <f ca="1">IF($AQ928&lt;&gt;"", INDEX(Inputs!$B$3:$B$101, MATCH($AQ928,Inputs!$A$3:$A$101,1)), "")</f>
        <v>4.3499999999999997E-2</v>
      </c>
      <c r="AT928" s="48">
        <f t="shared" ca="1" si="254"/>
        <v>85.61444395890409</v>
      </c>
      <c r="AU928" s="3">
        <f t="shared" ca="1" si="256"/>
        <v>-85.61444395890409</v>
      </c>
      <c r="AV928" s="3">
        <f t="shared" ref="AV928:AV991" ca="1" si="257">IF(AQ928&lt;&gt;"", AU928*(1+$X$9/CompoundingRate)^-((AQ928-AQ$3)/(365/CompoundingRate)), "")</f>
        <v>-85.61444395890409</v>
      </c>
    </row>
    <row r="929" spans="43:48" x14ac:dyDescent="0.2">
      <c r="AQ929" s="4">
        <f t="shared" ca="1" si="253"/>
        <v>45277</v>
      </c>
      <c r="AR929" s="3">
        <f t="shared" ca="1" si="255"/>
        <v>718374.06999999983</v>
      </c>
      <c r="AS929" s="63">
        <f ca="1">IF($AQ929&lt;&gt;"", INDEX(Inputs!$B$3:$B$101, MATCH($AQ929,Inputs!$A$3:$A$101,1)), "")</f>
        <v>4.3499999999999997E-2</v>
      </c>
      <c r="AT929" s="48">
        <f t="shared" ca="1" si="254"/>
        <v>85.61444395890409</v>
      </c>
      <c r="AU929" s="3">
        <f t="shared" ca="1" si="256"/>
        <v>-85.61444395890409</v>
      </c>
      <c r="AV929" s="3">
        <f t="shared" ca="1" si="257"/>
        <v>-85.61444395890409</v>
      </c>
    </row>
    <row r="930" spans="43:48" x14ac:dyDescent="0.2">
      <c r="AQ930" s="4">
        <f t="shared" ca="1" si="253"/>
        <v>45278</v>
      </c>
      <c r="AR930" s="3">
        <f t="shared" ca="1" si="255"/>
        <v>731127.68999999983</v>
      </c>
      <c r="AS930" s="63">
        <f ca="1">IF($AQ930&lt;&gt;"", INDEX(Inputs!$B$3:$B$101, MATCH($AQ930,Inputs!$A$3:$A$101,1)), "")</f>
        <v>4.3499999999999997E-2</v>
      </c>
      <c r="AT930" s="48">
        <f t="shared" ca="1" si="254"/>
        <v>87.134395931506816</v>
      </c>
      <c r="AU930" s="3">
        <f t="shared" ca="1" si="256"/>
        <v>-12840.754395931508</v>
      </c>
      <c r="AV930" s="3">
        <f t="shared" ca="1" si="257"/>
        <v>-12840.754395931508</v>
      </c>
    </row>
    <row r="931" spans="43:48" x14ac:dyDescent="0.2">
      <c r="AQ931" s="4">
        <f t="shared" ca="1" si="253"/>
        <v>45279</v>
      </c>
      <c r="AR931" s="3">
        <f t="shared" ca="1" si="255"/>
        <v>731127.68999999983</v>
      </c>
      <c r="AS931" s="63">
        <f ca="1">IF($AQ931&lt;&gt;"", INDEX(Inputs!$B$3:$B$101, MATCH($AQ931,Inputs!$A$3:$A$101,1)), "")</f>
        <v>4.3499999999999997E-2</v>
      </c>
      <c r="AT931" s="48">
        <f t="shared" ca="1" si="254"/>
        <v>87.134395931506816</v>
      </c>
      <c r="AU931" s="3">
        <f t="shared" ca="1" si="256"/>
        <v>-87.134395931506816</v>
      </c>
      <c r="AV931" s="3">
        <f t="shared" ca="1" si="257"/>
        <v>-87.134395931506816</v>
      </c>
    </row>
    <row r="932" spans="43:48" x14ac:dyDescent="0.2">
      <c r="AQ932" s="4">
        <f t="shared" ca="1" si="253"/>
        <v>45280</v>
      </c>
      <c r="AR932" s="3">
        <f t="shared" ca="1" si="255"/>
        <v>731127.68999999983</v>
      </c>
      <c r="AS932" s="63">
        <f ca="1">IF($AQ932&lt;&gt;"", INDEX(Inputs!$B$3:$B$101, MATCH($AQ932,Inputs!$A$3:$A$101,1)), "")</f>
        <v>4.3499999999999997E-2</v>
      </c>
      <c r="AT932" s="48">
        <f t="shared" ca="1" si="254"/>
        <v>87.134395931506816</v>
      </c>
      <c r="AU932" s="3">
        <f t="shared" ca="1" si="256"/>
        <v>-87.134395931506816</v>
      </c>
      <c r="AV932" s="3">
        <f t="shared" ca="1" si="257"/>
        <v>-87.134395931506816</v>
      </c>
    </row>
    <row r="933" spans="43:48" x14ac:dyDescent="0.2">
      <c r="AQ933" s="4">
        <f t="shared" ca="1" si="253"/>
        <v>45281</v>
      </c>
      <c r="AR933" s="3">
        <f t="shared" ca="1" si="255"/>
        <v>731127.68999999983</v>
      </c>
      <c r="AS933" s="63">
        <f ca="1">IF($AQ933&lt;&gt;"", INDEX(Inputs!$B$3:$B$101, MATCH($AQ933,Inputs!$A$3:$A$101,1)), "")</f>
        <v>4.3499999999999997E-2</v>
      </c>
      <c r="AT933" s="48">
        <f t="shared" ca="1" si="254"/>
        <v>87.134395931506816</v>
      </c>
      <c r="AU933" s="3">
        <f t="shared" ca="1" si="256"/>
        <v>-87.134395931506816</v>
      </c>
      <c r="AV933" s="3">
        <f t="shared" ca="1" si="257"/>
        <v>-87.134395931506816</v>
      </c>
    </row>
    <row r="934" spans="43:48" x14ac:dyDescent="0.2">
      <c r="AQ934" s="4">
        <f t="shared" ca="1" si="253"/>
        <v>45282</v>
      </c>
      <c r="AR934" s="3">
        <f t="shared" ca="1" si="255"/>
        <v>731127.68999999983</v>
      </c>
      <c r="AS934" s="63">
        <f ca="1">IF($AQ934&lt;&gt;"", INDEX(Inputs!$B$3:$B$101, MATCH($AQ934,Inputs!$A$3:$A$101,1)), "")</f>
        <v>4.3499999999999997E-2</v>
      </c>
      <c r="AT934" s="48">
        <f t="shared" ca="1" si="254"/>
        <v>87.134395931506816</v>
      </c>
      <c r="AU934" s="3">
        <f t="shared" ca="1" si="256"/>
        <v>-87.134395931506816</v>
      </c>
      <c r="AV934" s="3">
        <f t="shared" ca="1" si="257"/>
        <v>-87.134395931506816</v>
      </c>
    </row>
    <row r="935" spans="43:48" x14ac:dyDescent="0.2">
      <c r="AQ935" s="4">
        <f t="shared" ca="1" si="253"/>
        <v>45283</v>
      </c>
      <c r="AR935" s="3">
        <f t="shared" ca="1" si="255"/>
        <v>731127.68999999983</v>
      </c>
      <c r="AS935" s="63">
        <f ca="1">IF($AQ935&lt;&gt;"", INDEX(Inputs!$B$3:$B$101, MATCH($AQ935,Inputs!$A$3:$A$101,1)), "")</f>
        <v>4.3499999999999997E-2</v>
      </c>
      <c r="AT935" s="48">
        <f t="shared" ca="1" si="254"/>
        <v>87.134395931506816</v>
      </c>
      <c r="AU935" s="3">
        <f t="shared" ca="1" si="256"/>
        <v>-87.134395931506816</v>
      </c>
      <c r="AV935" s="3">
        <f t="shared" ca="1" si="257"/>
        <v>-87.134395931506816</v>
      </c>
    </row>
    <row r="936" spans="43:48" x14ac:dyDescent="0.2">
      <c r="AQ936" s="4">
        <f t="shared" ca="1" si="253"/>
        <v>45284</v>
      </c>
      <c r="AR936" s="3">
        <f t="shared" ca="1" si="255"/>
        <v>731127.68999999983</v>
      </c>
      <c r="AS936" s="63">
        <f ca="1">IF($AQ936&lt;&gt;"", INDEX(Inputs!$B$3:$B$101, MATCH($AQ936,Inputs!$A$3:$A$101,1)), "")</f>
        <v>4.3499999999999997E-2</v>
      </c>
      <c r="AT936" s="48">
        <f t="shared" ca="1" si="254"/>
        <v>87.134395931506816</v>
      </c>
      <c r="AU936" s="3">
        <f t="shared" ca="1" si="256"/>
        <v>-87.134395931506816</v>
      </c>
      <c r="AV936" s="3">
        <f t="shared" ca="1" si="257"/>
        <v>-87.134395931506816</v>
      </c>
    </row>
    <row r="937" spans="43:48" x14ac:dyDescent="0.2">
      <c r="AQ937" s="4">
        <f t="shared" ca="1" si="253"/>
        <v>45285</v>
      </c>
      <c r="AR937" s="3">
        <f t="shared" ca="1" si="255"/>
        <v>731127.68999999983</v>
      </c>
      <c r="AS937" s="63">
        <f ca="1">IF($AQ937&lt;&gt;"", INDEX(Inputs!$B$3:$B$101, MATCH($AQ937,Inputs!$A$3:$A$101,1)), "")</f>
        <v>4.3499999999999997E-2</v>
      </c>
      <c r="AT937" s="48">
        <f t="shared" ca="1" si="254"/>
        <v>87.134395931506816</v>
      </c>
      <c r="AU937" s="3">
        <f t="shared" ca="1" si="256"/>
        <v>-87.134395931506816</v>
      </c>
      <c r="AV937" s="3">
        <f t="shared" ca="1" si="257"/>
        <v>-87.134395931506816</v>
      </c>
    </row>
    <row r="938" spans="43:48" x14ac:dyDescent="0.2">
      <c r="AQ938" s="4">
        <f t="shared" ca="1" si="253"/>
        <v>45286</v>
      </c>
      <c r="AR938" s="3">
        <f t="shared" ca="1" si="255"/>
        <v>731127.68999999983</v>
      </c>
      <c r="AS938" s="63">
        <f ca="1">IF($AQ938&lt;&gt;"", INDEX(Inputs!$B$3:$B$101, MATCH($AQ938,Inputs!$A$3:$A$101,1)), "")</f>
        <v>4.3499999999999997E-2</v>
      </c>
      <c r="AT938" s="48">
        <f t="shared" ca="1" si="254"/>
        <v>87.134395931506816</v>
      </c>
      <c r="AU938" s="3">
        <f t="shared" ca="1" si="256"/>
        <v>-87.134395931506816</v>
      </c>
      <c r="AV938" s="3">
        <f t="shared" ca="1" si="257"/>
        <v>-87.134395931506816</v>
      </c>
    </row>
    <row r="939" spans="43:48" x14ac:dyDescent="0.2">
      <c r="AQ939" s="4">
        <f t="shared" ca="1" si="253"/>
        <v>45287</v>
      </c>
      <c r="AR939" s="3">
        <f t="shared" ca="1" si="255"/>
        <v>731127.68999999983</v>
      </c>
      <c r="AS939" s="63">
        <f ca="1">IF($AQ939&lt;&gt;"", INDEX(Inputs!$B$3:$B$101, MATCH($AQ939,Inputs!$A$3:$A$101,1)), "")</f>
        <v>4.3499999999999997E-2</v>
      </c>
      <c r="AT939" s="48">
        <f t="shared" ca="1" si="254"/>
        <v>87.134395931506816</v>
      </c>
      <c r="AU939" s="3">
        <f t="shared" ca="1" si="256"/>
        <v>-316.72439593150682</v>
      </c>
      <c r="AV939" s="3">
        <f t="shared" ca="1" si="257"/>
        <v>-316.72439593150682</v>
      </c>
    </row>
    <row r="940" spans="43:48" x14ac:dyDescent="0.2">
      <c r="AQ940" s="4">
        <f t="shared" ca="1" si="253"/>
        <v>45288</v>
      </c>
      <c r="AR940" s="3">
        <f t="shared" ca="1" si="255"/>
        <v>731127.68999999983</v>
      </c>
      <c r="AS940" s="63">
        <f ca="1">IF($AQ940&lt;&gt;"", INDEX(Inputs!$B$3:$B$101, MATCH($AQ940,Inputs!$A$3:$A$101,1)), "")</f>
        <v>4.3499999999999997E-2</v>
      </c>
      <c r="AT940" s="48">
        <f t="shared" ca="1" si="254"/>
        <v>87.134395931506816</v>
      </c>
      <c r="AU940" s="3">
        <f t="shared" ca="1" si="256"/>
        <v>-87.134395931506816</v>
      </c>
      <c r="AV940" s="3">
        <f t="shared" ca="1" si="257"/>
        <v>-87.134395931506816</v>
      </c>
    </row>
    <row r="941" spans="43:48" x14ac:dyDescent="0.2">
      <c r="AQ941" s="4">
        <f t="shared" ca="1" si="253"/>
        <v>45289</v>
      </c>
      <c r="AR941" s="3">
        <f t="shared" ca="1" si="255"/>
        <v>727155.95999999985</v>
      </c>
      <c r="AS941" s="63">
        <f ca="1">IF($AQ941&lt;&gt;"", INDEX(Inputs!$B$3:$B$101, MATCH($AQ941,Inputs!$A$3:$A$101,1)), "")</f>
        <v>4.3499999999999997E-2</v>
      </c>
      <c r="AT941" s="48">
        <f t="shared" ca="1" si="254"/>
        <v>86.661052767123252</v>
      </c>
      <c r="AU941" s="3">
        <f t="shared" ca="1" si="256"/>
        <v>-86.661052767123252</v>
      </c>
      <c r="AV941" s="3">
        <f t="shared" ca="1" si="257"/>
        <v>-86.661052767123252</v>
      </c>
    </row>
    <row r="942" spans="43:48" x14ac:dyDescent="0.2">
      <c r="AQ942" s="4">
        <f t="shared" ca="1" si="253"/>
        <v>45290</v>
      </c>
      <c r="AR942" s="3">
        <f t="shared" ca="1" si="255"/>
        <v>727155.95999999985</v>
      </c>
      <c r="AS942" s="63">
        <f ca="1">IF($AQ942&lt;&gt;"", INDEX(Inputs!$B$3:$B$101, MATCH($AQ942,Inputs!$A$3:$A$101,1)), "")</f>
        <v>4.3499999999999997E-2</v>
      </c>
      <c r="AT942" s="48">
        <f t="shared" ca="1" si="254"/>
        <v>86.661052767123252</v>
      </c>
      <c r="AU942" s="3">
        <f t="shared" ca="1" si="256"/>
        <v>-86.661052767123252</v>
      </c>
      <c r="AV942" s="3">
        <f t="shared" ca="1" si="257"/>
        <v>-86.661052767123252</v>
      </c>
    </row>
    <row r="943" spans="43:48" x14ac:dyDescent="0.2">
      <c r="AQ943" s="4">
        <f t="shared" ca="1" si="253"/>
        <v>45291</v>
      </c>
      <c r="AR943" s="3">
        <f t="shared" ca="1" si="255"/>
        <v>727155.95999999985</v>
      </c>
      <c r="AS943" s="63">
        <f ca="1">IF($AQ943&lt;&gt;"", INDEX(Inputs!$B$3:$B$101, MATCH($AQ943,Inputs!$A$3:$A$101,1)), "")</f>
        <v>4.3499999999999997E-2</v>
      </c>
      <c r="AT943" s="48">
        <f t="shared" ca="1" si="254"/>
        <v>86.661052767123252</v>
      </c>
      <c r="AU943" s="3">
        <f t="shared" ca="1" si="256"/>
        <v>-86.661052767123252</v>
      </c>
      <c r="AV943" s="3">
        <f t="shared" ca="1" si="257"/>
        <v>-86.661052767123252</v>
      </c>
    </row>
    <row r="944" spans="43:48" x14ac:dyDescent="0.2">
      <c r="AQ944" s="4">
        <f t="shared" ca="1" si="253"/>
        <v>45292</v>
      </c>
      <c r="AR944" s="3">
        <f t="shared" ca="1" si="255"/>
        <v>727155.95999999985</v>
      </c>
      <c r="AS944" s="63">
        <f ca="1">IF($AQ944&lt;&gt;"", INDEX(Inputs!$B$3:$B$101, MATCH($AQ944,Inputs!$A$3:$A$101,1)), "")</f>
        <v>4.3499999999999997E-2</v>
      </c>
      <c r="AT944" s="48">
        <f t="shared" ca="1" si="254"/>
        <v>86.661052767123252</v>
      </c>
      <c r="AU944" s="3">
        <f t="shared" ca="1" si="256"/>
        <v>-86.661052767123252</v>
      </c>
      <c r="AV944" s="3">
        <f t="shared" ca="1" si="257"/>
        <v>-86.661052767123252</v>
      </c>
    </row>
    <row r="945" spans="43:48" x14ac:dyDescent="0.2">
      <c r="AQ945" s="4">
        <f t="shared" ca="1" si="253"/>
        <v>45293</v>
      </c>
      <c r="AR945" s="3">
        <f t="shared" ca="1" si="255"/>
        <v>727155.95999999985</v>
      </c>
      <c r="AS945" s="63">
        <f ca="1">IF($AQ945&lt;&gt;"", INDEX(Inputs!$B$3:$B$101, MATCH($AQ945,Inputs!$A$3:$A$101,1)), "")</f>
        <v>4.3499999999999997E-2</v>
      </c>
      <c r="AT945" s="48">
        <f t="shared" ca="1" si="254"/>
        <v>86.661052767123252</v>
      </c>
      <c r="AU945" s="3">
        <f t="shared" ca="1" si="256"/>
        <v>10313.338947232876</v>
      </c>
      <c r="AV945" s="3">
        <f t="shared" ca="1" si="257"/>
        <v>10313.338947232876</v>
      </c>
    </row>
    <row r="946" spans="43:48" x14ac:dyDescent="0.2">
      <c r="AQ946" s="4">
        <f t="shared" ca="1" si="253"/>
        <v>45294</v>
      </c>
      <c r="AR946" s="3">
        <f t="shared" ca="1" si="255"/>
        <v>727155.95999999985</v>
      </c>
      <c r="AS946" s="63">
        <f ca="1">IF($AQ946&lt;&gt;"", INDEX(Inputs!$B$3:$B$101, MATCH($AQ946,Inputs!$A$3:$A$101,1)), "")</f>
        <v>4.3499999999999997E-2</v>
      </c>
      <c r="AT946" s="48">
        <f t="shared" ca="1" si="254"/>
        <v>86.661052767123252</v>
      </c>
      <c r="AU946" s="3">
        <f t="shared" ca="1" si="256"/>
        <v>-86.661052767123252</v>
      </c>
      <c r="AV946" s="3">
        <f t="shared" ca="1" si="257"/>
        <v>-86.661052767123252</v>
      </c>
    </row>
    <row r="947" spans="43:48" x14ac:dyDescent="0.2">
      <c r="AQ947" s="4">
        <f t="shared" ca="1" si="253"/>
        <v>45295</v>
      </c>
      <c r="AR947" s="3">
        <f t="shared" ca="1" si="255"/>
        <v>727155.95999999985</v>
      </c>
      <c r="AS947" s="63">
        <f ca="1">IF($AQ947&lt;&gt;"", INDEX(Inputs!$B$3:$B$101, MATCH($AQ947,Inputs!$A$3:$A$101,1)), "")</f>
        <v>4.3499999999999997E-2</v>
      </c>
      <c r="AT947" s="48">
        <f t="shared" ca="1" si="254"/>
        <v>86.661052767123252</v>
      </c>
      <c r="AU947" s="3">
        <f t="shared" ca="1" si="256"/>
        <v>-86.661052767123252</v>
      </c>
      <c r="AV947" s="3">
        <f t="shared" ca="1" si="257"/>
        <v>-86.661052767123252</v>
      </c>
    </row>
    <row r="948" spans="43:48" x14ac:dyDescent="0.2">
      <c r="AQ948" s="4">
        <f t="shared" ca="1" si="253"/>
        <v>45296</v>
      </c>
      <c r="AR948" s="3">
        <f t="shared" ca="1" si="255"/>
        <v>727155.95999999985</v>
      </c>
      <c r="AS948" s="63">
        <f ca="1">IF($AQ948&lt;&gt;"", INDEX(Inputs!$B$3:$B$101, MATCH($AQ948,Inputs!$A$3:$A$101,1)), "")</f>
        <v>4.3499999999999997E-2</v>
      </c>
      <c r="AT948" s="48">
        <f t="shared" ca="1" si="254"/>
        <v>86.661052767123252</v>
      </c>
      <c r="AU948" s="3">
        <f t="shared" ca="1" si="256"/>
        <v>-86.661052767123252</v>
      </c>
      <c r="AV948" s="3">
        <f t="shared" ca="1" si="257"/>
        <v>-86.661052767123252</v>
      </c>
    </row>
    <row r="949" spans="43:48" x14ac:dyDescent="0.2">
      <c r="AQ949" s="4">
        <f t="shared" ca="1" si="253"/>
        <v>45297</v>
      </c>
      <c r="AR949" s="3">
        <f t="shared" ca="1" si="255"/>
        <v>727155.95999999985</v>
      </c>
      <c r="AS949" s="63">
        <f ca="1">IF($AQ949&lt;&gt;"", INDEX(Inputs!$B$3:$B$101, MATCH($AQ949,Inputs!$A$3:$A$101,1)), "")</f>
        <v>4.3499999999999997E-2</v>
      </c>
      <c r="AT949" s="48">
        <f t="shared" ca="1" si="254"/>
        <v>86.661052767123252</v>
      </c>
      <c r="AU949" s="3">
        <f t="shared" ca="1" si="256"/>
        <v>-86.661052767123252</v>
      </c>
      <c r="AV949" s="3">
        <f t="shared" ca="1" si="257"/>
        <v>-86.661052767123252</v>
      </c>
    </row>
    <row r="950" spans="43:48" x14ac:dyDescent="0.2">
      <c r="AQ950" s="4">
        <f t="shared" ca="1" si="253"/>
        <v>45298</v>
      </c>
      <c r="AR950" s="3">
        <f t="shared" ca="1" si="255"/>
        <v>727155.95999999985</v>
      </c>
      <c r="AS950" s="63">
        <f ca="1">IF($AQ950&lt;&gt;"", INDEX(Inputs!$B$3:$B$101, MATCH($AQ950,Inputs!$A$3:$A$101,1)), "")</f>
        <v>4.3499999999999997E-2</v>
      </c>
      <c r="AT950" s="48">
        <f t="shared" ca="1" si="254"/>
        <v>86.661052767123252</v>
      </c>
      <c r="AU950" s="3">
        <f t="shared" ca="1" si="256"/>
        <v>-86.661052767123252</v>
      </c>
      <c r="AV950" s="3">
        <f t="shared" ca="1" si="257"/>
        <v>-86.661052767123252</v>
      </c>
    </row>
    <row r="951" spans="43:48" x14ac:dyDescent="0.2">
      <c r="AQ951" s="4">
        <f t="shared" ca="1" si="253"/>
        <v>45299</v>
      </c>
      <c r="AR951" s="3">
        <f t="shared" ca="1" si="255"/>
        <v>727155.95999999985</v>
      </c>
      <c r="AS951" s="63">
        <f ca="1">IF($AQ951&lt;&gt;"", INDEX(Inputs!$B$3:$B$101, MATCH($AQ951,Inputs!$A$3:$A$101,1)), "")</f>
        <v>4.3499999999999997E-2</v>
      </c>
      <c r="AT951" s="48">
        <f t="shared" ca="1" si="254"/>
        <v>86.661052767123252</v>
      </c>
      <c r="AU951" s="3">
        <f t="shared" ca="1" si="256"/>
        <v>-86.661052767123252</v>
      </c>
      <c r="AV951" s="3">
        <f t="shared" ca="1" si="257"/>
        <v>-86.661052767123252</v>
      </c>
    </row>
    <row r="952" spans="43:48" x14ac:dyDescent="0.2">
      <c r="AQ952" s="4">
        <f t="shared" ca="1" si="253"/>
        <v>45300</v>
      </c>
      <c r="AR952" s="3">
        <f t="shared" ca="1" si="255"/>
        <v>727155.95999999985</v>
      </c>
      <c r="AS952" s="63">
        <f ca="1">IF($AQ952&lt;&gt;"", INDEX(Inputs!$B$3:$B$101, MATCH($AQ952,Inputs!$A$3:$A$101,1)), "")</f>
        <v>4.3499999999999997E-2</v>
      </c>
      <c r="AT952" s="48">
        <f t="shared" ca="1" si="254"/>
        <v>86.661052767123252</v>
      </c>
      <c r="AU952" s="3">
        <f t="shared" ca="1" si="256"/>
        <v>-86.661052767123252</v>
      </c>
      <c r="AV952" s="3">
        <f t="shared" ca="1" si="257"/>
        <v>-86.661052767123252</v>
      </c>
    </row>
    <row r="953" spans="43:48" x14ac:dyDescent="0.2">
      <c r="AQ953" s="4">
        <f t="shared" ref="AQ953:AQ1016" ca="1" si="258">IF(AQ952&lt;$AP$3,AQ952+1,"")</f>
        <v>45301</v>
      </c>
      <c r="AR953" s="3">
        <f t="shared" ca="1" si="255"/>
        <v>727155.95999999985</v>
      </c>
      <c r="AS953" s="63">
        <f ca="1">IF($AQ953&lt;&gt;"", INDEX(Inputs!$B$3:$B$101, MATCH($AQ953,Inputs!$A$3:$A$101,1)), "")</f>
        <v>4.3499999999999997E-2</v>
      </c>
      <c r="AT953" s="48">
        <f t="shared" ref="AT953:AT1016" ca="1" si="259">IF($AQ953&lt;&gt;"", AR953*AS953/365, "")</f>
        <v>86.661052767123252</v>
      </c>
      <c r="AU953" s="3">
        <f t="shared" ca="1" si="256"/>
        <v>-86.661052767123252</v>
      </c>
      <c r="AV953" s="3">
        <f t="shared" ca="1" si="257"/>
        <v>-86.661052767123252</v>
      </c>
    </row>
    <row r="954" spans="43:48" x14ac:dyDescent="0.2">
      <c r="AQ954" s="4">
        <f t="shared" ca="1" si="258"/>
        <v>45302</v>
      </c>
      <c r="AR954" s="3">
        <f t="shared" ca="1" si="255"/>
        <v>727155.95999999985</v>
      </c>
      <c r="AS954" s="63">
        <f ca="1">IF($AQ954&lt;&gt;"", INDEX(Inputs!$B$3:$B$101, MATCH($AQ954,Inputs!$A$3:$A$101,1)), "")</f>
        <v>4.3499999999999997E-2</v>
      </c>
      <c r="AT954" s="48">
        <f t="shared" ca="1" si="259"/>
        <v>86.661052767123252</v>
      </c>
      <c r="AU954" s="3">
        <f t="shared" ca="1" si="256"/>
        <v>-86.661052767123252</v>
      </c>
      <c r="AV954" s="3">
        <f t="shared" ca="1" si="257"/>
        <v>-86.661052767123252</v>
      </c>
    </row>
    <row r="955" spans="43:48" x14ac:dyDescent="0.2">
      <c r="AQ955" s="4">
        <f t="shared" ca="1" si="258"/>
        <v>45303</v>
      </c>
      <c r="AR955" s="3">
        <f t="shared" ca="1" si="255"/>
        <v>727155.95999999985</v>
      </c>
      <c r="AS955" s="63">
        <f ca="1">IF($AQ955&lt;&gt;"", INDEX(Inputs!$B$3:$B$101, MATCH($AQ955,Inputs!$A$3:$A$101,1)), "")</f>
        <v>4.3499999999999997E-2</v>
      </c>
      <c r="AT955" s="48">
        <f t="shared" ca="1" si="259"/>
        <v>86.661052767123252</v>
      </c>
      <c r="AU955" s="3">
        <f t="shared" ca="1" si="256"/>
        <v>-86.661052767123252</v>
      </c>
      <c r="AV955" s="3">
        <f t="shared" ca="1" si="257"/>
        <v>-86.661052767123252</v>
      </c>
    </row>
    <row r="956" spans="43:48" x14ac:dyDescent="0.2">
      <c r="AQ956" s="4">
        <f t="shared" ca="1" si="258"/>
        <v>45304</v>
      </c>
      <c r="AR956" s="3">
        <f t="shared" ca="1" si="255"/>
        <v>727155.95999999985</v>
      </c>
      <c r="AS956" s="63">
        <f ca="1">IF($AQ956&lt;&gt;"", INDEX(Inputs!$B$3:$B$101, MATCH($AQ956,Inputs!$A$3:$A$101,1)), "")</f>
        <v>4.3499999999999997E-2</v>
      </c>
      <c r="AT956" s="48">
        <f t="shared" ca="1" si="259"/>
        <v>86.661052767123252</v>
      </c>
      <c r="AU956" s="3">
        <f t="shared" ca="1" si="256"/>
        <v>-86.661052767123252</v>
      </c>
      <c r="AV956" s="3">
        <f t="shared" ca="1" si="257"/>
        <v>-86.661052767123252</v>
      </c>
    </row>
    <row r="957" spans="43:48" x14ac:dyDescent="0.2">
      <c r="AQ957" s="4">
        <f t="shared" ca="1" si="258"/>
        <v>45305</v>
      </c>
      <c r="AR957" s="3">
        <f t="shared" ca="1" si="255"/>
        <v>727155.95999999985</v>
      </c>
      <c r="AS957" s="63">
        <f ca="1">IF($AQ957&lt;&gt;"", INDEX(Inputs!$B$3:$B$101, MATCH($AQ957,Inputs!$A$3:$A$101,1)), "")</f>
        <v>4.3499999999999997E-2</v>
      </c>
      <c r="AT957" s="48">
        <f t="shared" ca="1" si="259"/>
        <v>86.661052767123252</v>
      </c>
      <c r="AU957" s="3">
        <f t="shared" ca="1" si="256"/>
        <v>-86.661052767123252</v>
      </c>
      <c r="AV957" s="3">
        <f t="shared" ca="1" si="257"/>
        <v>-86.661052767123252</v>
      </c>
    </row>
    <row r="958" spans="43:48" x14ac:dyDescent="0.2">
      <c r="AQ958" s="4">
        <f t="shared" ca="1" si="258"/>
        <v>45306</v>
      </c>
      <c r="AR958" s="3">
        <f t="shared" ca="1" si="255"/>
        <v>727155.95999999985</v>
      </c>
      <c r="AS958" s="63">
        <f ca="1">IF($AQ958&lt;&gt;"", INDEX(Inputs!$B$3:$B$101, MATCH($AQ958,Inputs!$A$3:$A$101,1)), "")</f>
        <v>4.3499999999999997E-2</v>
      </c>
      <c r="AT958" s="48">
        <f t="shared" ca="1" si="259"/>
        <v>86.661052767123252</v>
      </c>
      <c r="AU958" s="3">
        <f t="shared" ca="1" si="256"/>
        <v>-86.661052767123252</v>
      </c>
      <c r="AV958" s="3">
        <f t="shared" ca="1" si="257"/>
        <v>-86.661052767123252</v>
      </c>
    </row>
    <row r="959" spans="43:48" x14ac:dyDescent="0.2">
      <c r="AQ959" s="4">
        <f t="shared" ca="1" si="258"/>
        <v>45307</v>
      </c>
      <c r="AR959" s="3">
        <f t="shared" ca="1" si="255"/>
        <v>739952.70999999985</v>
      </c>
      <c r="AS959" s="63">
        <f ca="1">IF($AQ959&lt;&gt;"", INDEX(Inputs!$B$3:$B$101, MATCH($AQ959,Inputs!$A$3:$A$101,1)), "")</f>
        <v>4.3499999999999997E-2</v>
      </c>
      <c r="AT959" s="48">
        <f t="shared" ca="1" si="259"/>
        <v>88.18614489041093</v>
      </c>
      <c r="AU959" s="3">
        <f t="shared" ca="1" si="256"/>
        <v>-12884.936144890411</v>
      </c>
      <c r="AV959" s="3">
        <f t="shared" ca="1" si="257"/>
        <v>-12884.936144890411</v>
      </c>
    </row>
    <row r="960" spans="43:48" x14ac:dyDescent="0.2">
      <c r="AQ960" s="4">
        <f t="shared" ca="1" si="258"/>
        <v>45308</v>
      </c>
      <c r="AR960" s="3">
        <f t="shared" ca="1" si="255"/>
        <v>739952.70999999985</v>
      </c>
      <c r="AS960" s="63">
        <f ca="1">IF($AQ960&lt;&gt;"", INDEX(Inputs!$B$3:$B$101, MATCH($AQ960,Inputs!$A$3:$A$101,1)), "")</f>
        <v>4.3499999999999997E-2</v>
      </c>
      <c r="AT960" s="48">
        <f t="shared" ca="1" si="259"/>
        <v>88.18614489041093</v>
      </c>
      <c r="AU960" s="3">
        <f t="shared" ca="1" si="256"/>
        <v>-88.18614489041093</v>
      </c>
      <c r="AV960" s="3">
        <f t="shared" ca="1" si="257"/>
        <v>-88.18614489041093</v>
      </c>
    </row>
    <row r="961" spans="43:48" x14ac:dyDescent="0.2">
      <c r="AQ961" s="4">
        <f t="shared" ca="1" si="258"/>
        <v>45309</v>
      </c>
      <c r="AR961" s="3">
        <f t="shared" ca="1" si="255"/>
        <v>739952.70999999985</v>
      </c>
      <c r="AS961" s="63">
        <f ca="1">IF($AQ961&lt;&gt;"", INDEX(Inputs!$B$3:$B$101, MATCH($AQ961,Inputs!$A$3:$A$101,1)), "")</f>
        <v>4.3499999999999997E-2</v>
      </c>
      <c r="AT961" s="48">
        <f t="shared" ca="1" si="259"/>
        <v>88.18614489041093</v>
      </c>
      <c r="AU961" s="3">
        <f t="shared" ca="1" si="256"/>
        <v>-88.18614489041093</v>
      </c>
      <c r="AV961" s="3">
        <f t="shared" ca="1" si="257"/>
        <v>-88.18614489041093</v>
      </c>
    </row>
    <row r="962" spans="43:48" x14ac:dyDescent="0.2">
      <c r="AQ962" s="4">
        <f t="shared" ca="1" si="258"/>
        <v>45310</v>
      </c>
      <c r="AR962" s="3">
        <f t="shared" ca="1" si="255"/>
        <v>739952.70999999985</v>
      </c>
      <c r="AS962" s="63">
        <f ca="1">IF($AQ962&lt;&gt;"", INDEX(Inputs!$B$3:$B$101, MATCH($AQ962,Inputs!$A$3:$A$101,1)), "")</f>
        <v>4.3499999999999997E-2</v>
      </c>
      <c r="AT962" s="48">
        <f t="shared" ca="1" si="259"/>
        <v>88.18614489041093</v>
      </c>
      <c r="AU962" s="3">
        <f t="shared" ca="1" si="256"/>
        <v>-88.18614489041093</v>
      </c>
      <c r="AV962" s="3">
        <f t="shared" ca="1" si="257"/>
        <v>-88.18614489041093</v>
      </c>
    </row>
    <row r="963" spans="43:48" x14ac:dyDescent="0.2">
      <c r="AQ963" s="4">
        <f t="shared" ca="1" si="258"/>
        <v>45311</v>
      </c>
      <c r="AR963" s="3">
        <f t="shared" ca="1" si="255"/>
        <v>739952.70999999985</v>
      </c>
      <c r="AS963" s="63">
        <f ca="1">IF($AQ963&lt;&gt;"", INDEX(Inputs!$B$3:$B$101, MATCH($AQ963,Inputs!$A$3:$A$101,1)), "")</f>
        <v>4.3499999999999997E-2</v>
      </c>
      <c r="AT963" s="48">
        <f t="shared" ca="1" si="259"/>
        <v>88.18614489041093</v>
      </c>
      <c r="AU963" s="3">
        <f t="shared" ca="1" si="256"/>
        <v>-88.18614489041093</v>
      </c>
      <c r="AV963" s="3">
        <f t="shared" ca="1" si="257"/>
        <v>-88.18614489041093</v>
      </c>
    </row>
    <row r="964" spans="43:48" x14ac:dyDescent="0.2">
      <c r="AQ964" s="4">
        <f t="shared" ca="1" si="258"/>
        <v>45312</v>
      </c>
      <c r="AR964" s="3">
        <f t="shared" ca="1" si="255"/>
        <v>739952.70999999985</v>
      </c>
      <c r="AS964" s="63">
        <f ca="1">IF($AQ964&lt;&gt;"", INDEX(Inputs!$B$3:$B$101, MATCH($AQ964,Inputs!$A$3:$A$101,1)), "")</f>
        <v>4.3499999999999997E-2</v>
      </c>
      <c r="AT964" s="48">
        <f t="shared" ca="1" si="259"/>
        <v>88.18614489041093</v>
      </c>
      <c r="AU964" s="3">
        <f t="shared" ca="1" si="256"/>
        <v>-88.18614489041093</v>
      </c>
      <c r="AV964" s="3">
        <f t="shared" ca="1" si="257"/>
        <v>-88.18614489041093</v>
      </c>
    </row>
    <row r="965" spans="43:48" x14ac:dyDescent="0.2">
      <c r="AQ965" s="4">
        <f t="shared" ca="1" si="258"/>
        <v>45313</v>
      </c>
      <c r="AR965" s="3">
        <f t="shared" ca="1" si="255"/>
        <v>739952.70999999985</v>
      </c>
      <c r="AS965" s="63">
        <f ca="1">IF($AQ965&lt;&gt;"", INDEX(Inputs!$B$3:$B$101, MATCH($AQ965,Inputs!$A$3:$A$101,1)), "")</f>
        <v>4.3499999999999997E-2</v>
      </c>
      <c r="AT965" s="48">
        <f t="shared" ca="1" si="259"/>
        <v>88.18614489041093</v>
      </c>
      <c r="AU965" s="3">
        <f t="shared" ca="1" si="256"/>
        <v>-88.18614489041093</v>
      </c>
      <c r="AV965" s="3">
        <f t="shared" ca="1" si="257"/>
        <v>-88.18614489041093</v>
      </c>
    </row>
    <row r="966" spans="43:48" x14ac:dyDescent="0.2">
      <c r="AQ966" s="4">
        <f t="shared" ca="1" si="258"/>
        <v>45314</v>
      </c>
      <c r="AR966" s="3">
        <f t="shared" ca="1" si="255"/>
        <v>739952.70999999985</v>
      </c>
      <c r="AS966" s="63">
        <f ca="1">IF($AQ966&lt;&gt;"", INDEX(Inputs!$B$3:$B$101, MATCH($AQ966,Inputs!$A$3:$A$101,1)), "")</f>
        <v>4.3499999999999997E-2</v>
      </c>
      <c r="AT966" s="48">
        <f t="shared" ca="1" si="259"/>
        <v>88.18614489041093</v>
      </c>
      <c r="AU966" s="3">
        <f t="shared" ca="1" si="256"/>
        <v>-88.18614489041093</v>
      </c>
      <c r="AV966" s="3">
        <f t="shared" ca="1" si="257"/>
        <v>-88.18614489041093</v>
      </c>
    </row>
    <row r="967" spans="43:48" x14ac:dyDescent="0.2">
      <c r="AQ967" s="4">
        <f t="shared" ca="1" si="258"/>
        <v>45315</v>
      </c>
      <c r="AR967" s="3">
        <f t="shared" ca="1" si="255"/>
        <v>739952.70999999985</v>
      </c>
      <c r="AS967" s="63">
        <f ca="1">IF($AQ967&lt;&gt;"", INDEX(Inputs!$B$3:$B$101, MATCH($AQ967,Inputs!$A$3:$A$101,1)), "")</f>
        <v>4.3499999999999997E-2</v>
      </c>
      <c r="AT967" s="48">
        <f t="shared" ca="1" si="259"/>
        <v>88.18614489041093</v>
      </c>
      <c r="AU967" s="3">
        <f t="shared" ca="1" si="256"/>
        <v>-88.18614489041093</v>
      </c>
      <c r="AV967" s="3">
        <f t="shared" ca="1" si="257"/>
        <v>-88.18614489041093</v>
      </c>
    </row>
    <row r="968" spans="43:48" x14ac:dyDescent="0.2">
      <c r="AQ968" s="4">
        <f t="shared" ca="1" si="258"/>
        <v>45316</v>
      </c>
      <c r="AR968" s="3">
        <f t="shared" ca="1" si="255"/>
        <v>739952.70999999985</v>
      </c>
      <c r="AS968" s="63">
        <f ca="1">IF($AQ968&lt;&gt;"", INDEX(Inputs!$B$3:$B$101, MATCH($AQ968,Inputs!$A$3:$A$101,1)), "")</f>
        <v>4.3499999999999997E-2</v>
      </c>
      <c r="AT968" s="48">
        <f t="shared" ca="1" si="259"/>
        <v>88.18614489041093</v>
      </c>
      <c r="AU968" s="3">
        <f t="shared" ca="1" si="256"/>
        <v>-88.18614489041093</v>
      </c>
      <c r="AV968" s="3">
        <f t="shared" ca="1" si="257"/>
        <v>-88.18614489041093</v>
      </c>
    </row>
    <row r="969" spans="43:48" x14ac:dyDescent="0.2">
      <c r="AQ969" s="4">
        <f t="shared" ca="1" si="258"/>
        <v>45317</v>
      </c>
      <c r="AR969" s="3">
        <f t="shared" ca="1" si="255"/>
        <v>739952.70999999985</v>
      </c>
      <c r="AS969" s="63">
        <f ca="1">IF($AQ969&lt;&gt;"", INDEX(Inputs!$B$3:$B$101, MATCH($AQ969,Inputs!$A$3:$A$101,1)), "")</f>
        <v>4.3499999999999997E-2</v>
      </c>
      <c r="AT969" s="48">
        <f t="shared" ca="1" si="259"/>
        <v>88.18614489041093</v>
      </c>
      <c r="AU969" s="3">
        <f t="shared" ca="1" si="256"/>
        <v>-88.18614489041093</v>
      </c>
      <c r="AV969" s="3">
        <f t="shared" ca="1" si="257"/>
        <v>-88.18614489041093</v>
      </c>
    </row>
    <row r="970" spans="43:48" x14ac:dyDescent="0.2">
      <c r="AQ970" s="4">
        <f t="shared" ca="1" si="258"/>
        <v>45318</v>
      </c>
      <c r="AR970" s="3">
        <f t="shared" ca="1" si="255"/>
        <v>739952.70999999985</v>
      </c>
      <c r="AS970" s="63">
        <f ca="1">IF($AQ970&lt;&gt;"", INDEX(Inputs!$B$3:$B$101, MATCH($AQ970,Inputs!$A$3:$A$101,1)), "")</f>
        <v>4.3499999999999997E-2</v>
      </c>
      <c r="AT970" s="48">
        <f t="shared" ca="1" si="259"/>
        <v>88.18614489041093</v>
      </c>
      <c r="AU970" s="3">
        <f t="shared" ca="1" si="256"/>
        <v>-88.18614489041093</v>
      </c>
      <c r="AV970" s="3">
        <f t="shared" ca="1" si="257"/>
        <v>-88.18614489041093</v>
      </c>
    </row>
    <row r="971" spans="43:48" x14ac:dyDescent="0.2">
      <c r="AQ971" s="4">
        <f t="shared" ca="1" si="258"/>
        <v>45319</v>
      </c>
      <c r="AR971" s="3">
        <f t="shared" ca="1" si="255"/>
        <v>739952.70999999985</v>
      </c>
      <c r="AS971" s="63">
        <f ca="1">IF($AQ971&lt;&gt;"", INDEX(Inputs!$B$3:$B$101, MATCH($AQ971,Inputs!$A$3:$A$101,1)), "")</f>
        <v>4.3499999999999997E-2</v>
      </c>
      <c r="AT971" s="48">
        <f t="shared" ca="1" si="259"/>
        <v>88.18614489041093</v>
      </c>
      <c r="AU971" s="3">
        <f t="shared" ca="1" si="256"/>
        <v>-88.18614489041093</v>
      </c>
      <c r="AV971" s="3">
        <f t="shared" ca="1" si="257"/>
        <v>-88.18614489041093</v>
      </c>
    </row>
    <row r="972" spans="43:48" x14ac:dyDescent="0.2">
      <c r="AQ972" s="4">
        <f t="shared" ca="1" si="258"/>
        <v>45320</v>
      </c>
      <c r="AR972" s="3">
        <f t="shared" ca="1" si="255"/>
        <v>739952.70999999985</v>
      </c>
      <c r="AS972" s="63">
        <f ca="1">IF($AQ972&lt;&gt;"", INDEX(Inputs!$B$3:$B$101, MATCH($AQ972,Inputs!$A$3:$A$101,1)), "")</f>
        <v>4.3499999999999997E-2</v>
      </c>
      <c r="AT972" s="48">
        <f t="shared" ca="1" si="259"/>
        <v>88.18614489041093</v>
      </c>
      <c r="AU972" s="3">
        <f t="shared" ca="1" si="256"/>
        <v>-88.18614489041093</v>
      </c>
      <c r="AV972" s="3">
        <f t="shared" ca="1" si="257"/>
        <v>-88.18614489041093</v>
      </c>
    </row>
    <row r="973" spans="43:48" x14ac:dyDescent="0.2">
      <c r="AQ973" s="4">
        <f t="shared" ca="1" si="258"/>
        <v>45321</v>
      </c>
      <c r="AR973" s="3">
        <f t="shared" ca="1" si="255"/>
        <v>739952.70999999985</v>
      </c>
      <c r="AS973" s="63">
        <f ca="1">IF($AQ973&lt;&gt;"", INDEX(Inputs!$B$3:$B$101, MATCH($AQ973,Inputs!$A$3:$A$101,1)), "")</f>
        <v>4.3499999999999997E-2</v>
      </c>
      <c r="AT973" s="48">
        <f t="shared" ca="1" si="259"/>
        <v>88.18614489041093</v>
      </c>
      <c r="AU973" s="3">
        <f t="shared" ca="1" si="256"/>
        <v>-88.18614489041093</v>
      </c>
      <c r="AV973" s="3">
        <f t="shared" ca="1" si="257"/>
        <v>-88.18614489041093</v>
      </c>
    </row>
    <row r="974" spans="43:48" x14ac:dyDescent="0.2">
      <c r="AQ974" s="4">
        <f t="shared" ca="1" si="258"/>
        <v>45322</v>
      </c>
      <c r="AR974" s="3">
        <f t="shared" ca="1" si="255"/>
        <v>735285.23999999976</v>
      </c>
      <c r="AS974" s="63">
        <f ca="1">IF($AQ974&lt;&gt;"", INDEX(Inputs!$B$3:$B$101, MATCH($AQ974,Inputs!$A$3:$A$101,1)), "")</f>
        <v>4.3499999999999997E-2</v>
      </c>
      <c r="AT974" s="48">
        <f t="shared" ca="1" si="259"/>
        <v>87.629884767123244</v>
      </c>
      <c r="AU974" s="3">
        <f t="shared" ca="1" si="256"/>
        <v>-87.629884767123244</v>
      </c>
      <c r="AV974" s="3">
        <f t="shared" ca="1" si="257"/>
        <v>-87.629884767123244</v>
      </c>
    </row>
    <row r="975" spans="43:48" x14ac:dyDescent="0.2">
      <c r="AQ975" s="4">
        <f t="shared" ca="1" si="258"/>
        <v>45323</v>
      </c>
      <c r="AR975" s="3">
        <f t="shared" ca="1" si="255"/>
        <v>735285.23999999976</v>
      </c>
      <c r="AS975" s="63">
        <f ca="1">IF($AQ975&lt;&gt;"", INDEX(Inputs!$B$3:$B$101, MATCH($AQ975,Inputs!$A$3:$A$101,1)), "")</f>
        <v>4.3499999999999997E-2</v>
      </c>
      <c r="AT975" s="48">
        <f t="shared" ca="1" si="259"/>
        <v>87.629884767123244</v>
      </c>
      <c r="AU975" s="3">
        <f t="shared" ca="1" si="256"/>
        <v>10312.370115232878</v>
      </c>
      <c r="AV975" s="3">
        <f t="shared" ca="1" si="257"/>
        <v>10312.370115232878</v>
      </c>
    </row>
    <row r="976" spans="43:48" x14ac:dyDescent="0.2">
      <c r="AQ976" s="4">
        <f t="shared" ca="1" si="258"/>
        <v>45324</v>
      </c>
      <c r="AR976" s="3">
        <f t="shared" ca="1" si="255"/>
        <v>735285.23999999976</v>
      </c>
      <c r="AS976" s="63">
        <f ca="1">IF($AQ976&lt;&gt;"", INDEX(Inputs!$B$3:$B$101, MATCH($AQ976,Inputs!$A$3:$A$101,1)), "")</f>
        <v>4.3499999999999997E-2</v>
      </c>
      <c r="AT976" s="48">
        <f t="shared" ca="1" si="259"/>
        <v>87.629884767123244</v>
      </c>
      <c r="AU976" s="3">
        <f t="shared" ca="1" si="256"/>
        <v>-87.629884767123244</v>
      </c>
      <c r="AV976" s="3">
        <f t="shared" ca="1" si="257"/>
        <v>-87.629884767123244</v>
      </c>
    </row>
    <row r="977" spans="43:48" x14ac:dyDescent="0.2">
      <c r="AQ977" s="4">
        <f t="shared" ca="1" si="258"/>
        <v>45325</v>
      </c>
      <c r="AR977" s="3">
        <f t="shared" ca="1" si="255"/>
        <v>735285.23999999976</v>
      </c>
      <c r="AS977" s="63">
        <f ca="1">IF($AQ977&lt;&gt;"", INDEX(Inputs!$B$3:$B$101, MATCH($AQ977,Inputs!$A$3:$A$101,1)), "")</f>
        <v>4.3499999999999997E-2</v>
      </c>
      <c r="AT977" s="48">
        <f t="shared" ca="1" si="259"/>
        <v>87.629884767123244</v>
      </c>
      <c r="AU977" s="3">
        <f t="shared" ca="1" si="256"/>
        <v>-87.629884767123244</v>
      </c>
      <c r="AV977" s="3">
        <f t="shared" ca="1" si="257"/>
        <v>-87.629884767123244</v>
      </c>
    </row>
    <row r="978" spans="43:48" x14ac:dyDescent="0.2">
      <c r="AQ978" s="4">
        <f t="shared" ca="1" si="258"/>
        <v>45326</v>
      </c>
      <c r="AR978" s="3">
        <f t="shared" ca="1" si="255"/>
        <v>735285.23999999976</v>
      </c>
      <c r="AS978" s="63">
        <f ca="1">IF($AQ978&lt;&gt;"", INDEX(Inputs!$B$3:$B$101, MATCH($AQ978,Inputs!$A$3:$A$101,1)), "")</f>
        <v>4.3499999999999997E-2</v>
      </c>
      <c r="AT978" s="48">
        <f t="shared" ca="1" si="259"/>
        <v>87.629884767123244</v>
      </c>
      <c r="AU978" s="3">
        <f t="shared" ca="1" si="256"/>
        <v>-87.629884767123244</v>
      </c>
      <c r="AV978" s="3">
        <f t="shared" ca="1" si="257"/>
        <v>-87.629884767123244</v>
      </c>
    </row>
    <row r="979" spans="43:48" x14ac:dyDescent="0.2">
      <c r="AQ979" s="4">
        <f t="shared" ca="1" si="258"/>
        <v>45327</v>
      </c>
      <c r="AR979" s="3">
        <f t="shared" ca="1" si="255"/>
        <v>735285.23999999976</v>
      </c>
      <c r="AS979" s="63">
        <f ca="1">IF($AQ979&lt;&gt;"", INDEX(Inputs!$B$3:$B$101, MATCH($AQ979,Inputs!$A$3:$A$101,1)), "")</f>
        <v>4.3499999999999997E-2</v>
      </c>
      <c r="AT979" s="48">
        <f t="shared" ca="1" si="259"/>
        <v>87.629884767123244</v>
      </c>
      <c r="AU979" s="3">
        <f t="shared" ca="1" si="256"/>
        <v>-87.629884767123244</v>
      </c>
      <c r="AV979" s="3">
        <f t="shared" ca="1" si="257"/>
        <v>-87.629884767123244</v>
      </c>
    </row>
    <row r="980" spans="43:48" x14ac:dyDescent="0.2">
      <c r="AQ980" s="4">
        <f t="shared" ca="1" si="258"/>
        <v>45328</v>
      </c>
      <c r="AR980" s="3">
        <f t="shared" ca="1" si="255"/>
        <v>735285.23999999976</v>
      </c>
      <c r="AS980" s="63">
        <f ca="1">IF($AQ980&lt;&gt;"", INDEX(Inputs!$B$3:$B$101, MATCH($AQ980,Inputs!$A$3:$A$101,1)), "")</f>
        <v>4.3499999999999997E-2</v>
      </c>
      <c r="AT980" s="48">
        <f t="shared" ca="1" si="259"/>
        <v>87.629884767123244</v>
      </c>
      <c r="AU980" s="3">
        <f t="shared" ca="1" si="256"/>
        <v>-87.629884767123244</v>
      </c>
      <c r="AV980" s="3">
        <f t="shared" ca="1" si="257"/>
        <v>-87.629884767123244</v>
      </c>
    </row>
    <row r="981" spans="43:48" x14ac:dyDescent="0.2">
      <c r="AQ981" s="4">
        <f t="shared" ca="1" si="258"/>
        <v>45329</v>
      </c>
      <c r="AR981" s="3">
        <f t="shared" ca="1" si="255"/>
        <v>735285.23999999976</v>
      </c>
      <c r="AS981" s="63">
        <f ca="1">IF($AQ981&lt;&gt;"", INDEX(Inputs!$B$3:$B$101, MATCH($AQ981,Inputs!$A$3:$A$101,1)), "")</f>
        <v>4.3499999999999997E-2</v>
      </c>
      <c r="AT981" s="48">
        <f t="shared" ca="1" si="259"/>
        <v>87.629884767123244</v>
      </c>
      <c r="AU981" s="3">
        <f t="shared" ca="1" si="256"/>
        <v>-87.629884767123244</v>
      </c>
      <c r="AV981" s="3">
        <f t="shared" ca="1" si="257"/>
        <v>-87.629884767123244</v>
      </c>
    </row>
    <row r="982" spans="43:48" x14ac:dyDescent="0.2">
      <c r="AQ982" s="4">
        <f t="shared" ca="1" si="258"/>
        <v>45330</v>
      </c>
      <c r="AR982" s="3">
        <f t="shared" ca="1" si="255"/>
        <v>735285.23999999976</v>
      </c>
      <c r="AS982" s="63">
        <f ca="1">IF($AQ982&lt;&gt;"", INDEX(Inputs!$B$3:$B$101, MATCH($AQ982,Inputs!$A$3:$A$101,1)), "")</f>
        <v>4.3499999999999997E-2</v>
      </c>
      <c r="AT982" s="48">
        <f t="shared" ca="1" si="259"/>
        <v>87.629884767123244</v>
      </c>
      <c r="AU982" s="3">
        <f t="shared" ca="1" si="256"/>
        <v>-87.629884767123244</v>
      </c>
      <c r="AV982" s="3">
        <f t="shared" ca="1" si="257"/>
        <v>-87.629884767123244</v>
      </c>
    </row>
    <row r="983" spans="43:48" x14ac:dyDescent="0.2">
      <c r="AQ983" s="4">
        <f t="shared" ca="1" si="258"/>
        <v>45331</v>
      </c>
      <c r="AR983" s="3">
        <f t="shared" ca="1" si="255"/>
        <v>735285.23999999976</v>
      </c>
      <c r="AS983" s="63">
        <f ca="1">IF($AQ983&lt;&gt;"", INDEX(Inputs!$B$3:$B$101, MATCH($AQ983,Inputs!$A$3:$A$101,1)), "")</f>
        <v>4.3499999999999997E-2</v>
      </c>
      <c r="AT983" s="48">
        <f t="shared" ca="1" si="259"/>
        <v>87.629884767123244</v>
      </c>
      <c r="AU983" s="3">
        <f t="shared" ca="1" si="256"/>
        <v>-87.629884767123244</v>
      </c>
      <c r="AV983" s="3">
        <f t="shared" ca="1" si="257"/>
        <v>-87.629884767123244</v>
      </c>
    </row>
    <row r="984" spans="43:48" x14ac:dyDescent="0.2">
      <c r="AQ984" s="4">
        <f t="shared" ca="1" si="258"/>
        <v>45332</v>
      </c>
      <c r="AR984" s="3">
        <f t="shared" ca="1" si="255"/>
        <v>735285.23999999976</v>
      </c>
      <c r="AS984" s="63">
        <f ca="1">IF($AQ984&lt;&gt;"", INDEX(Inputs!$B$3:$B$101, MATCH($AQ984,Inputs!$A$3:$A$101,1)), "")</f>
        <v>4.3499999999999997E-2</v>
      </c>
      <c r="AT984" s="48">
        <f t="shared" ca="1" si="259"/>
        <v>87.629884767123244</v>
      </c>
      <c r="AU984" s="3">
        <f t="shared" ca="1" si="256"/>
        <v>-87.629884767123244</v>
      </c>
      <c r="AV984" s="3">
        <f t="shared" ca="1" si="257"/>
        <v>-87.629884767123244</v>
      </c>
    </row>
    <row r="985" spans="43:48" x14ac:dyDescent="0.2">
      <c r="AQ985" s="4">
        <f t="shared" ca="1" si="258"/>
        <v>45333</v>
      </c>
      <c r="AR985" s="3">
        <f t="shared" ref="AR985:AR1048" ca="1" si="260">IF($AQ985&lt;&gt;"", INDEX($AC$3:$AC$1055, MATCH($AQ985,$A$3:$A$1055,1)), "")</f>
        <v>735285.23999999976</v>
      </c>
      <c r="AS985" s="63">
        <f ca="1">IF($AQ985&lt;&gt;"", INDEX(Inputs!$B$3:$B$101, MATCH($AQ985,Inputs!$A$3:$A$101,1)), "")</f>
        <v>4.3499999999999997E-2</v>
      </c>
      <c r="AT985" s="48">
        <f t="shared" ca="1" si="259"/>
        <v>87.629884767123244</v>
      </c>
      <c r="AU985" s="3">
        <f t="shared" ref="AU985:AU1048" ca="1" si="261">IF($AQ985&lt;&gt;"", SUMIFS($AL$3:$AL$1054, $A$3:$A$1054,$AQ985) + SUMIFS($M$3:$M$1054, $A$3:$A$1054,$AQ985)*IFERROR(AVERAGEIFS($L$3:$L$1054, $A$3:$A$1054,$AQ985, $M$3:$M$1054,"&gt;0"),0) - AT985, "")</f>
        <v>-87.629884767123244</v>
      </c>
      <c r="AV985" s="3">
        <f t="shared" ca="1" si="257"/>
        <v>-87.629884767123244</v>
      </c>
    </row>
    <row r="986" spans="43:48" x14ac:dyDescent="0.2">
      <c r="AQ986" s="4">
        <f t="shared" ca="1" si="258"/>
        <v>45334</v>
      </c>
      <c r="AR986" s="3">
        <f t="shared" ca="1" si="260"/>
        <v>735285.23999999976</v>
      </c>
      <c r="AS986" s="63">
        <f ca="1">IF($AQ986&lt;&gt;"", INDEX(Inputs!$B$3:$B$101, MATCH($AQ986,Inputs!$A$3:$A$101,1)), "")</f>
        <v>4.3499999999999997E-2</v>
      </c>
      <c r="AT986" s="48">
        <f t="shared" ca="1" si="259"/>
        <v>87.629884767123244</v>
      </c>
      <c r="AU986" s="3">
        <f t="shared" ca="1" si="261"/>
        <v>-87.629884767123244</v>
      </c>
      <c r="AV986" s="3">
        <f t="shared" ca="1" si="257"/>
        <v>-87.629884767123244</v>
      </c>
    </row>
    <row r="987" spans="43:48" x14ac:dyDescent="0.2">
      <c r="AQ987" s="4">
        <f t="shared" ca="1" si="258"/>
        <v>45335</v>
      </c>
      <c r="AR987" s="3">
        <f t="shared" ca="1" si="260"/>
        <v>735285.23999999976</v>
      </c>
      <c r="AS987" s="63">
        <f ca="1">IF($AQ987&lt;&gt;"", INDEX(Inputs!$B$3:$B$101, MATCH($AQ987,Inputs!$A$3:$A$101,1)), "")</f>
        <v>4.3499999999999997E-2</v>
      </c>
      <c r="AT987" s="48">
        <f t="shared" ca="1" si="259"/>
        <v>87.629884767123244</v>
      </c>
      <c r="AU987" s="3">
        <f t="shared" ca="1" si="261"/>
        <v>-87.629884767123244</v>
      </c>
      <c r="AV987" s="3">
        <f t="shared" ca="1" si="257"/>
        <v>-87.629884767123244</v>
      </c>
    </row>
    <row r="988" spans="43:48" x14ac:dyDescent="0.2">
      <c r="AQ988" s="4">
        <f t="shared" ca="1" si="258"/>
        <v>45336</v>
      </c>
      <c r="AR988" s="3">
        <f t="shared" ca="1" si="260"/>
        <v>735285.23999999976</v>
      </c>
      <c r="AS988" s="63">
        <f ca="1">IF($AQ988&lt;&gt;"", INDEX(Inputs!$B$3:$B$101, MATCH($AQ988,Inputs!$A$3:$A$101,1)), "")</f>
        <v>4.3499999999999997E-2</v>
      </c>
      <c r="AT988" s="48">
        <f t="shared" ca="1" si="259"/>
        <v>87.629884767123244</v>
      </c>
      <c r="AU988" s="3">
        <f t="shared" ca="1" si="261"/>
        <v>-87.629884767123244</v>
      </c>
      <c r="AV988" s="3">
        <f t="shared" ca="1" si="257"/>
        <v>-87.629884767123244</v>
      </c>
    </row>
    <row r="989" spans="43:48" x14ac:dyDescent="0.2">
      <c r="AQ989" s="4">
        <f t="shared" ca="1" si="258"/>
        <v>45337</v>
      </c>
      <c r="AR989" s="3">
        <f t="shared" ca="1" si="260"/>
        <v>735285.23999999976</v>
      </c>
      <c r="AS989" s="63">
        <f ca="1">IF($AQ989&lt;&gt;"", INDEX(Inputs!$B$3:$B$101, MATCH($AQ989,Inputs!$A$3:$A$101,1)), "")</f>
        <v>4.3499999999999997E-2</v>
      </c>
      <c r="AT989" s="48">
        <f t="shared" ca="1" si="259"/>
        <v>87.629884767123244</v>
      </c>
      <c r="AU989" s="3">
        <f t="shared" ca="1" si="261"/>
        <v>-87.629884767123244</v>
      </c>
      <c r="AV989" s="3">
        <f t="shared" ca="1" si="257"/>
        <v>-87.629884767123244</v>
      </c>
    </row>
    <row r="990" spans="43:48" x14ac:dyDescent="0.2">
      <c r="AQ990" s="4">
        <f t="shared" ca="1" si="258"/>
        <v>45338</v>
      </c>
      <c r="AR990" s="3">
        <f t="shared" ca="1" si="260"/>
        <v>748081.98999999976</v>
      </c>
      <c r="AS990" s="63">
        <f ca="1">IF($AQ990&lt;&gt;"", INDEX(Inputs!$B$3:$B$101, MATCH($AQ990,Inputs!$A$3:$A$101,1)), "")</f>
        <v>4.3499999999999997E-2</v>
      </c>
      <c r="AT990" s="48">
        <f t="shared" ca="1" si="259"/>
        <v>89.154976890410921</v>
      </c>
      <c r="AU990" s="3">
        <f t="shared" ca="1" si="261"/>
        <v>-12885.904976890411</v>
      </c>
      <c r="AV990" s="3">
        <f t="shared" ca="1" si="257"/>
        <v>-12885.904976890411</v>
      </c>
    </row>
    <row r="991" spans="43:48" x14ac:dyDescent="0.2">
      <c r="AQ991" s="4">
        <f t="shared" ca="1" si="258"/>
        <v>45339</v>
      </c>
      <c r="AR991" s="3">
        <f t="shared" ca="1" si="260"/>
        <v>748081.98999999976</v>
      </c>
      <c r="AS991" s="63">
        <f ca="1">IF($AQ991&lt;&gt;"", INDEX(Inputs!$B$3:$B$101, MATCH($AQ991,Inputs!$A$3:$A$101,1)), "")</f>
        <v>4.3499999999999997E-2</v>
      </c>
      <c r="AT991" s="48">
        <f t="shared" ca="1" si="259"/>
        <v>89.154976890410921</v>
      </c>
      <c r="AU991" s="3">
        <f t="shared" ca="1" si="261"/>
        <v>-89.154976890410921</v>
      </c>
      <c r="AV991" s="3">
        <f t="shared" ca="1" si="257"/>
        <v>-89.154976890410921</v>
      </c>
    </row>
    <row r="992" spans="43:48" x14ac:dyDescent="0.2">
      <c r="AQ992" s="4">
        <f t="shared" ca="1" si="258"/>
        <v>45340</v>
      </c>
      <c r="AR992" s="3">
        <f t="shared" ca="1" si="260"/>
        <v>748081.98999999976</v>
      </c>
      <c r="AS992" s="63">
        <f ca="1">IF($AQ992&lt;&gt;"", INDEX(Inputs!$B$3:$B$101, MATCH($AQ992,Inputs!$A$3:$A$101,1)), "")</f>
        <v>4.3499999999999997E-2</v>
      </c>
      <c r="AT992" s="48">
        <f t="shared" ca="1" si="259"/>
        <v>89.154976890410921</v>
      </c>
      <c r="AU992" s="3">
        <f t="shared" ca="1" si="261"/>
        <v>-89.154976890410921</v>
      </c>
      <c r="AV992" s="3">
        <f t="shared" ref="AV992:AV1055" ca="1" si="262">IF(AQ992&lt;&gt;"", AU992*(1+$X$9/CompoundingRate)^-((AQ992-AQ$3)/(365/CompoundingRate)), "")</f>
        <v>-89.154976890410921</v>
      </c>
    </row>
    <row r="993" spans="43:48" x14ac:dyDescent="0.2">
      <c r="AQ993" s="4">
        <f t="shared" ca="1" si="258"/>
        <v>45341</v>
      </c>
      <c r="AR993" s="3">
        <f t="shared" ca="1" si="260"/>
        <v>748081.98999999976</v>
      </c>
      <c r="AS993" s="63">
        <f ca="1">IF($AQ993&lt;&gt;"", INDEX(Inputs!$B$3:$B$101, MATCH($AQ993,Inputs!$A$3:$A$101,1)), "")</f>
        <v>4.3499999999999997E-2</v>
      </c>
      <c r="AT993" s="48">
        <f t="shared" ca="1" si="259"/>
        <v>89.154976890410921</v>
      </c>
      <c r="AU993" s="3">
        <f t="shared" ca="1" si="261"/>
        <v>-89.154976890410921</v>
      </c>
      <c r="AV993" s="3">
        <f t="shared" ca="1" si="262"/>
        <v>-89.154976890410921</v>
      </c>
    </row>
    <row r="994" spans="43:48" x14ac:dyDescent="0.2">
      <c r="AQ994" s="4">
        <f t="shared" ca="1" si="258"/>
        <v>45342</v>
      </c>
      <c r="AR994" s="3">
        <f t="shared" ca="1" si="260"/>
        <v>748081.98999999976</v>
      </c>
      <c r="AS994" s="63">
        <f ca="1">IF($AQ994&lt;&gt;"", INDEX(Inputs!$B$3:$B$101, MATCH($AQ994,Inputs!$A$3:$A$101,1)), "")</f>
        <v>4.3499999999999997E-2</v>
      </c>
      <c r="AT994" s="48">
        <f t="shared" ca="1" si="259"/>
        <v>89.154976890410921</v>
      </c>
      <c r="AU994" s="3">
        <f t="shared" ca="1" si="261"/>
        <v>-89.154976890410921</v>
      </c>
      <c r="AV994" s="3">
        <f t="shared" ca="1" si="262"/>
        <v>-89.154976890410921</v>
      </c>
    </row>
    <row r="995" spans="43:48" x14ac:dyDescent="0.2">
      <c r="AQ995" s="4">
        <f t="shared" ca="1" si="258"/>
        <v>45343</v>
      </c>
      <c r="AR995" s="3">
        <f t="shared" ca="1" si="260"/>
        <v>748081.98999999976</v>
      </c>
      <c r="AS995" s="63">
        <f ca="1">IF($AQ995&lt;&gt;"", INDEX(Inputs!$B$3:$B$101, MATCH($AQ995,Inputs!$A$3:$A$101,1)), "")</f>
        <v>4.3499999999999997E-2</v>
      </c>
      <c r="AT995" s="48">
        <f t="shared" ca="1" si="259"/>
        <v>89.154976890410921</v>
      </c>
      <c r="AU995" s="3">
        <f t="shared" ca="1" si="261"/>
        <v>-89.154976890410921</v>
      </c>
      <c r="AV995" s="3">
        <f t="shared" ca="1" si="262"/>
        <v>-89.154976890410921</v>
      </c>
    </row>
    <row r="996" spans="43:48" x14ac:dyDescent="0.2">
      <c r="AQ996" s="4">
        <f t="shared" ca="1" si="258"/>
        <v>45344</v>
      </c>
      <c r="AR996" s="3">
        <f t="shared" ca="1" si="260"/>
        <v>748081.98999999976</v>
      </c>
      <c r="AS996" s="63">
        <f ca="1">IF($AQ996&lt;&gt;"", INDEX(Inputs!$B$3:$B$101, MATCH($AQ996,Inputs!$A$3:$A$101,1)), "")</f>
        <v>4.3499999999999997E-2</v>
      </c>
      <c r="AT996" s="48">
        <f t="shared" ca="1" si="259"/>
        <v>89.154976890410921</v>
      </c>
      <c r="AU996" s="3">
        <f t="shared" ca="1" si="261"/>
        <v>-89.154976890410921</v>
      </c>
      <c r="AV996" s="3">
        <f t="shared" ca="1" si="262"/>
        <v>-89.154976890410921</v>
      </c>
    </row>
    <row r="997" spans="43:48" x14ac:dyDescent="0.2">
      <c r="AQ997" s="4">
        <f t="shared" ca="1" si="258"/>
        <v>45345</v>
      </c>
      <c r="AR997" s="3">
        <f t="shared" ca="1" si="260"/>
        <v>748081.98999999976</v>
      </c>
      <c r="AS997" s="63">
        <f ca="1">IF($AQ997&lt;&gt;"", INDEX(Inputs!$B$3:$B$101, MATCH($AQ997,Inputs!$A$3:$A$101,1)), "")</f>
        <v>4.3499999999999997E-2</v>
      </c>
      <c r="AT997" s="48">
        <f t="shared" ca="1" si="259"/>
        <v>89.154976890410921</v>
      </c>
      <c r="AU997" s="3">
        <f t="shared" ca="1" si="261"/>
        <v>-89.154976890410921</v>
      </c>
      <c r="AV997" s="3">
        <f t="shared" ca="1" si="262"/>
        <v>-89.154976890410921</v>
      </c>
    </row>
    <row r="998" spans="43:48" x14ac:dyDescent="0.2">
      <c r="AQ998" s="4">
        <f t="shared" ca="1" si="258"/>
        <v>45346</v>
      </c>
      <c r="AR998" s="3">
        <f t="shared" ca="1" si="260"/>
        <v>748081.98999999976</v>
      </c>
      <c r="AS998" s="63">
        <f ca="1">IF($AQ998&lt;&gt;"", INDEX(Inputs!$B$3:$B$101, MATCH($AQ998,Inputs!$A$3:$A$101,1)), "")</f>
        <v>4.3499999999999997E-2</v>
      </c>
      <c r="AT998" s="48">
        <f t="shared" ca="1" si="259"/>
        <v>89.154976890410921</v>
      </c>
      <c r="AU998" s="3">
        <f t="shared" ca="1" si="261"/>
        <v>-89.154976890410921</v>
      </c>
      <c r="AV998" s="3">
        <f t="shared" ca="1" si="262"/>
        <v>-89.154976890410921</v>
      </c>
    </row>
    <row r="999" spans="43:48" x14ac:dyDescent="0.2">
      <c r="AQ999" s="4">
        <f t="shared" ca="1" si="258"/>
        <v>45347</v>
      </c>
      <c r="AR999" s="3">
        <f t="shared" ca="1" si="260"/>
        <v>748081.98999999976</v>
      </c>
      <c r="AS999" s="63">
        <f ca="1">IF($AQ999&lt;&gt;"", INDEX(Inputs!$B$3:$B$101, MATCH($AQ999,Inputs!$A$3:$A$101,1)), "")</f>
        <v>4.3499999999999997E-2</v>
      </c>
      <c r="AT999" s="48">
        <f t="shared" ca="1" si="259"/>
        <v>89.154976890410921</v>
      </c>
      <c r="AU999" s="3">
        <f t="shared" ca="1" si="261"/>
        <v>-89.154976890410921</v>
      </c>
      <c r="AV999" s="3">
        <f t="shared" ca="1" si="262"/>
        <v>-89.154976890410921</v>
      </c>
    </row>
    <row r="1000" spans="43:48" x14ac:dyDescent="0.2">
      <c r="AQ1000" s="4">
        <f t="shared" ca="1" si="258"/>
        <v>45348</v>
      </c>
      <c r="AR1000" s="3">
        <f t="shared" ca="1" si="260"/>
        <v>748081.98999999976</v>
      </c>
      <c r="AS1000" s="63">
        <f ca="1">IF($AQ1000&lt;&gt;"", INDEX(Inputs!$B$3:$B$101, MATCH($AQ1000,Inputs!$A$3:$A$101,1)), "")</f>
        <v>4.3499999999999997E-2</v>
      </c>
      <c r="AT1000" s="48">
        <f t="shared" ca="1" si="259"/>
        <v>89.154976890410921</v>
      </c>
      <c r="AU1000" s="3">
        <f t="shared" ca="1" si="261"/>
        <v>-89.154976890410921</v>
      </c>
      <c r="AV1000" s="3">
        <f t="shared" ca="1" si="262"/>
        <v>-89.154976890410921</v>
      </c>
    </row>
    <row r="1001" spans="43:48" x14ac:dyDescent="0.2">
      <c r="AQ1001" s="4">
        <f t="shared" ca="1" si="258"/>
        <v>45349</v>
      </c>
      <c r="AR1001" s="3">
        <f t="shared" ca="1" si="260"/>
        <v>748081.98999999976</v>
      </c>
      <c r="AS1001" s="63">
        <f ca="1">IF($AQ1001&lt;&gt;"", INDEX(Inputs!$B$3:$B$101, MATCH($AQ1001,Inputs!$A$3:$A$101,1)), "")</f>
        <v>4.3499999999999997E-2</v>
      </c>
      <c r="AT1001" s="48">
        <f t="shared" ca="1" si="259"/>
        <v>89.154976890410921</v>
      </c>
      <c r="AU1001" s="3">
        <f t="shared" ca="1" si="261"/>
        <v>-89.154976890410921</v>
      </c>
      <c r="AV1001" s="3">
        <f t="shared" ca="1" si="262"/>
        <v>-89.154976890410921</v>
      </c>
    </row>
    <row r="1002" spans="43:48" x14ac:dyDescent="0.2">
      <c r="AQ1002" s="4">
        <f t="shared" ca="1" si="258"/>
        <v>45350</v>
      </c>
      <c r="AR1002" s="3">
        <f t="shared" ca="1" si="260"/>
        <v>748081.98999999976</v>
      </c>
      <c r="AS1002" s="63">
        <f ca="1">IF($AQ1002&lt;&gt;"", INDEX(Inputs!$B$3:$B$101, MATCH($AQ1002,Inputs!$A$3:$A$101,1)), "")</f>
        <v>4.3499999999999997E-2</v>
      </c>
      <c r="AT1002" s="48">
        <f t="shared" ca="1" si="259"/>
        <v>89.154976890410921</v>
      </c>
      <c r="AU1002" s="3">
        <f t="shared" ca="1" si="261"/>
        <v>-89.154976890410921</v>
      </c>
      <c r="AV1002" s="3">
        <f t="shared" ca="1" si="262"/>
        <v>-89.154976890410921</v>
      </c>
    </row>
    <row r="1003" spans="43:48" x14ac:dyDescent="0.2">
      <c r="AQ1003" s="4">
        <f t="shared" ca="1" si="258"/>
        <v>45351</v>
      </c>
      <c r="AR1003" s="3">
        <f t="shared" ca="1" si="260"/>
        <v>743963.0299999998</v>
      </c>
      <c r="AS1003" s="63">
        <f ca="1">IF($AQ1003&lt;&gt;"", INDEX(Inputs!$B$3:$B$101, MATCH($AQ1003,Inputs!$A$3:$A$101,1)), "")</f>
        <v>4.3499999999999997E-2</v>
      </c>
      <c r="AT1003" s="48">
        <f t="shared" ca="1" si="259"/>
        <v>88.664087136986268</v>
      </c>
      <c r="AU1003" s="3">
        <f t="shared" ca="1" si="261"/>
        <v>-88.664087136986268</v>
      </c>
      <c r="AV1003" s="3">
        <f t="shared" ca="1" si="262"/>
        <v>-88.664087136986268</v>
      </c>
    </row>
    <row r="1004" spans="43:48" x14ac:dyDescent="0.2">
      <c r="AQ1004" s="4">
        <f t="shared" ca="1" si="258"/>
        <v>45352</v>
      </c>
      <c r="AR1004" s="3">
        <f t="shared" ca="1" si="260"/>
        <v>743963.0299999998</v>
      </c>
      <c r="AS1004" s="63">
        <f ca="1">IF($AQ1004&lt;&gt;"", INDEX(Inputs!$B$3:$B$101, MATCH($AQ1004,Inputs!$A$3:$A$101,1)), "")</f>
        <v>4.3499999999999997E-2</v>
      </c>
      <c r="AT1004" s="48">
        <f t="shared" ca="1" si="259"/>
        <v>88.664087136986268</v>
      </c>
      <c r="AU1004" s="3">
        <f t="shared" ca="1" si="261"/>
        <v>10311.335912863015</v>
      </c>
      <c r="AV1004" s="3">
        <f t="shared" ca="1" si="262"/>
        <v>10311.335912863015</v>
      </c>
    </row>
    <row r="1005" spans="43:48" x14ac:dyDescent="0.2">
      <c r="AQ1005" s="4">
        <f t="shared" ca="1" si="258"/>
        <v>45353</v>
      </c>
      <c r="AR1005" s="3">
        <f t="shared" ca="1" si="260"/>
        <v>743963.0299999998</v>
      </c>
      <c r="AS1005" s="63">
        <f ca="1">IF($AQ1005&lt;&gt;"", INDEX(Inputs!$B$3:$B$101, MATCH($AQ1005,Inputs!$A$3:$A$101,1)), "")</f>
        <v>4.3499999999999997E-2</v>
      </c>
      <c r="AT1005" s="48">
        <f t="shared" ca="1" si="259"/>
        <v>88.664087136986268</v>
      </c>
      <c r="AU1005" s="3">
        <f t="shared" ca="1" si="261"/>
        <v>-88.664087136986268</v>
      </c>
      <c r="AV1005" s="3">
        <f t="shared" ca="1" si="262"/>
        <v>-88.664087136986268</v>
      </c>
    </row>
    <row r="1006" spans="43:48" x14ac:dyDescent="0.2">
      <c r="AQ1006" s="4">
        <f t="shared" ca="1" si="258"/>
        <v>45354</v>
      </c>
      <c r="AR1006" s="3">
        <f t="shared" ca="1" si="260"/>
        <v>743963.0299999998</v>
      </c>
      <c r="AS1006" s="63">
        <f ca="1">IF($AQ1006&lt;&gt;"", INDEX(Inputs!$B$3:$B$101, MATCH($AQ1006,Inputs!$A$3:$A$101,1)), "")</f>
        <v>4.3499999999999997E-2</v>
      </c>
      <c r="AT1006" s="48">
        <f t="shared" ca="1" si="259"/>
        <v>88.664087136986268</v>
      </c>
      <c r="AU1006" s="3">
        <f t="shared" ca="1" si="261"/>
        <v>-88.664087136986268</v>
      </c>
      <c r="AV1006" s="3">
        <f t="shared" ca="1" si="262"/>
        <v>-88.664087136986268</v>
      </c>
    </row>
    <row r="1007" spans="43:48" x14ac:dyDescent="0.2">
      <c r="AQ1007" s="4">
        <f t="shared" ca="1" si="258"/>
        <v>45355</v>
      </c>
      <c r="AR1007" s="3">
        <f t="shared" ca="1" si="260"/>
        <v>743963.0299999998</v>
      </c>
      <c r="AS1007" s="63">
        <f ca="1">IF($AQ1007&lt;&gt;"", INDEX(Inputs!$B$3:$B$101, MATCH($AQ1007,Inputs!$A$3:$A$101,1)), "")</f>
        <v>4.3499999999999997E-2</v>
      </c>
      <c r="AT1007" s="48">
        <f t="shared" ca="1" si="259"/>
        <v>88.664087136986268</v>
      </c>
      <c r="AU1007" s="3">
        <f t="shared" ca="1" si="261"/>
        <v>-88.664087136986268</v>
      </c>
      <c r="AV1007" s="3">
        <f t="shared" ca="1" si="262"/>
        <v>-88.664087136986268</v>
      </c>
    </row>
    <row r="1008" spans="43:48" x14ac:dyDescent="0.2">
      <c r="AQ1008" s="4">
        <f t="shared" ca="1" si="258"/>
        <v>45356</v>
      </c>
      <c r="AR1008" s="3">
        <f t="shared" ca="1" si="260"/>
        <v>743963.0299999998</v>
      </c>
      <c r="AS1008" s="63">
        <f ca="1">IF($AQ1008&lt;&gt;"", INDEX(Inputs!$B$3:$B$101, MATCH($AQ1008,Inputs!$A$3:$A$101,1)), "")</f>
        <v>4.3499999999999997E-2</v>
      </c>
      <c r="AT1008" s="48">
        <f t="shared" ca="1" si="259"/>
        <v>88.664087136986268</v>
      </c>
      <c r="AU1008" s="3">
        <f t="shared" ca="1" si="261"/>
        <v>-88.664087136986268</v>
      </c>
      <c r="AV1008" s="3">
        <f t="shared" ca="1" si="262"/>
        <v>-88.664087136986268</v>
      </c>
    </row>
    <row r="1009" spans="43:48" x14ac:dyDescent="0.2">
      <c r="AQ1009" s="4">
        <f t="shared" ca="1" si="258"/>
        <v>45357</v>
      </c>
      <c r="AR1009" s="3">
        <f t="shared" ca="1" si="260"/>
        <v>743963.0299999998</v>
      </c>
      <c r="AS1009" s="63">
        <f ca="1">IF($AQ1009&lt;&gt;"", INDEX(Inputs!$B$3:$B$101, MATCH($AQ1009,Inputs!$A$3:$A$101,1)), "")</f>
        <v>4.3499999999999997E-2</v>
      </c>
      <c r="AT1009" s="48">
        <f t="shared" ca="1" si="259"/>
        <v>88.664087136986268</v>
      </c>
      <c r="AU1009" s="3">
        <f t="shared" ca="1" si="261"/>
        <v>-3719.1040871369864</v>
      </c>
      <c r="AV1009" s="3">
        <f t="shared" ca="1" si="262"/>
        <v>-3719.1040871369864</v>
      </c>
    </row>
    <row r="1010" spans="43:48" x14ac:dyDescent="0.2">
      <c r="AQ1010" s="4">
        <f t="shared" ca="1" si="258"/>
        <v>45358</v>
      </c>
      <c r="AR1010" s="3">
        <f t="shared" ca="1" si="260"/>
        <v>743963.0299999998</v>
      </c>
      <c r="AS1010" s="63">
        <f ca="1">IF($AQ1010&lt;&gt;"", INDEX(Inputs!$B$3:$B$101, MATCH($AQ1010,Inputs!$A$3:$A$101,1)), "")</f>
        <v>4.3499999999999997E-2</v>
      </c>
      <c r="AT1010" s="48">
        <f t="shared" ca="1" si="259"/>
        <v>88.664087136986268</v>
      </c>
      <c r="AU1010" s="3">
        <f t="shared" ca="1" si="261"/>
        <v>-88.664087136986268</v>
      </c>
      <c r="AV1010" s="3">
        <f t="shared" ca="1" si="262"/>
        <v>-88.664087136986268</v>
      </c>
    </row>
    <row r="1011" spans="43:48" x14ac:dyDescent="0.2">
      <c r="AQ1011" s="4">
        <f t="shared" ca="1" si="258"/>
        <v>45359</v>
      </c>
      <c r="AR1011" s="3">
        <f t="shared" ca="1" si="260"/>
        <v>743963.0299999998</v>
      </c>
      <c r="AS1011" s="63">
        <f ca="1">IF($AQ1011&lt;&gt;"", INDEX(Inputs!$B$3:$B$101, MATCH($AQ1011,Inputs!$A$3:$A$101,1)), "")</f>
        <v>4.3499999999999997E-2</v>
      </c>
      <c r="AT1011" s="48">
        <f t="shared" ca="1" si="259"/>
        <v>88.664087136986268</v>
      </c>
      <c r="AU1011" s="3">
        <f t="shared" ca="1" si="261"/>
        <v>-88.664087136986268</v>
      </c>
      <c r="AV1011" s="3">
        <f t="shared" ca="1" si="262"/>
        <v>-88.664087136986268</v>
      </c>
    </row>
    <row r="1012" spans="43:48" x14ac:dyDescent="0.2">
      <c r="AQ1012" s="4">
        <f t="shared" ca="1" si="258"/>
        <v>45360</v>
      </c>
      <c r="AR1012" s="3">
        <f t="shared" ca="1" si="260"/>
        <v>743963.0299999998</v>
      </c>
      <c r="AS1012" s="63">
        <f ca="1">IF($AQ1012&lt;&gt;"", INDEX(Inputs!$B$3:$B$101, MATCH($AQ1012,Inputs!$A$3:$A$101,1)), "")</f>
        <v>4.3499999999999997E-2</v>
      </c>
      <c r="AT1012" s="48">
        <f t="shared" ca="1" si="259"/>
        <v>88.664087136986268</v>
      </c>
      <c r="AU1012" s="3">
        <f t="shared" ca="1" si="261"/>
        <v>-88.664087136986268</v>
      </c>
      <c r="AV1012" s="3">
        <f t="shared" ca="1" si="262"/>
        <v>-88.664087136986268</v>
      </c>
    </row>
    <row r="1013" spans="43:48" x14ac:dyDescent="0.2">
      <c r="AQ1013" s="4">
        <f t="shared" ca="1" si="258"/>
        <v>45361</v>
      </c>
      <c r="AR1013" s="3">
        <f t="shared" ca="1" si="260"/>
        <v>743963.0299999998</v>
      </c>
      <c r="AS1013" s="63">
        <f ca="1">IF($AQ1013&lt;&gt;"", INDEX(Inputs!$B$3:$B$101, MATCH($AQ1013,Inputs!$A$3:$A$101,1)), "")</f>
        <v>4.3499999999999997E-2</v>
      </c>
      <c r="AT1013" s="48">
        <f t="shared" ca="1" si="259"/>
        <v>88.664087136986268</v>
      </c>
      <c r="AU1013" s="3">
        <f t="shared" ca="1" si="261"/>
        <v>-88.664087136986268</v>
      </c>
      <c r="AV1013" s="3">
        <f t="shared" ca="1" si="262"/>
        <v>-88.664087136986268</v>
      </c>
    </row>
    <row r="1014" spans="43:48" x14ac:dyDescent="0.2">
      <c r="AQ1014" s="4">
        <f t="shared" ca="1" si="258"/>
        <v>45362</v>
      </c>
      <c r="AR1014" s="3">
        <f t="shared" ca="1" si="260"/>
        <v>743963.0299999998</v>
      </c>
      <c r="AS1014" s="63">
        <f ca="1">IF($AQ1014&lt;&gt;"", INDEX(Inputs!$B$3:$B$101, MATCH($AQ1014,Inputs!$A$3:$A$101,1)), "")</f>
        <v>4.3499999999999997E-2</v>
      </c>
      <c r="AT1014" s="48">
        <f t="shared" ca="1" si="259"/>
        <v>88.664087136986268</v>
      </c>
      <c r="AU1014" s="3">
        <f t="shared" ca="1" si="261"/>
        <v>-88.664087136986268</v>
      </c>
      <c r="AV1014" s="3">
        <f t="shared" ca="1" si="262"/>
        <v>-88.664087136986268</v>
      </c>
    </row>
    <row r="1015" spans="43:48" x14ac:dyDescent="0.2">
      <c r="AQ1015" s="4">
        <f t="shared" ca="1" si="258"/>
        <v>45363</v>
      </c>
      <c r="AR1015" s="3">
        <f t="shared" ca="1" si="260"/>
        <v>743963.0299999998</v>
      </c>
      <c r="AS1015" s="63">
        <f ca="1">IF($AQ1015&lt;&gt;"", INDEX(Inputs!$B$3:$B$101, MATCH($AQ1015,Inputs!$A$3:$A$101,1)), "")</f>
        <v>4.3499999999999997E-2</v>
      </c>
      <c r="AT1015" s="48">
        <f t="shared" ca="1" si="259"/>
        <v>88.664087136986268</v>
      </c>
      <c r="AU1015" s="3">
        <f t="shared" ca="1" si="261"/>
        <v>-88.664087136986268</v>
      </c>
      <c r="AV1015" s="3">
        <f t="shared" ca="1" si="262"/>
        <v>-88.664087136986268</v>
      </c>
    </row>
    <row r="1016" spans="43:48" x14ac:dyDescent="0.2">
      <c r="AQ1016" s="4">
        <f t="shared" ca="1" si="258"/>
        <v>45364</v>
      </c>
      <c r="AR1016" s="3">
        <f t="shared" ca="1" si="260"/>
        <v>743963.0299999998</v>
      </c>
      <c r="AS1016" s="63">
        <f ca="1">IF($AQ1016&lt;&gt;"", INDEX(Inputs!$B$3:$B$101, MATCH($AQ1016,Inputs!$A$3:$A$101,1)), "")</f>
        <v>4.3499999999999997E-2</v>
      </c>
      <c r="AT1016" s="48">
        <f t="shared" ca="1" si="259"/>
        <v>88.664087136986268</v>
      </c>
      <c r="AU1016" s="3">
        <f t="shared" ca="1" si="261"/>
        <v>-88.664087136986268</v>
      </c>
      <c r="AV1016" s="3">
        <f t="shared" ca="1" si="262"/>
        <v>-88.664087136986268</v>
      </c>
    </row>
    <row r="1017" spans="43:48" x14ac:dyDescent="0.2">
      <c r="AQ1017" s="4">
        <f t="shared" ref="AQ1017:AQ1080" ca="1" si="263">IF(AQ1016&lt;$AP$3,AQ1016+1,"")</f>
        <v>45365</v>
      </c>
      <c r="AR1017" s="3">
        <f t="shared" ca="1" si="260"/>
        <v>743963.0299999998</v>
      </c>
      <c r="AS1017" s="63">
        <f ca="1">IF($AQ1017&lt;&gt;"", INDEX(Inputs!$B$3:$B$101, MATCH($AQ1017,Inputs!$A$3:$A$101,1)), "")</f>
        <v>4.3499999999999997E-2</v>
      </c>
      <c r="AT1017" s="48">
        <f t="shared" ref="AT1017:AT1080" ca="1" si="264">IF($AQ1017&lt;&gt;"", AR1017*AS1017/365, "")</f>
        <v>88.664087136986268</v>
      </c>
      <c r="AU1017" s="3">
        <f t="shared" ca="1" si="261"/>
        <v>-88.664087136986268</v>
      </c>
      <c r="AV1017" s="3">
        <f t="shared" ca="1" si="262"/>
        <v>-88.664087136986268</v>
      </c>
    </row>
    <row r="1018" spans="43:48" x14ac:dyDescent="0.2">
      <c r="AQ1018" s="4">
        <f t="shared" ca="1" si="263"/>
        <v>45366</v>
      </c>
      <c r="AR1018" s="3">
        <f t="shared" ca="1" si="260"/>
        <v>743963.0299999998</v>
      </c>
      <c r="AS1018" s="63">
        <f ca="1">IF($AQ1018&lt;&gt;"", INDEX(Inputs!$B$3:$B$101, MATCH($AQ1018,Inputs!$A$3:$A$101,1)), "")</f>
        <v>4.3499999999999997E-2</v>
      </c>
      <c r="AT1018" s="48">
        <f t="shared" ca="1" si="264"/>
        <v>88.664087136986268</v>
      </c>
      <c r="AU1018" s="3">
        <f t="shared" ca="1" si="261"/>
        <v>-88.664087136986268</v>
      </c>
      <c r="AV1018" s="3">
        <f t="shared" ca="1" si="262"/>
        <v>-88.664087136986268</v>
      </c>
    </row>
    <row r="1019" spans="43:48" x14ac:dyDescent="0.2">
      <c r="AQ1019" s="4">
        <f t="shared" ca="1" si="263"/>
        <v>45367</v>
      </c>
      <c r="AR1019" s="3">
        <f t="shared" ca="1" si="260"/>
        <v>743963.0299999998</v>
      </c>
      <c r="AS1019" s="63">
        <f ca="1">IF($AQ1019&lt;&gt;"", INDEX(Inputs!$B$3:$B$101, MATCH($AQ1019,Inputs!$A$3:$A$101,1)), "")</f>
        <v>4.3499999999999997E-2</v>
      </c>
      <c r="AT1019" s="48">
        <f t="shared" ca="1" si="264"/>
        <v>88.664087136986268</v>
      </c>
      <c r="AU1019" s="3">
        <f t="shared" ca="1" si="261"/>
        <v>-88.664087136986268</v>
      </c>
      <c r="AV1019" s="3">
        <f t="shared" ca="1" si="262"/>
        <v>-88.664087136986268</v>
      </c>
    </row>
    <row r="1020" spans="43:48" x14ac:dyDescent="0.2">
      <c r="AQ1020" s="4">
        <f t="shared" ca="1" si="263"/>
        <v>45368</v>
      </c>
      <c r="AR1020" s="3">
        <f t="shared" ca="1" si="260"/>
        <v>743963.0299999998</v>
      </c>
      <c r="AS1020" s="63">
        <f ca="1">IF($AQ1020&lt;&gt;"", INDEX(Inputs!$B$3:$B$101, MATCH($AQ1020,Inputs!$A$3:$A$101,1)), "")</f>
        <v>4.3499999999999997E-2</v>
      </c>
      <c r="AT1020" s="48">
        <f t="shared" ca="1" si="264"/>
        <v>88.664087136986268</v>
      </c>
      <c r="AU1020" s="3">
        <f t="shared" ca="1" si="261"/>
        <v>-88.664087136986268</v>
      </c>
      <c r="AV1020" s="3">
        <f t="shared" ca="1" si="262"/>
        <v>-88.664087136986268</v>
      </c>
    </row>
    <row r="1021" spans="43:48" x14ac:dyDescent="0.2">
      <c r="AQ1021" s="4">
        <f t="shared" ca="1" si="263"/>
        <v>45369</v>
      </c>
      <c r="AR1021" s="3">
        <f t="shared" ca="1" si="260"/>
        <v>756759.7799999998</v>
      </c>
      <c r="AS1021" s="63">
        <f ca="1">IF($AQ1021&lt;&gt;"", INDEX(Inputs!$B$3:$B$101, MATCH($AQ1021,Inputs!$A$3:$A$101,1)), "")</f>
        <v>4.3499999999999997E-2</v>
      </c>
      <c r="AT1021" s="48">
        <f t="shared" ca="1" si="264"/>
        <v>90.189179260273946</v>
      </c>
      <c r="AU1021" s="3">
        <f t="shared" ca="1" si="261"/>
        <v>-12886.939179260275</v>
      </c>
      <c r="AV1021" s="3">
        <f t="shared" ca="1" si="262"/>
        <v>-12886.939179260275</v>
      </c>
    </row>
    <row r="1022" spans="43:48" x14ac:dyDescent="0.2">
      <c r="AQ1022" s="4">
        <f t="shared" ca="1" si="263"/>
        <v>45370</v>
      </c>
      <c r="AR1022" s="3">
        <f t="shared" ca="1" si="260"/>
        <v>756759.7799999998</v>
      </c>
      <c r="AS1022" s="63">
        <f ca="1">IF($AQ1022&lt;&gt;"", INDEX(Inputs!$B$3:$B$101, MATCH($AQ1022,Inputs!$A$3:$A$101,1)), "")</f>
        <v>4.3499999999999997E-2</v>
      </c>
      <c r="AT1022" s="48">
        <f t="shared" ca="1" si="264"/>
        <v>90.189179260273946</v>
      </c>
      <c r="AU1022" s="3">
        <f t="shared" ca="1" si="261"/>
        <v>-90.189179260273946</v>
      </c>
      <c r="AV1022" s="3">
        <f t="shared" ca="1" si="262"/>
        <v>-90.189179260273946</v>
      </c>
    </row>
    <row r="1023" spans="43:48" x14ac:dyDescent="0.2">
      <c r="AQ1023" s="4">
        <f t="shared" ca="1" si="263"/>
        <v>45371</v>
      </c>
      <c r="AR1023" s="3">
        <f t="shared" ca="1" si="260"/>
        <v>756759.7799999998</v>
      </c>
      <c r="AS1023" s="63">
        <f ca="1">IF($AQ1023&lt;&gt;"", INDEX(Inputs!$B$3:$B$101, MATCH($AQ1023,Inputs!$A$3:$A$101,1)), "")</f>
        <v>4.3499999999999997E-2</v>
      </c>
      <c r="AT1023" s="48">
        <f t="shared" ca="1" si="264"/>
        <v>90.189179260273946</v>
      </c>
      <c r="AU1023" s="3">
        <f t="shared" ca="1" si="261"/>
        <v>-90.189179260273946</v>
      </c>
      <c r="AV1023" s="3">
        <f t="shared" ca="1" si="262"/>
        <v>-90.189179260273946</v>
      </c>
    </row>
    <row r="1024" spans="43:48" x14ac:dyDescent="0.2">
      <c r="AQ1024" s="4">
        <f t="shared" ca="1" si="263"/>
        <v>45372</v>
      </c>
      <c r="AR1024" s="3">
        <f t="shared" ca="1" si="260"/>
        <v>756759.7799999998</v>
      </c>
      <c r="AS1024" s="63">
        <f ca="1">IF($AQ1024&lt;&gt;"", INDEX(Inputs!$B$3:$B$101, MATCH($AQ1024,Inputs!$A$3:$A$101,1)), "")</f>
        <v>4.3499999999999997E-2</v>
      </c>
      <c r="AT1024" s="48">
        <f t="shared" ca="1" si="264"/>
        <v>90.189179260273946</v>
      </c>
      <c r="AU1024" s="3">
        <f t="shared" ca="1" si="261"/>
        <v>-90.189179260273946</v>
      </c>
      <c r="AV1024" s="3">
        <f t="shared" ca="1" si="262"/>
        <v>-90.189179260273946</v>
      </c>
    </row>
    <row r="1025" spans="43:48" x14ac:dyDescent="0.2">
      <c r="AQ1025" s="4">
        <f t="shared" ca="1" si="263"/>
        <v>45373</v>
      </c>
      <c r="AR1025" s="3">
        <f t="shared" ca="1" si="260"/>
        <v>756759.7799999998</v>
      </c>
      <c r="AS1025" s="63">
        <f ca="1">IF($AQ1025&lt;&gt;"", INDEX(Inputs!$B$3:$B$101, MATCH($AQ1025,Inputs!$A$3:$A$101,1)), "")</f>
        <v>4.3499999999999997E-2</v>
      </c>
      <c r="AT1025" s="48">
        <f t="shared" ca="1" si="264"/>
        <v>90.189179260273946</v>
      </c>
      <c r="AU1025" s="3">
        <f t="shared" ca="1" si="261"/>
        <v>-90.189179260273946</v>
      </c>
      <c r="AV1025" s="3">
        <f t="shared" ca="1" si="262"/>
        <v>-90.189179260273946</v>
      </c>
    </row>
    <row r="1026" spans="43:48" x14ac:dyDescent="0.2">
      <c r="AQ1026" s="4">
        <f t="shared" ca="1" si="263"/>
        <v>45374</v>
      </c>
      <c r="AR1026" s="3">
        <f t="shared" ca="1" si="260"/>
        <v>756759.7799999998</v>
      </c>
      <c r="AS1026" s="63">
        <f ca="1">IF($AQ1026&lt;&gt;"", INDEX(Inputs!$B$3:$B$101, MATCH($AQ1026,Inputs!$A$3:$A$101,1)), "")</f>
        <v>4.3499999999999997E-2</v>
      </c>
      <c r="AT1026" s="48">
        <f t="shared" ca="1" si="264"/>
        <v>90.189179260273946</v>
      </c>
      <c r="AU1026" s="3">
        <f t="shared" ca="1" si="261"/>
        <v>-90.189179260273946</v>
      </c>
      <c r="AV1026" s="3">
        <f t="shared" ca="1" si="262"/>
        <v>-90.189179260273946</v>
      </c>
    </row>
    <row r="1027" spans="43:48" x14ac:dyDescent="0.2">
      <c r="AQ1027" s="4">
        <f t="shared" ca="1" si="263"/>
        <v>45375</v>
      </c>
      <c r="AR1027" s="3">
        <f t="shared" ca="1" si="260"/>
        <v>756759.7799999998</v>
      </c>
      <c r="AS1027" s="63">
        <f ca="1">IF($AQ1027&lt;&gt;"", INDEX(Inputs!$B$3:$B$101, MATCH($AQ1027,Inputs!$A$3:$A$101,1)), "")</f>
        <v>4.3499999999999997E-2</v>
      </c>
      <c r="AT1027" s="48">
        <f t="shared" ca="1" si="264"/>
        <v>90.189179260273946</v>
      </c>
      <c r="AU1027" s="3">
        <f t="shared" ca="1" si="261"/>
        <v>-90.189179260273946</v>
      </c>
      <c r="AV1027" s="3">
        <f t="shared" ca="1" si="262"/>
        <v>-90.189179260273946</v>
      </c>
    </row>
    <row r="1028" spans="43:48" x14ac:dyDescent="0.2">
      <c r="AQ1028" s="4">
        <f t="shared" ca="1" si="263"/>
        <v>45376</v>
      </c>
      <c r="AR1028" s="3">
        <f t="shared" ca="1" si="260"/>
        <v>756759.7799999998</v>
      </c>
      <c r="AS1028" s="63">
        <f ca="1">IF($AQ1028&lt;&gt;"", INDEX(Inputs!$B$3:$B$101, MATCH($AQ1028,Inputs!$A$3:$A$101,1)), "")</f>
        <v>4.3499999999999997E-2</v>
      </c>
      <c r="AT1028" s="48">
        <f t="shared" ca="1" si="264"/>
        <v>90.189179260273946</v>
      </c>
      <c r="AU1028" s="3">
        <f t="shared" ca="1" si="261"/>
        <v>-90.189179260273946</v>
      </c>
      <c r="AV1028" s="3">
        <f t="shared" ca="1" si="262"/>
        <v>-90.189179260273946</v>
      </c>
    </row>
    <row r="1029" spans="43:48" x14ac:dyDescent="0.2">
      <c r="AQ1029" s="4">
        <f t="shared" ca="1" si="263"/>
        <v>45377</v>
      </c>
      <c r="AR1029" s="3">
        <f t="shared" ca="1" si="260"/>
        <v>756759.7799999998</v>
      </c>
      <c r="AS1029" s="63">
        <f ca="1">IF($AQ1029&lt;&gt;"", INDEX(Inputs!$B$3:$B$101, MATCH($AQ1029,Inputs!$A$3:$A$101,1)), "")</f>
        <v>4.3499999999999997E-2</v>
      </c>
      <c r="AT1029" s="48">
        <f t="shared" ca="1" si="264"/>
        <v>90.189179260273946</v>
      </c>
      <c r="AU1029" s="3">
        <f t="shared" ca="1" si="261"/>
        <v>-90.189179260273946</v>
      </c>
      <c r="AV1029" s="3">
        <f t="shared" ca="1" si="262"/>
        <v>-90.189179260273946</v>
      </c>
    </row>
    <row r="1030" spans="43:48" x14ac:dyDescent="0.2">
      <c r="AQ1030" s="4">
        <f t="shared" ca="1" si="263"/>
        <v>45378</v>
      </c>
      <c r="AR1030" s="3">
        <f t="shared" ca="1" si="260"/>
        <v>756759.7799999998</v>
      </c>
      <c r="AS1030" s="63">
        <f ca="1">IF($AQ1030&lt;&gt;"", INDEX(Inputs!$B$3:$B$101, MATCH($AQ1030,Inputs!$A$3:$A$101,1)), "")</f>
        <v>4.3499999999999997E-2</v>
      </c>
      <c r="AT1030" s="48">
        <f t="shared" ca="1" si="264"/>
        <v>90.189179260273946</v>
      </c>
      <c r="AU1030" s="3">
        <f t="shared" ca="1" si="261"/>
        <v>-90.189179260273946</v>
      </c>
      <c r="AV1030" s="3">
        <f t="shared" ca="1" si="262"/>
        <v>-90.189179260273946</v>
      </c>
    </row>
    <row r="1031" spans="43:48" x14ac:dyDescent="0.2">
      <c r="AQ1031" s="4">
        <f t="shared" ca="1" si="263"/>
        <v>45379</v>
      </c>
      <c r="AR1031" s="3">
        <f t="shared" ca="1" si="260"/>
        <v>752286.98999999987</v>
      </c>
      <c r="AS1031" s="63">
        <f ca="1">IF($AQ1031&lt;&gt;"", INDEX(Inputs!$B$3:$B$101, MATCH($AQ1031,Inputs!$A$3:$A$101,1)), "")</f>
        <v>4.3499999999999997E-2</v>
      </c>
      <c r="AT1031" s="48">
        <f t="shared" ca="1" si="264"/>
        <v>89.656120726027382</v>
      </c>
      <c r="AU1031" s="3">
        <f t="shared" ca="1" si="261"/>
        <v>-317.05612072602742</v>
      </c>
      <c r="AV1031" s="3">
        <f t="shared" ca="1" si="262"/>
        <v>-317.05612072602742</v>
      </c>
    </row>
    <row r="1032" spans="43:48" x14ac:dyDescent="0.2">
      <c r="AQ1032" s="4">
        <f t="shared" ca="1" si="263"/>
        <v>45380</v>
      </c>
      <c r="AR1032" s="3">
        <f t="shared" ca="1" si="260"/>
        <v>752286.98999999987</v>
      </c>
      <c r="AS1032" s="63">
        <f ca="1">IF($AQ1032&lt;&gt;"", INDEX(Inputs!$B$3:$B$101, MATCH($AQ1032,Inputs!$A$3:$A$101,1)), "")</f>
        <v>4.3499999999999997E-2</v>
      </c>
      <c r="AT1032" s="48">
        <f t="shared" ca="1" si="264"/>
        <v>89.656120726027382</v>
      </c>
      <c r="AU1032" s="3">
        <f t="shared" ca="1" si="261"/>
        <v>-89.656120726027382</v>
      </c>
      <c r="AV1032" s="3">
        <f t="shared" ca="1" si="262"/>
        <v>-89.656120726027382</v>
      </c>
    </row>
    <row r="1033" spans="43:48" x14ac:dyDescent="0.2">
      <c r="AQ1033" s="4">
        <f t="shared" ca="1" si="263"/>
        <v>45381</v>
      </c>
      <c r="AR1033" s="3">
        <f t="shared" ca="1" si="260"/>
        <v>752286.98999999987</v>
      </c>
      <c r="AS1033" s="63">
        <f ca="1">IF($AQ1033&lt;&gt;"", INDEX(Inputs!$B$3:$B$101, MATCH($AQ1033,Inputs!$A$3:$A$101,1)), "")</f>
        <v>4.3499999999999997E-2</v>
      </c>
      <c r="AT1033" s="48">
        <f t="shared" ca="1" si="264"/>
        <v>89.656120726027382</v>
      </c>
      <c r="AU1033" s="3">
        <f t="shared" ca="1" si="261"/>
        <v>-89.656120726027382</v>
      </c>
      <c r="AV1033" s="3">
        <f t="shared" ca="1" si="262"/>
        <v>-89.656120726027382</v>
      </c>
    </row>
    <row r="1034" spans="43:48" x14ac:dyDescent="0.2">
      <c r="AQ1034" s="4">
        <f t="shared" ca="1" si="263"/>
        <v>45382</v>
      </c>
      <c r="AR1034" s="3">
        <f t="shared" ca="1" si="260"/>
        <v>752286.98999999987</v>
      </c>
      <c r="AS1034" s="63">
        <f ca="1">IF($AQ1034&lt;&gt;"", INDEX(Inputs!$B$3:$B$101, MATCH($AQ1034,Inputs!$A$3:$A$101,1)), "")</f>
        <v>4.3499999999999997E-2</v>
      </c>
      <c r="AT1034" s="48">
        <f t="shared" ca="1" si="264"/>
        <v>89.656120726027382</v>
      </c>
      <c r="AU1034" s="3">
        <f t="shared" ca="1" si="261"/>
        <v>-89.656120726027382</v>
      </c>
      <c r="AV1034" s="3">
        <f t="shared" ca="1" si="262"/>
        <v>-89.656120726027382</v>
      </c>
    </row>
    <row r="1035" spans="43:48" x14ac:dyDescent="0.2">
      <c r="AQ1035" s="4">
        <f t="shared" ca="1" si="263"/>
        <v>45383</v>
      </c>
      <c r="AR1035" s="3">
        <f t="shared" ca="1" si="260"/>
        <v>752286.98999999987</v>
      </c>
      <c r="AS1035" s="63">
        <f ca="1">IF($AQ1035&lt;&gt;"", INDEX(Inputs!$B$3:$B$101, MATCH($AQ1035,Inputs!$A$3:$A$101,1)), "")</f>
        <v>4.3499999999999997E-2</v>
      </c>
      <c r="AT1035" s="48">
        <f t="shared" ca="1" si="264"/>
        <v>89.656120726027382</v>
      </c>
      <c r="AU1035" s="3">
        <f t="shared" ca="1" si="261"/>
        <v>-89.656120726027382</v>
      </c>
      <c r="AV1035" s="3">
        <f t="shared" ca="1" si="262"/>
        <v>-89.656120726027382</v>
      </c>
    </row>
    <row r="1036" spans="43:48" x14ac:dyDescent="0.2">
      <c r="AQ1036" s="4">
        <f t="shared" ca="1" si="263"/>
        <v>45384</v>
      </c>
      <c r="AR1036" s="3">
        <f t="shared" ca="1" si="260"/>
        <v>752286.98999999987</v>
      </c>
      <c r="AS1036" s="63">
        <f ca="1">IF($AQ1036&lt;&gt;"", INDEX(Inputs!$B$3:$B$101, MATCH($AQ1036,Inputs!$A$3:$A$101,1)), "")</f>
        <v>4.3499999999999997E-2</v>
      </c>
      <c r="AT1036" s="48">
        <f t="shared" ca="1" si="264"/>
        <v>89.656120726027382</v>
      </c>
      <c r="AU1036" s="3">
        <f t="shared" ca="1" si="261"/>
        <v>10310.343879273973</v>
      </c>
      <c r="AV1036" s="3">
        <f t="shared" ca="1" si="262"/>
        <v>10310.343879273973</v>
      </c>
    </row>
    <row r="1037" spans="43:48" x14ac:dyDescent="0.2">
      <c r="AQ1037" s="4">
        <f t="shared" ca="1" si="263"/>
        <v>45385</v>
      </c>
      <c r="AR1037" s="3">
        <f t="shared" ca="1" si="260"/>
        <v>752286.98999999987</v>
      </c>
      <c r="AS1037" s="63">
        <f ca="1">IF($AQ1037&lt;&gt;"", INDEX(Inputs!$B$3:$B$101, MATCH($AQ1037,Inputs!$A$3:$A$101,1)), "")</f>
        <v>4.3499999999999997E-2</v>
      </c>
      <c r="AT1037" s="48">
        <f t="shared" ca="1" si="264"/>
        <v>89.656120726027382</v>
      </c>
      <c r="AU1037" s="3">
        <f t="shared" ca="1" si="261"/>
        <v>-89.656120726027382</v>
      </c>
      <c r="AV1037" s="3">
        <f t="shared" ca="1" si="262"/>
        <v>-89.656120726027382</v>
      </c>
    </row>
    <row r="1038" spans="43:48" x14ac:dyDescent="0.2">
      <c r="AQ1038" s="4">
        <f t="shared" ca="1" si="263"/>
        <v>45386</v>
      </c>
      <c r="AR1038" s="3">
        <f t="shared" ca="1" si="260"/>
        <v>752286.98999999987</v>
      </c>
      <c r="AS1038" s="63">
        <f ca="1">IF($AQ1038&lt;&gt;"", INDEX(Inputs!$B$3:$B$101, MATCH($AQ1038,Inputs!$A$3:$A$101,1)), "")</f>
        <v>4.3499999999999997E-2</v>
      </c>
      <c r="AT1038" s="48">
        <f t="shared" ca="1" si="264"/>
        <v>89.656120726027382</v>
      </c>
      <c r="AU1038" s="3">
        <f t="shared" ca="1" si="261"/>
        <v>-89.656120726027382</v>
      </c>
      <c r="AV1038" s="3">
        <f t="shared" ca="1" si="262"/>
        <v>-89.656120726027382</v>
      </c>
    </row>
    <row r="1039" spans="43:48" x14ac:dyDescent="0.2">
      <c r="AQ1039" s="4">
        <f t="shared" ca="1" si="263"/>
        <v>45387</v>
      </c>
      <c r="AR1039" s="3">
        <f t="shared" ca="1" si="260"/>
        <v>752286.98999999987</v>
      </c>
      <c r="AS1039" s="63">
        <f ca="1">IF($AQ1039&lt;&gt;"", INDEX(Inputs!$B$3:$B$101, MATCH($AQ1039,Inputs!$A$3:$A$101,1)), "")</f>
        <v>4.3499999999999997E-2</v>
      </c>
      <c r="AT1039" s="48">
        <f t="shared" ca="1" si="264"/>
        <v>89.656120726027382</v>
      </c>
      <c r="AU1039" s="3">
        <f t="shared" ca="1" si="261"/>
        <v>-89.656120726027382</v>
      </c>
      <c r="AV1039" s="3">
        <f t="shared" ca="1" si="262"/>
        <v>-89.656120726027382</v>
      </c>
    </row>
    <row r="1040" spans="43:48" x14ac:dyDescent="0.2">
      <c r="AQ1040" s="4">
        <f t="shared" ca="1" si="263"/>
        <v>45388</v>
      </c>
      <c r="AR1040" s="3">
        <f t="shared" ca="1" si="260"/>
        <v>752286.98999999987</v>
      </c>
      <c r="AS1040" s="63">
        <f ca="1">IF($AQ1040&lt;&gt;"", INDEX(Inputs!$B$3:$B$101, MATCH($AQ1040,Inputs!$A$3:$A$101,1)), "")</f>
        <v>4.3499999999999997E-2</v>
      </c>
      <c r="AT1040" s="48">
        <f t="shared" ca="1" si="264"/>
        <v>89.656120726027382</v>
      </c>
      <c r="AU1040" s="3">
        <f t="shared" ca="1" si="261"/>
        <v>-89.656120726027382</v>
      </c>
      <c r="AV1040" s="3">
        <f t="shared" ca="1" si="262"/>
        <v>-89.656120726027382</v>
      </c>
    </row>
    <row r="1041" spans="43:48" x14ac:dyDescent="0.2">
      <c r="AQ1041" s="4">
        <f t="shared" ca="1" si="263"/>
        <v>45389</v>
      </c>
      <c r="AR1041" s="3">
        <f t="shared" ca="1" si="260"/>
        <v>752286.98999999987</v>
      </c>
      <c r="AS1041" s="63">
        <f ca="1">IF($AQ1041&lt;&gt;"", INDEX(Inputs!$B$3:$B$101, MATCH($AQ1041,Inputs!$A$3:$A$101,1)), "")</f>
        <v>4.3499999999999997E-2</v>
      </c>
      <c r="AT1041" s="48">
        <f t="shared" ca="1" si="264"/>
        <v>89.656120726027382</v>
      </c>
      <c r="AU1041" s="3">
        <f t="shared" ca="1" si="261"/>
        <v>-89.656120726027382</v>
      </c>
      <c r="AV1041" s="3">
        <f t="shared" ca="1" si="262"/>
        <v>-89.656120726027382</v>
      </c>
    </row>
    <row r="1042" spans="43:48" x14ac:dyDescent="0.2">
      <c r="AQ1042" s="4">
        <f t="shared" ca="1" si="263"/>
        <v>45390</v>
      </c>
      <c r="AR1042" s="3">
        <f t="shared" ca="1" si="260"/>
        <v>752286.98999999987</v>
      </c>
      <c r="AS1042" s="63">
        <f ca="1">IF($AQ1042&lt;&gt;"", INDEX(Inputs!$B$3:$B$101, MATCH($AQ1042,Inputs!$A$3:$A$101,1)), "")</f>
        <v>4.3499999999999997E-2</v>
      </c>
      <c r="AT1042" s="48">
        <f t="shared" ca="1" si="264"/>
        <v>89.656120726027382</v>
      </c>
      <c r="AU1042" s="3">
        <f t="shared" ca="1" si="261"/>
        <v>-89.656120726027382</v>
      </c>
      <c r="AV1042" s="3">
        <f t="shared" ca="1" si="262"/>
        <v>-89.656120726027382</v>
      </c>
    </row>
    <row r="1043" spans="43:48" x14ac:dyDescent="0.2">
      <c r="AQ1043" s="4">
        <f t="shared" ca="1" si="263"/>
        <v>45391</v>
      </c>
      <c r="AR1043" s="3">
        <f t="shared" ca="1" si="260"/>
        <v>752286.98999999987</v>
      </c>
      <c r="AS1043" s="63">
        <f ca="1">IF($AQ1043&lt;&gt;"", INDEX(Inputs!$B$3:$B$101, MATCH($AQ1043,Inputs!$A$3:$A$101,1)), "")</f>
        <v>4.3499999999999997E-2</v>
      </c>
      <c r="AT1043" s="48">
        <f t="shared" ca="1" si="264"/>
        <v>89.656120726027382</v>
      </c>
      <c r="AU1043" s="3">
        <f t="shared" ca="1" si="261"/>
        <v>-89.656120726027382</v>
      </c>
      <c r="AV1043" s="3">
        <f t="shared" ca="1" si="262"/>
        <v>-89.656120726027382</v>
      </c>
    </row>
    <row r="1044" spans="43:48" x14ac:dyDescent="0.2">
      <c r="AQ1044" s="4">
        <f t="shared" ca="1" si="263"/>
        <v>45392</v>
      </c>
      <c r="AR1044" s="3">
        <f t="shared" ca="1" si="260"/>
        <v>752286.98999999987</v>
      </c>
      <c r="AS1044" s="63">
        <f ca="1">IF($AQ1044&lt;&gt;"", INDEX(Inputs!$B$3:$B$101, MATCH($AQ1044,Inputs!$A$3:$A$101,1)), "")</f>
        <v>4.3499999999999997E-2</v>
      </c>
      <c r="AT1044" s="48">
        <f t="shared" ca="1" si="264"/>
        <v>89.656120726027382</v>
      </c>
      <c r="AU1044" s="3">
        <f t="shared" ca="1" si="261"/>
        <v>-89.656120726027382</v>
      </c>
      <c r="AV1044" s="3">
        <f t="shared" ca="1" si="262"/>
        <v>-89.656120726027382</v>
      </c>
    </row>
    <row r="1045" spans="43:48" x14ac:dyDescent="0.2">
      <c r="AQ1045" s="4">
        <f t="shared" ca="1" si="263"/>
        <v>45393</v>
      </c>
      <c r="AR1045" s="3">
        <f t="shared" ca="1" si="260"/>
        <v>752286.98999999987</v>
      </c>
      <c r="AS1045" s="63">
        <f ca="1">IF($AQ1045&lt;&gt;"", INDEX(Inputs!$B$3:$B$101, MATCH($AQ1045,Inputs!$A$3:$A$101,1)), "")</f>
        <v>4.3499999999999997E-2</v>
      </c>
      <c r="AT1045" s="48">
        <f t="shared" ca="1" si="264"/>
        <v>89.656120726027382</v>
      </c>
      <c r="AU1045" s="3">
        <f t="shared" ca="1" si="261"/>
        <v>-89.656120726027382</v>
      </c>
      <c r="AV1045" s="3">
        <f t="shared" ca="1" si="262"/>
        <v>-89.656120726027382</v>
      </c>
    </row>
    <row r="1046" spans="43:48" x14ac:dyDescent="0.2">
      <c r="AQ1046" s="4">
        <f t="shared" ca="1" si="263"/>
        <v>45394</v>
      </c>
      <c r="AR1046" s="3">
        <f t="shared" ca="1" si="260"/>
        <v>752286.98999999987</v>
      </c>
      <c r="AS1046" s="63">
        <f ca="1">IF($AQ1046&lt;&gt;"", INDEX(Inputs!$B$3:$B$101, MATCH($AQ1046,Inputs!$A$3:$A$101,1)), "")</f>
        <v>4.3499999999999997E-2</v>
      </c>
      <c r="AT1046" s="48">
        <f t="shared" ca="1" si="264"/>
        <v>89.656120726027382</v>
      </c>
      <c r="AU1046" s="3">
        <f t="shared" ca="1" si="261"/>
        <v>-89.656120726027382</v>
      </c>
      <c r="AV1046" s="3">
        <f t="shared" ca="1" si="262"/>
        <v>-89.656120726027382</v>
      </c>
    </row>
    <row r="1047" spans="43:48" x14ac:dyDescent="0.2">
      <c r="AQ1047" s="4">
        <f t="shared" ca="1" si="263"/>
        <v>45395</v>
      </c>
      <c r="AR1047" s="3">
        <f t="shared" ca="1" si="260"/>
        <v>752286.98999999987</v>
      </c>
      <c r="AS1047" s="63">
        <f ca="1">IF($AQ1047&lt;&gt;"", INDEX(Inputs!$B$3:$B$101, MATCH($AQ1047,Inputs!$A$3:$A$101,1)), "")</f>
        <v>4.3499999999999997E-2</v>
      </c>
      <c r="AT1047" s="48">
        <f t="shared" ca="1" si="264"/>
        <v>89.656120726027382</v>
      </c>
      <c r="AU1047" s="3">
        <f t="shared" ca="1" si="261"/>
        <v>-89.656120726027382</v>
      </c>
      <c r="AV1047" s="3">
        <f t="shared" ca="1" si="262"/>
        <v>-89.656120726027382</v>
      </c>
    </row>
    <row r="1048" spans="43:48" x14ac:dyDescent="0.2">
      <c r="AQ1048" s="4">
        <f t="shared" ca="1" si="263"/>
        <v>45396</v>
      </c>
      <c r="AR1048" s="3">
        <f t="shared" ca="1" si="260"/>
        <v>752286.98999999987</v>
      </c>
      <c r="AS1048" s="63">
        <f ca="1">IF($AQ1048&lt;&gt;"", INDEX(Inputs!$B$3:$B$101, MATCH($AQ1048,Inputs!$A$3:$A$101,1)), "")</f>
        <v>4.3499999999999997E-2</v>
      </c>
      <c r="AT1048" s="48">
        <f t="shared" ca="1" si="264"/>
        <v>89.656120726027382</v>
      </c>
      <c r="AU1048" s="3">
        <f t="shared" ca="1" si="261"/>
        <v>-89.656120726027382</v>
      </c>
      <c r="AV1048" s="3">
        <f t="shared" ca="1" si="262"/>
        <v>-89.656120726027382</v>
      </c>
    </row>
    <row r="1049" spans="43:48" x14ac:dyDescent="0.2">
      <c r="AQ1049" s="4">
        <f t="shared" ca="1" si="263"/>
        <v>45397</v>
      </c>
      <c r="AR1049" s="3">
        <f t="shared" ref="AR1049:AR1112" ca="1" si="265">IF($AQ1049&lt;&gt;"", INDEX($AC$3:$AC$1055, MATCH($AQ1049,$A$3:$A$1055,1)), "")</f>
        <v>752286.98999999987</v>
      </c>
      <c r="AS1049" s="63">
        <f ca="1">IF($AQ1049&lt;&gt;"", INDEX(Inputs!$B$3:$B$101, MATCH($AQ1049,Inputs!$A$3:$A$101,1)), "")</f>
        <v>4.3499999999999997E-2</v>
      </c>
      <c r="AT1049" s="48">
        <f t="shared" ca="1" si="264"/>
        <v>89.656120726027382</v>
      </c>
      <c r="AU1049" s="3">
        <f t="shared" ref="AU1049:AU1112" ca="1" si="266">IF($AQ1049&lt;&gt;"", SUMIFS($AL$3:$AL$1054, $A$3:$A$1054,$AQ1049) + SUMIFS($M$3:$M$1054, $A$3:$A$1054,$AQ1049)*IFERROR(AVERAGEIFS($L$3:$L$1054, $A$3:$A$1054,$AQ1049, $M$3:$M$1054,"&gt;0"),0) - AT1049, "")</f>
        <v>-89.656120726027382</v>
      </c>
      <c r="AV1049" s="3">
        <f t="shared" ca="1" si="262"/>
        <v>-89.656120726027382</v>
      </c>
    </row>
    <row r="1050" spans="43:48" x14ac:dyDescent="0.2">
      <c r="AQ1050" s="4">
        <f t="shared" ca="1" si="263"/>
        <v>45398</v>
      </c>
      <c r="AR1050" s="3">
        <f t="shared" ca="1" si="265"/>
        <v>765083.73999999987</v>
      </c>
      <c r="AS1050" s="63">
        <f ca="1">IF($AQ1050&lt;&gt;"", INDEX(Inputs!$B$3:$B$101, MATCH($AQ1050,Inputs!$A$3:$A$101,1)), "")</f>
        <v>4.3499999999999997E-2</v>
      </c>
      <c r="AT1050" s="48">
        <f t="shared" ca="1" si="264"/>
        <v>91.181212849315045</v>
      </c>
      <c r="AU1050" s="3">
        <f t="shared" ca="1" si="266"/>
        <v>-12887.931212849315</v>
      </c>
      <c r="AV1050" s="3">
        <f t="shared" ca="1" si="262"/>
        <v>-12887.931212849315</v>
      </c>
    </row>
    <row r="1051" spans="43:48" x14ac:dyDescent="0.2">
      <c r="AQ1051" s="4">
        <f t="shared" ca="1" si="263"/>
        <v>45399</v>
      </c>
      <c r="AR1051" s="3">
        <f t="shared" ca="1" si="265"/>
        <v>765083.73999999987</v>
      </c>
      <c r="AS1051" s="63">
        <f ca="1">IF($AQ1051&lt;&gt;"", INDEX(Inputs!$B$3:$B$101, MATCH($AQ1051,Inputs!$A$3:$A$101,1)), "")</f>
        <v>4.3499999999999997E-2</v>
      </c>
      <c r="AT1051" s="48">
        <f t="shared" ca="1" si="264"/>
        <v>91.181212849315045</v>
      </c>
      <c r="AU1051" s="3">
        <f t="shared" ca="1" si="266"/>
        <v>-91.181212849315045</v>
      </c>
      <c r="AV1051" s="3">
        <f t="shared" ca="1" si="262"/>
        <v>-91.181212849315045</v>
      </c>
    </row>
    <row r="1052" spans="43:48" x14ac:dyDescent="0.2">
      <c r="AQ1052" s="4">
        <f t="shared" ca="1" si="263"/>
        <v>45400</v>
      </c>
      <c r="AR1052" s="3">
        <f t="shared" ca="1" si="265"/>
        <v>765083.73999999987</v>
      </c>
      <c r="AS1052" s="63">
        <f ca="1">IF($AQ1052&lt;&gt;"", INDEX(Inputs!$B$3:$B$101, MATCH($AQ1052,Inputs!$A$3:$A$101,1)), "")</f>
        <v>4.3499999999999997E-2</v>
      </c>
      <c r="AT1052" s="48">
        <f t="shared" ca="1" si="264"/>
        <v>91.181212849315045</v>
      </c>
      <c r="AU1052" s="3">
        <f t="shared" ca="1" si="266"/>
        <v>-91.181212849315045</v>
      </c>
      <c r="AV1052" s="3">
        <f t="shared" ca="1" si="262"/>
        <v>-91.181212849315045</v>
      </c>
    </row>
    <row r="1053" spans="43:48" x14ac:dyDescent="0.2">
      <c r="AQ1053" s="4">
        <f t="shared" ca="1" si="263"/>
        <v>45401</v>
      </c>
      <c r="AR1053" s="3">
        <f t="shared" ca="1" si="265"/>
        <v>765083.73999999987</v>
      </c>
      <c r="AS1053" s="63">
        <f ca="1">IF($AQ1053&lt;&gt;"", INDEX(Inputs!$B$3:$B$101, MATCH($AQ1053,Inputs!$A$3:$A$101,1)), "")</f>
        <v>4.3499999999999997E-2</v>
      </c>
      <c r="AT1053" s="48">
        <f t="shared" ca="1" si="264"/>
        <v>91.181212849315045</v>
      </c>
      <c r="AU1053" s="3">
        <f t="shared" ca="1" si="266"/>
        <v>-91.181212849315045</v>
      </c>
      <c r="AV1053" s="3">
        <f t="shared" ca="1" si="262"/>
        <v>-91.181212849315045</v>
      </c>
    </row>
    <row r="1054" spans="43:48" x14ac:dyDescent="0.2">
      <c r="AQ1054" s="4">
        <f t="shared" ca="1" si="263"/>
        <v>45402</v>
      </c>
      <c r="AR1054" s="3">
        <f t="shared" ca="1" si="265"/>
        <v>765083.73999999987</v>
      </c>
      <c r="AS1054" s="63">
        <f ca="1">IF($AQ1054&lt;&gt;"", INDEX(Inputs!$B$3:$B$101, MATCH($AQ1054,Inputs!$A$3:$A$101,1)), "")</f>
        <v>4.3499999999999997E-2</v>
      </c>
      <c r="AT1054" s="48">
        <f t="shared" ca="1" si="264"/>
        <v>91.181212849315045</v>
      </c>
      <c r="AU1054" s="3">
        <f t="shared" ca="1" si="266"/>
        <v>-91.181212849315045</v>
      </c>
      <c r="AV1054" s="3">
        <f t="shared" ca="1" si="262"/>
        <v>-91.181212849315045</v>
      </c>
    </row>
    <row r="1055" spans="43:48" x14ac:dyDescent="0.2">
      <c r="AQ1055" s="4">
        <f t="shared" ca="1" si="263"/>
        <v>45403</v>
      </c>
      <c r="AR1055" s="3">
        <f t="shared" ca="1" si="265"/>
        <v>765083.73999999987</v>
      </c>
      <c r="AS1055" s="63">
        <f ca="1">IF($AQ1055&lt;&gt;"", INDEX(Inputs!$B$3:$B$101, MATCH($AQ1055,Inputs!$A$3:$A$101,1)), "")</f>
        <v>4.3499999999999997E-2</v>
      </c>
      <c r="AT1055" s="48">
        <f t="shared" ca="1" si="264"/>
        <v>91.181212849315045</v>
      </c>
      <c r="AU1055" s="3">
        <f t="shared" ca="1" si="266"/>
        <v>-91.181212849315045</v>
      </c>
      <c r="AV1055" s="3">
        <f t="shared" ca="1" si="262"/>
        <v>-91.181212849315045</v>
      </c>
    </row>
    <row r="1056" spans="43:48" x14ac:dyDescent="0.2">
      <c r="AQ1056" s="4">
        <f t="shared" ca="1" si="263"/>
        <v>45404</v>
      </c>
      <c r="AR1056" s="3">
        <f t="shared" ca="1" si="265"/>
        <v>765083.73999999987</v>
      </c>
      <c r="AS1056" s="63">
        <f ca="1">IF($AQ1056&lt;&gt;"", INDEX(Inputs!$B$3:$B$101, MATCH($AQ1056,Inputs!$A$3:$A$101,1)), "")</f>
        <v>4.3499999999999997E-2</v>
      </c>
      <c r="AT1056" s="48">
        <f t="shared" ca="1" si="264"/>
        <v>91.181212849315045</v>
      </c>
      <c r="AU1056" s="3">
        <f t="shared" ca="1" si="266"/>
        <v>-91.181212849315045</v>
      </c>
      <c r="AV1056" s="3">
        <f t="shared" ref="AV1056:AV1119" ca="1" si="267">IF(AQ1056&lt;&gt;"", AU1056*(1+$X$9/CompoundingRate)^-((AQ1056-AQ$3)/(365/CompoundingRate)), "")</f>
        <v>-91.181212849315045</v>
      </c>
    </row>
    <row r="1057" spans="43:48" x14ac:dyDescent="0.2">
      <c r="AQ1057" s="4">
        <f t="shared" ca="1" si="263"/>
        <v>45405</v>
      </c>
      <c r="AR1057" s="3">
        <f t="shared" ca="1" si="265"/>
        <v>765083.73999999987</v>
      </c>
      <c r="AS1057" s="63">
        <f ca="1">IF($AQ1057&lt;&gt;"", INDEX(Inputs!$B$3:$B$101, MATCH($AQ1057,Inputs!$A$3:$A$101,1)), "")</f>
        <v>4.3499999999999997E-2</v>
      </c>
      <c r="AT1057" s="48">
        <f t="shared" ca="1" si="264"/>
        <v>91.181212849315045</v>
      </c>
      <c r="AU1057" s="3">
        <f t="shared" ca="1" si="266"/>
        <v>-91.181212849315045</v>
      </c>
      <c r="AV1057" s="3">
        <f t="shared" ca="1" si="267"/>
        <v>-91.181212849315045</v>
      </c>
    </row>
    <row r="1058" spans="43:48" x14ac:dyDescent="0.2">
      <c r="AQ1058" s="4">
        <f t="shared" ca="1" si="263"/>
        <v>45406</v>
      </c>
      <c r="AR1058" s="3">
        <f t="shared" ca="1" si="265"/>
        <v>765083.73999999987</v>
      </c>
      <c r="AS1058" s="63">
        <f ca="1">IF($AQ1058&lt;&gt;"", INDEX(Inputs!$B$3:$B$101, MATCH($AQ1058,Inputs!$A$3:$A$101,1)), "")</f>
        <v>4.3499999999999997E-2</v>
      </c>
      <c r="AT1058" s="48">
        <f t="shared" ca="1" si="264"/>
        <v>91.181212849315045</v>
      </c>
      <c r="AU1058" s="3">
        <f t="shared" ca="1" si="266"/>
        <v>-91.181212849315045</v>
      </c>
      <c r="AV1058" s="3">
        <f t="shared" ca="1" si="267"/>
        <v>-91.181212849315045</v>
      </c>
    </row>
    <row r="1059" spans="43:48" x14ac:dyDescent="0.2">
      <c r="AQ1059" s="4">
        <f t="shared" ca="1" si="263"/>
        <v>45407</v>
      </c>
      <c r="AR1059" s="3">
        <f t="shared" ca="1" si="265"/>
        <v>765083.73999999987</v>
      </c>
      <c r="AS1059" s="63">
        <f ca="1">IF($AQ1059&lt;&gt;"", INDEX(Inputs!$B$3:$B$101, MATCH($AQ1059,Inputs!$A$3:$A$101,1)), "")</f>
        <v>4.3499999999999997E-2</v>
      </c>
      <c r="AT1059" s="48">
        <f t="shared" ca="1" si="264"/>
        <v>91.181212849315045</v>
      </c>
      <c r="AU1059" s="3">
        <f t="shared" ca="1" si="266"/>
        <v>-91.181212849315045</v>
      </c>
      <c r="AV1059" s="3">
        <f t="shared" ca="1" si="267"/>
        <v>-91.181212849315045</v>
      </c>
    </row>
    <row r="1060" spans="43:48" x14ac:dyDescent="0.2">
      <c r="AQ1060" s="4">
        <f t="shared" ca="1" si="263"/>
        <v>45408</v>
      </c>
      <c r="AR1060" s="3">
        <f t="shared" ca="1" si="265"/>
        <v>765083.73999999987</v>
      </c>
      <c r="AS1060" s="63">
        <f ca="1">IF($AQ1060&lt;&gt;"", INDEX(Inputs!$B$3:$B$101, MATCH($AQ1060,Inputs!$A$3:$A$101,1)), "")</f>
        <v>4.3499999999999997E-2</v>
      </c>
      <c r="AT1060" s="48">
        <f t="shared" ca="1" si="264"/>
        <v>91.181212849315045</v>
      </c>
      <c r="AU1060" s="3">
        <f t="shared" ca="1" si="266"/>
        <v>-91.181212849315045</v>
      </c>
      <c r="AV1060" s="3">
        <f t="shared" ca="1" si="267"/>
        <v>-91.181212849315045</v>
      </c>
    </row>
    <row r="1061" spans="43:48" x14ac:dyDescent="0.2">
      <c r="AQ1061" s="4">
        <f t="shared" ca="1" si="263"/>
        <v>45409</v>
      </c>
      <c r="AR1061" s="3">
        <f t="shared" ca="1" si="265"/>
        <v>765083.73999999987</v>
      </c>
      <c r="AS1061" s="63">
        <f ca="1">IF($AQ1061&lt;&gt;"", INDEX(Inputs!$B$3:$B$101, MATCH($AQ1061,Inputs!$A$3:$A$101,1)), "")</f>
        <v>4.3499999999999997E-2</v>
      </c>
      <c r="AT1061" s="48">
        <f t="shared" ca="1" si="264"/>
        <v>91.181212849315045</v>
      </c>
      <c r="AU1061" s="3">
        <f t="shared" ca="1" si="266"/>
        <v>-91.181212849315045</v>
      </c>
      <c r="AV1061" s="3">
        <f t="shared" ca="1" si="267"/>
        <v>-91.181212849315045</v>
      </c>
    </row>
    <row r="1062" spans="43:48" x14ac:dyDescent="0.2">
      <c r="AQ1062" s="4">
        <f t="shared" ca="1" si="263"/>
        <v>45410</v>
      </c>
      <c r="AR1062" s="3">
        <f t="shared" ca="1" si="265"/>
        <v>765083.73999999987</v>
      </c>
      <c r="AS1062" s="63">
        <f ca="1">IF($AQ1062&lt;&gt;"", INDEX(Inputs!$B$3:$B$101, MATCH($AQ1062,Inputs!$A$3:$A$101,1)), "")</f>
        <v>4.3499999999999997E-2</v>
      </c>
      <c r="AT1062" s="48">
        <f t="shared" ca="1" si="264"/>
        <v>91.181212849315045</v>
      </c>
      <c r="AU1062" s="3">
        <f t="shared" ca="1" si="266"/>
        <v>-91.181212849315045</v>
      </c>
      <c r="AV1062" s="3">
        <f t="shared" ca="1" si="267"/>
        <v>-91.181212849315045</v>
      </c>
    </row>
    <row r="1063" spans="43:48" x14ac:dyDescent="0.2">
      <c r="AQ1063" s="4">
        <f t="shared" ca="1" si="263"/>
        <v>45411</v>
      </c>
      <c r="AR1063" s="3">
        <f t="shared" ca="1" si="265"/>
        <v>765083.73999999987</v>
      </c>
      <c r="AS1063" s="63">
        <f ca="1">IF($AQ1063&lt;&gt;"", INDEX(Inputs!$B$3:$B$101, MATCH($AQ1063,Inputs!$A$3:$A$101,1)), "")</f>
        <v>4.3499999999999997E-2</v>
      </c>
      <c r="AT1063" s="48">
        <f t="shared" ca="1" si="264"/>
        <v>91.181212849315045</v>
      </c>
      <c r="AU1063" s="3">
        <f t="shared" ca="1" si="266"/>
        <v>-91.181212849315045</v>
      </c>
      <c r="AV1063" s="3">
        <f t="shared" ca="1" si="267"/>
        <v>-91.181212849315045</v>
      </c>
    </row>
    <row r="1064" spans="43:48" x14ac:dyDescent="0.2">
      <c r="AQ1064" s="4">
        <f t="shared" ca="1" si="263"/>
        <v>45412</v>
      </c>
      <c r="AR1064" s="3">
        <f t="shared" ca="1" si="265"/>
        <v>760653.82</v>
      </c>
      <c r="AS1064" s="63">
        <f ca="1">IF($AQ1064&lt;&gt;"", INDEX(Inputs!$B$3:$B$101, MATCH($AQ1064,Inputs!$A$3:$A$101,1)), "")</f>
        <v>4.3499999999999997E-2</v>
      </c>
      <c r="AT1064" s="48">
        <f t="shared" ca="1" si="264"/>
        <v>90.65326347945205</v>
      </c>
      <c r="AU1064" s="3">
        <f t="shared" ca="1" si="266"/>
        <v>-90.65326347945205</v>
      </c>
      <c r="AV1064" s="3">
        <f t="shared" ca="1" si="267"/>
        <v>-90.65326347945205</v>
      </c>
    </row>
    <row r="1065" spans="43:48" x14ac:dyDescent="0.2">
      <c r="AQ1065" s="4">
        <f t="shared" ca="1" si="263"/>
        <v>45413</v>
      </c>
      <c r="AR1065" s="3">
        <f t="shared" ca="1" si="265"/>
        <v>760653.82</v>
      </c>
      <c r="AS1065" s="63">
        <f ca="1">IF($AQ1065&lt;&gt;"", INDEX(Inputs!$B$3:$B$101, MATCH($AQ1065,Inputs!$A$3:$A$101,1)), "")</f>
        <v>4.3499999999999997E-2</v>
      </c>
      <c r="AT1065" s="48">
        <f t="shared" ca="1" si="264"/>
        <v>90.65326347945205</v>
      </c>
      <c r="AU1065" s="3">
        <f t="shared" ca="1" si="266"/>
        <v>6768.8167365205472</v>
      </c>
      <c r="AV1065" s="3">
        <f t="shared" ca="1" si="267"/>
        <v>6768.8167365205472</v>
      </c>
    </row>
    <row r="1066" spans="43:48" x14ac:dyDescent="0.2">
      <c r="AQ1066" s="4">
        <f t="shared" ca="1" si="263"/>
        <v>45414</v>
      </c>
      <c r="AR1066" s="3">
        <f t="shared" ca="1" si="265"/>
        <v>760653.82</v>
      </c>
      <c r="AS1066" s="63">
        <f ca="1">IF($AQ1066&lt;&gt;"", INDEX(Inputs!$B$3:$B$101, MATCH($AQ1066,Inputs!$A$3:$A$101,1)), "")</f>
        <v>4.3499999999999997E-2</v>
      </c>
      <c r="AT1066" s="48">
        <f t="shared" ca="1" si="264"/>
        <v>90.65326347945205</v>
      </c>
      <c r="AU1066" s="3">
        <f t="shared" ca="1" si="266"/>
        <v>-90.65326347945205</v>
      </c>
      <c r="AV1066" s="3">
        <f t="shared" ca="1" si="267"/>
        <v>-90.65326347945205</v>
      </c>
    </row>
    <row r="1067" spans="43:48" x14ac:dyDescent="0.2">
      <c r="AQ1067" s="4">
        <f t="shared" ca="1" si="263"/>
        <v>45415</v>
      </c>
      <c r="AR1067" s="3">
        <f t="shared" ca="1" si="265"/>
        <v>760653.82</v>
      </c>
      <c r="AS1067" s="63">
        <f ca="1">IF($AQ1067&lt;&gt;"", INDEX(Inputs!$B$3:$B$101, MATCH($AQ1067,Inputs!$A$3:$A$101,1)), "")</f>
        <v>4.3499999999999997E-2</v>
      </c>
      <c r="AT1067" s="48">
        <f t="shared" ca="1" si="264"/>
        <v>90.65326347945205</v>
      </c>
      <c r="AU1067" s="3">
        <f t="shared" ca="1" si="266"/>
        <v>-90.65326347945205</v>
      </c>
      <c r="AV1067" s="3">
        <f t="shared" ca="1" si="267"/>
        <v>-90.65326347945205</v>
      </c>
    </row>
    <row r="1068" spans="43:48" x14ac:dyDescent="0.2">
      <c r="AQ1068" s="4">
        <f t="shared" ca="1" si="263"/>
        <v>45416</v>
      </c>
      <c r="AR1068" s="3">
        <f t="shared" ca="1" si="265"/>
        <v>760653.82</v>
      </c>
      <c r="AS1068" s="63">
        <f ca="1">IF($AQ1068&lt;&gt;"", INDEX(Inputs!$B$3:$B$101, MATCH($AQ1068,Inputs!$A$3:$A$101,1)), "")</f>
        <v>4.3499999999999997E-2</v>
      </c>
      <c r="AT1068" s="48">
        <f t="shared" ca="1" si="264"/>
        <v>90.65326347945205</v>
      </c>
      <c r="AU1068" s="3">
        <f t="shared" ca="1" si="266"/>
        <v>-90.65326347945205</v>
      </c>
      <c r="AV1068" s="3">
        <f t="shared" ca="1" si="267"/>
        <v>-90.65326347945205</v>
      </c>
    </row>
    <row r="1069" spans="43:48" x14ac:dyDescent="0.2">
      <c r="AQ1069" s="4">
        <f t="shared" ca="1" si="263"/>
        <v>45417</v>
      </c>
      <c r="AR1069" s="3">
        <f t="shared" ca="1" si="265"/>
        <v>760653.82</v>
      </c>
      <c r="AS1069" s="63">
        <f ca="1">IF($AQ1069&lt;&gt;"", INDEX(Inputs!$B$3:$B$101, MATCH($AQ1069,Inputs!$A$3:$A$101,1)), "")</f>
        <v>4.3499999999999997E-2</v>
      </c>
      <c r="AT1069" s="48">
        <f t="shared" ca="1" si="264"/>
        <v>90.65326347945205</v>
      </c>
      <c r="AU1069" s="3">
        <f t="shared" ca="1" si="266"/>
        <v>-90.65326347945205</v>
      </c>
      <c r="AV1069" s="3">
        <f t="shared" ca="1" si="267"/>
        <v>-90.65326347945205</v>
      </c>
    </row>
    <row r="1070" spans="43:48" x14ac:dyDescent="0.2">
      <c r="AQ1070" s="4">
        <f t="shared" ca="1" si="263"/>
        <v>45418</v>
      </c>
      <c r="AR1070" s="3">
        <f t="shared" ca="1" si="265"/>
        <v>760653.82</v>
      </c>
      <c r="AS1070" s="63">
        <f ca="1">IF($AQ1070&lt;&gt;"", INDEX(Inputs!$B$3:$B$101, MATCH($AQ1070,Inputs!$A$3:$A$101,1)), "")</f>
        <v>4.3499999999999997E-2</v>
      </c>
      <c r="AT1070" s="48">
        <f t="shared" ca="1" si="264"/>
        <v>90.65326347945205</v>
      </c>
      <c r="AU1070" s="3">
        <f t="shared" ca="1" si="266"/>
        <v>-90.65326347945205</v>
      </c>
      <c r="AV1070" s="3">
        <f t="shared" ca="1" si="267"/>
        <v>-90.65326347945205</v>
      </c>
    </row>
    <row r="1071" spans="43:48" x14ac:dyDescent="0.2">
      <c r="AQ1071" s="4">
        <f t="shared" ca="1" si="263"/>
        <v>45419</v>
      </c>
      <c r="AR1071" s="3">
        <f t="shared" ca="1" si="265"/>
        <v>760653.82</v>
      </c>
      <c r="AS1071" s="63">
        <f ca="1">IF($AQ1071&lt;&gt;"", INDEX(Inputs!$B$3:$B$101, MATCH($AQ1071,Inputs!$A$3:$A$101,1)), "")</f>
        <v>4.3499999999999997E-2</v>
      </c>
      <c r="AT1071" s="48">
        <f t="shared" ca="1" si="264"/>
        <v>90.65326347945205</v>
      </c>
      <c r="AU1071" s="3">
        <f t="shared" ca="1" si="266"/>
        <v>-90.65326347945205</v>
      </c>
      <c r="AV1071" s="3">
        <f t="shared" ca="1" si="267"/>
        <v>-90.65326347945205</v>
      </c>
    </row>
    <row r="1072" spans="43:48" x14ac:dyDescent="0.2">
      <c r="AQ1072" s="4">
        <f t="shared" ca="1" si="263"/>
        <v>45420</v>
      </c>
      <c r="AR1072" s="3">
        <f t="shared" ca="1" si="265"/>
        <v>760653.82</v>
      </c>
      <c r="AS1072" s="63">
        <f ca="1">IF($AQ1072&lt;&gt;"", INDEX(Inputs!$B$3:$B$101, MATCH($AQ1072,Inputs!$A$3:$A$101,1)), "")</f>
        <v>4.3499999999999997E-2</v>
      </c>
      <c r="AT1072" s="48">
        <f t="shared" ca="1" si="264"/>
        <v>90.65326347945205</v>
      </c>
      <c r="AU1072" s="3">
        <f t="shared" ca="1" si="266"/>
        <v>-90.65326347945205</v>
      </c>
      <c r="AV1072" s="3">
        <f t="shared" ca="1" si="267"/>
        <v>-90.65326347945205</v>
      </c>
    </row>
    <row r="1073" spans="43:48" x14ac:dyDescent="0.2">
      <c r="AQ1073" s="4">
        <f t="shared" ca="1" si="263"/>
        <v>45421</v>
      </c>
      <c r="AR1073" s="3">
        <f t="shared" ca="1" si="265"/>
        <v>760653.82</v>
      </c>
      <c r="AS1073" s="63">
        <f ca="1">IF($AQ1073&lt;&gt;"", INDEX(Inputs!$B$3:$B$101, MATCH($AQ1073,Inputs!$A$3:$A$101,1)), "")</f>
        <v>4.3499999999999997E-2</v>
      </c>
      <c r="AT1073" s="48">
        <f t="shared" ca="1" si="264"/>
        <v>90.65326347945205</v>
      </c>
      <c r="AU1073" s="3">
        <f t="shared" ca="1" si="266"/>
        <v>-90.65326347945205</v>
      </c>
      <c r="AV1073" s="3">
        <f t="shared" ca="1" si="267"/>
        <v>-90.65326347945205</v>
      </c>
    </row>
    <row r="1074" spans="43:48" x14ac:dyDescent="0.2">
      <c r="AQ1074" s="4">
        <f t="shared" ca="1" si="263"/>
        <v>45422</v>
      </c>
      <c r="AR1074" s="3">
        <f t="shared" ca="1" si="265"/>
        <v>760653.82</v>
      </c>
      <c r="AS1074" s="63">
        <f ca="1">IF($AQ1074&lt;&gt;"", INDEX(Inputs!$B$3:$B$101, MATCH($AQ1074,Inputs!$A$3:$A$101,1)), "")</f>
        <v>4.3499999999999997E-2</v>
      </c>
      <c r="AT1074" s="48">
        <f t="shared" ca="1" si="264"/>
        <v>90.65326347945205</v>
      </c>
      <c r="AU1074" s="3">
        <f t="shared" ca="1" si="266"/>
        <v>-90.65326347945205</v>
      </c>
      <c r="AV1074" s="3">
        <f t="shared" ca="1" si="267"/>
        <v>-90.65326347945205</v>
      </c>
    </row>
    <row r="1075" spans="43:48" x14ac:dyDescent="0.2">
      <c r="AQ1075" s="4">
        <f t="shared" ca="1" si="263"/>
        <v>45423</v>
      </c>
      <c r="AR1075" s="3">
        <f t="shared" ca="1" si="265"/>
        <v>760653.82</v>
      </c>
      <c r="AS1075" s="63">
        <f ca="1">IF($AQ1075&lt;&gt;"", INDEX(Inputs!$B$3:$B$101, MATCH($AQ1075,Inputs!$A$3:$A$101,1)), "")</f>
        <v>4.3499999999999997E-2</v>
      </c>
      <c r="AT1075" s="48">
        <f t="shared" ca="1" si="264"/>
        <v>90.65326347945205</v>
      </c>
      <c r="AU1075" s="3">
        <f t="shared" ca="1" si="266"/>
        <v>-90.65326347945205</v>
      </c>
      <c r="AV1075" s="3">
        <f t="shared" ca="1" si="267"/>
        <v>-90.65326347945205</v>
      </c>
    </row>
    <row r="1076" spans="43:48" x14ac:dyDescent="0.2">
      <c r="AQ1076" s="4">
        <f t="shared" ca="1" si="263"/>
        <v>45424</v>
      </c>
      <c r="AR1076" s="3">
        <f t="shared" ca="1" si="265"/>
        <v>760653.82</v>
      </c>
      <c r="AS1076" s="63">
        <f ca="1">IF($AQ1076&lt;&gt;"", INDEX(Inputs!$B$3:$B$101, MATCH($AQ1076,Inputs!$A$3:$A$101,1)), "")</f>
        <v>4.3499999999999997E-2</v>
      </c>
      <c r="AT1076" s="48">
        <f t="shared" ca="1" si="264"/>
        <v>90.65326347945205</v>
      </c>
      <c r="AU1076" s="3">
        <f t="shared" ca="1" si="266"/>
        <v>-90.65326347945205</v>
      </c>
      <c r="AV1076" s="3">
        <f t="shared" ca="1" si="267"/>
        <v>-90.65326347945205</v>
      </c>
    </row>
    <row r="1077" spans="43:48" x14ac:dyDescent="0.2">
      <c r="AQ1077" s="4">
        <f t="shared" ca="1" si="263"/>
        <v>45425</v>
      </c>
      <c r="AR1077" s="3">
        <f t="shared" ca="1" si="265"/>
        <v>760653.82</v>
      </c>
      <c r="AS1077" s="63">
        <f ca="1">IF($AQ1077&lt;&gt;"", INDEX(Inputs!$B$3:$B$101, MATCH($AQ1077,Inputs!$A$3:$A$101,1)), "")</f>
        <v>4.3499999999999997E-2</v>
      </c>
      <c r="AT1077" s="48">
        <f t="shared" ca="1" si="264"/>
        <v>90.65326347945205</v>
      </c>
      <c r="AU1077" s="3">
        <f t="shared" ca="1" si="266"/>
        <v>-90.65326347945205</v>
      </c>
      <c r="AV1077" s="3">
        <f t="shared" ca="1" si="267"/>
        <v>-90.65326347945205</v>
      </c>
    </row>
    <row r="1078" spans="43:48" x14ac:dyDescent="0.2">
      <c r="AQ1078" s="4">
        <f t="shared" ca="1" si="263"/>
        <v>45426</v>
      </c>
      <c r="AR1078" s="3">
        <f t="shared" ca="1" si="265"/>
        <v>760653.82</v>
      </c>
      <c r="AS1078" s="63">
        <f ca="1">IF($AQ1078&lt;&gt;"", INDEX(Inputs!$B$3:$B$101, MATCH($AQ1078,Inputs!$A$3:$A$101,1)), "")</f>
        <v>4.3499999999999997E-2</v>
      </c>
      <c r="AT1078" s="48">
        <f t="shared" ca="1" si="264"/>
        <v>90.65326347945205</v>
      </c>
      <c r="AU1078" s="3">
        <f t="shared" ca="1" si="266"/>
        <v>-90.65326347945205</v>
      </c>
      <c r="AV1078" s="3">
        <f t="shared" ca="1" si="267"/>
        <v>-90.65326347945205</v>
      </c>
    </row>
    <row r="1079" spans="43:48" x14ac:dyDescent="0.2">
      <c r="AQ1079" s="4">
        <f t="shared" ca="1" si="263"/>
        <v>45427</v>
      </c>
      <c r="AR1079" s="3">
        <f t="shared" ca="1" si="265"/>
        <v>760653.82</v>
      </c>
      <c r="AS1079" s="63">
        <f ca="1">IF($AQ1079&lt;&gt;"", INDEX(Inputs!$B$3:$B$101, MATCH($AQ1079,Inputs!$A$3:$A$101,1)), "")</f>
        <v>4.3499999999999997E-2</v>
      </c>
      <c r="AT1079" s="48">
        <f t="shared" ca="1" si="264"/>
        <v>90.65326347945205</v>
      </c>
      <c r="AU1079" s="3">
        <f t="shared" ca="1" si="266"/>
        <v>-90.65326347945205</v>
      </c>
      <c r="AV1079" s="3">
        <f t="shared" ca="1" si="267"/>
        <v>-90.65326347945205</v>
      </c>
    </row>
    <row r="1080" spans="43:48" x14ac:dyDescent="0.2">
      <c r="AQ1080" s="4">
        <f t="shared" ca="1" si="263"/>
        <v>45428</v>
      </c>
      <c r="AR1080" s="3">
        <f t="shared" ca="1" si="265"/>
        <v>773450.57</v>
      </c>
      <c r="AS1080" s="63">
        <f ca="1">IF($AQ1080&lt;&gt;"", INDEX(Inputs!$B$3:$B$101, MATCH($AQ1080,Inputs!$A$3:$A$101,1)), "")</f>
        <v>4.3499999999999997E-2</v>
      </c>
      <c r="AT1080" s="48">
        <f t="shared" ca="1" si="264"/>
        <v>92.178355602739714</v>
      </c>
      <c r="AU1080" s="3">
        <f t="shared" ca="1" si="266"/>
        <v>-12888.92835560274</v>
      </c>
      <c r="AV1080" s="3">
        <f t="shared" ca="1" si="267"/>
        <v>-12888.92835560274</v>
      </c>
    </row>
    <row r="1081" spans="43:48" x14ac:dyDescent="0.2">
      <c r="AQ1081" s="4">
        <f t="shared" ref="AQ1081:AQ1144" ca="1" si="268">IF(AQ1080&lt;$AP$3,AQ1080+1,"")</f>
        <v>45429</v>
      </c>
      <c r="AR1081" s="3">
        <f t="shared" ca="1" si="265"/>
        <v>773450.57</v>
      </c>
      <c r="AS1081" s="63">
        <f ca="1">IF($AQ1081&lt;&gt;"", INDEX(Inputs!$B$3:$B$101, MATCH($AQ1081,Inputs!$A$3:$A$101,1)), "")</f>
        <v>4.3499999999999997E-2</v>
      </c>
      <c r="AT1081" s="48">
        <f t="shared" ref="AT1081:AT1144" ca="1" si="269">IF($AQ1081&lt;&gt;"", AR1081*AS1081/365, "")</f>
        <v>92.178355602739714</v>
      </c>
      <c r="AU1081" s="3">
        <f t="shared" ca="1" si="266"/>
        <v>-92.178355602739714</v>
      </c>
      <c r="AV1081" s="3">
        <f t="shared" ca="1" si="267"/>
        <v>-92.178355602739714</v>
      </c>
    </row>
    <row r="1082" spans="43:48" x14ac:dyDescent="0.2">
      <c r="AQ1082" s="4">
        <f t="shared" ca="1" si="268"/>
        <v>45430</v>
      </c>
      <c r="AR1082" s="3">
        <f t="shared" ca="1" si="265"/>
        <v>773450.57</v>
      </c>
      <c r="AS1082" s="63">
        <f ca="1">IF($AQ1082&lt;&gt;"", INDEX(Inputs!$B$3:$B$101, MATCH($AQ1082,Inputs!$A$3:$A$101,1)), "")</f>
        <v>4.3499999999999997E-2</v>
      </c>
      <c r="AT1082" s="48">
        <f t="shared" ca="1" si="269"/>
        <v>92.178355602739714</v>
      </c>
      <c r="AU1082" s="3">
        <f t="shared" ca="1" si="266"/>
        <v>-92.178355602739714</v>
      </c>
      <c r="AV1082" s="3">
        <f t="shared" ca="1" si="267"/>
        <v>-92.178355602739714</v>
      </c>
    </row>
    <row r="1083" spans="43:48" x14ac:dyDescent="0.2">
      <c r="AQ1083" s="4">
        <f t="shared" ca="1" si="268"/>
        <v>45431</v>
      </c>
      <c r="AR1083" s="3">
        <f t="shared" ca="1" si="265"/>
        <v>773450.57</v>
      </c>
      <c r="AS1083" s="63">
        <f ca="1">IF($AQ1083&lt;&gt;"", INDEX(Inputs!$B$3:$B$101, MATCH($AQ1083,Inputs!$A$3:$A$101,1)), "")</f>
        <v>4.3499999999999997E-2</v>
      </c>
      <c r="AT1083" s="48">
        <f t="shared" ca="1" si="269"/>
        <v>92.178355602739714</v>
      </c>
      <c r="AU1083" s="3">
        <f t="shared" ca="1" si="266"/>
        <v>-92.178355602739714</v>
      </c>
      <c r="AV1083" s="3">
        <f t="shared" ca="1" si="267"/>
        <v>-92.178355602739714</v>
      </c>
    </row>
    <row r="1084" spans="43:48" x14ac:dyDescent="0.2">
      <c r="AQ1084" s="4">
        <f t="shared" ca="1" si="268"/>
        <v>45432</v>
      </c>
      <c r="AR1084" s="3">
        <f t="shared" ca="1" si="265"/>
        <v>773450.57</v>
      </c>
      <c r="AS1084" s="63">
        <f ca="1">IF($AQ1084&lt;&gt;"", INDEX(Inputs!$B$3:$B$101, MATCH($AQ1084,Inputs!$A$3:$A$101,1)), "")</f>
        <v>4.3499999999999997E-2</v>
      </c>
      <c r="AT1084" s="48">
        <f t="shared" ca="1" si="269"/>
        <v>92.178355602739714</v>
      </c>
      <c r="AU1084" s="3">
        <f t="shared" ca="1" si="266"/>
        <v>-92.178355602739714</v>
      </c>
      <c r="AV1084" s="3">
        <f t="shared" ca="1" si="267"/>
        <v>-92.178355602739714</v>
      </c>
    </row>
    <row r="1085" spans="43:48" x14ac:dyDescent="0.2">
      <c r="AQ1085" s="4">
        <f t="shared" ca="1" si="268"/>
        <v>45433</v>
      </c>
      <c r="AR1085" s="3">
        <f t="shared" ca="1" si="265"/>
        <v>773450.57</v>
      </c>
      <c r="AS1085" s="63">
        <f ca="1">IF($AQ1085&lt;&gt;"", INDEX(Inputs!$B$3:$B$101, MATCH($AQ1085,Inputs!$A$3:$A$101,1)), "")</f>
        <v>4.3499999999999997E-2</v>
      </c>
      <c r="AT1085" s="48">
        <f t="shared" ca="1" si="269"/>
        <v>92.178355602739714</v>
      </c>
      <c r="AU1085" s="3">
        <f t="shared" ca="1" si="266"/>
        <v>-92.178355602739714</v>
      </c>
      <c r="AV1085" s="3">
        <f t="shared" ca="1" si="267"/>
        <v>-92.178355602739714</v>
      </c>
    </row>
    <row r="1086" spans="43:48" x14ac:dyDescent="0.2">
      <c r="AQ1086" s="4">
        <f t="shared" ca="1" si="268"/>
        <v>45434</v>
      </c>
      <c r="AR1086" s="3">
        <f t="shared" ca="1" si="265"/>
        <v>773450.57</v>
      </c>
      <c r="AS1086" s="63">
        <f ca="1">IF($AQ1086&lt;&gt;"", INDEX(Inputs!$B$3:$B$101, MATCH($AQ1086,Inputs!$A$3:$A$101,1)), "")</f>
        <v>4.3499999999999997E-2</v>
      </c>
      <c r="AT1086" s="48">
        <f t="shared" ca="1" si="269"/>
        <v>92.178355602739714</v>
      </c>
      <c r="AU1086" s="3">
        <f t="shared" ca="1" si="266"/>
        <v>-92.178355602739714</v>
      </c>
      <c r="AV1086" s="3">
        <f t="shared" ca="1" si="267"/>
        <v>-92.178355602739714</v>
      </c>
    </row>
    <row r="1087" spans="43:48" x14ac:dyDescent="0.2">
      <c r="AQ1087" s="4">
        <f t="shared" ca="1" si="268"/>
        <v>45435</v>
      </c>
      <c r="AR1087" s="3">
        <f t="shared" ca="1" si="265"/>
        <v>773450.57</v>
      </c>
      <c r="AS1087" s="63">
        <f ca="1">IF($AQ1087&lt;&gt;"", INDEX(Inputs!$B$3:$B$101, MATCH($AQ1087,Inputs!$A$3:$A$101,1)), "")</f>
        <v>4.3499999999999997E-2</v>
      </c>
      <c r="AT1087" s="48">
        <f t="shared" ca="1" si="269"/>
        <v>92.178355602739714</v>
      </c>
      <c r="AU1087" s="3">
        <f t="shared" ca="1" si="266"/>
        <v>-92.178355602739714</v>
      </c>
      <c r="AV1087" s="3">
        <f t="shared" ca="1" si="267"/>
        <v>-92.178355602739714</v>
      </c>
    </row>
    <row r="1088" spans="43:48" x14ac:dyDescent="0.2">
      <c r="AQ1088" s="4">
        <f t="shared" ca="1" si="268"/>
        <v>45436</v>
      </c>
      <c r="AR1088" s="3">
        <f t="shared" ca="1" si="265"/>
        <v>773450.57</v>
      </c>
      <c r="AS1088" s="63">
        <f ca="1">IF($AQ1088&lt;&gt;"", INDEX(Inputs!$B$3:$B$101, MATCH($AQ1088,Inputs!$A$3:$A$101,1)), "")</f>
        <v>4.3499999999999997E-2</v>
      </c>
      <c r="AT1088" s="48">
        <f t="shared" ca="1" si="269"/>
        <v>92.178355602739714</v>
      </c>
      <c r="AU1088" s="3">
        <f t="shared" ca="1" si="266"/>
        <v>-92.178355602739714</v>
      </c>
      <c r="AV1088" s="3">
        <f t="shared" ca="1" si="267"/>
        <v>-92.178355602739714</v>
      </c>
    </row>
    <row r="1089" spans="43:48" x14ac:dyDescent="0.2">
      <c r="AQ1089" s="4">
        <f t="shared" ca="1" si="268"/>
        <v>45437</v>
      </c>
      <c r="AR1089" s="3">
        <f t="shared" ca="1" si="265"/>
        <v>773450.57</v>
      </c>
      <c r="AS1089" s="63">
        <f ca="1">IF($AQ1089&lt;&gt;"", INDEX(Inputs!$B$3:$B$101, MATCH($AQ1089,Inputs!$A$3:$A$101,1)), "")</f>
        <v>4.3499999999999997E-2</v>
      </c>
      <c r="AT1089" s="48">
        <f t="shared" ca="1" si="269"/>
        <v>92.178355602739714</v>
      </c>
      <c r="AU1089" s="3">
        <f t="shared" ca="1" si="266"/>
        <v>-92.178355602739714</v>
      </c>
      <c r="AV1089" s="3">
        <f t="shared" ca="1" si="267"/>
        <v>-92.178355602739714</v>
      </c>
    </row>
    <row r="1090" spans="43:48" x14ac:dyDescent="0.2">
      <c r="AQ1090" s="4">
        <f t="shared" ca="1" si="268"/>
        <v>45438</v>
      </c>
      <c r="AR1090" s="3">
        <f t="shared" ca="1" si="265"/>
        <v>773450.57</v>
      </c>
      <c r="AS1090" s="63">
        <f ca="1">IF($AQ1090&lt;&gt;"", INDEX(Inputs!$B$3:$B$101, MATCH($AQ1090,Inputs!$A$3:$A$101,1)), "")</f>
        <v>4.3499999999999997E-2</v>
      </c>
      <c r="AT1090" s="48">
        <f t="shared" ca="1" si="269"/>
        <v>92.178355602739714</v>
      </c>
      <c r="AU1090" s="3">
        <f t="shared" ca="1" si="266"/>
        <v>-92.178355602739714</v>
      </c>
      <c r="AV1090" s="3">
        <f t="shared" ca="1" si="267"/>
        <v>-92.178355602739714</v>
      </c>
    </row>
    <row r="1091" spans="43:48" x14ac:dyDescent="0.2">
      <c r="AQ1091" s="4">
        <f t="shared" ca="1" si="268"/>
        <v>45439</v>
      </c>
      <c r="AR1091" s="3">
        <f t="shared" ca="1" si="265"/>
        <v>773450.57</v>
      </c>
      <c r="AS1091" s="63">
        <f ca="1">IF($AQ1091&lt;&gt;"", INDEX(Inputs!$B$3:$B$101, MATCH($AQ1091,Inputs!$A$3:$A$101,1)), "")</f>
        <v>4.3499999999999997E-2</v>
      </c>
      <c r="AT1091" s="48">
        <f t="shared" ca="1" si="269"/>
        <v>92.178355602739714</v>
      </c>
      <c r="AU1091" s="3">
        <f t="shared" ca="1" si="266"/>
        <v>-92.178355602739714</v>
      </c>
      <c r="AV1091" s="3">
        <f t="shared" ca="1" si="267"/>
        <v>-92.178355602739714</v>
      </c>
    </row>
    <row r="1092" spans="43:48" x14ac:dyDescent="0.2">
      <c r="AQ1092" s="4">
        <f t="shared" ca="1" si="268"/>
        <v>45440</v>
      </c>
      <c r="AR1092" s="3">
        <f t="shared" ca="1" si="265"/>
        <v>773450.57</v>
      </c>
      <c r="AS1092" s="63">
        <f ca="1">IF($AQ1092&lt;&gt;"", INDEX(Inputs!$B$3:$B$101, MATCH($AQ1092,Inputs!$A$3:$A$101,1)), "")</f>
        <v>4.3499999999999997E-2</v>
      </c>
      <c r="AT1092" s="48">
        <f t="shared" ca="1" si="269"/>
        <v>92.178355602739714</v>
      </c>
      <c r="AU1092" s="3">
        <f t="shared" ca="1" si="266"/>
        <v>-92.178355602739714</v>
      </c>
      <c r="AV1092" s="3">
        <f t="shared" ca="1" si="267"/>
        <v>-92.178355602739714</v>
      </c>
    </row>
    <row r="1093" spans="43:48" x14ac:dyDescent="0.2">
      <c r="AQ1093" s="4">
        <f t="shared" ca="1" si="268"/>
        <v>45441</v>
      </c>
      <c r="AR1093" s="3">
        <f t="shared" ca="1" si="265"/>
        <v>773450.57</v>
      </c>
      <c r="AS1093" s="63">
        <f ca="1">IF($AQ1093&lt;&gt;"", INDEX(Inputs!$B$3:$B$101, MATCH($AQ1093,Inputs!$A$3:$A$101,1)), "")</f>
        <v>4.3499999999999997E-2</v>
      </c>
      <c r="AT1093" s="48">
        <f t="shared" ca="1" si="269"/>
        <v>92.178355602739714</v>
      </c>
      <c r="AU1093" s="3">
        <f t="shared" ca="1" si="266"/>
        <v>-92.178355602739714</v>
      </c>
      <c r="AV1093" s="3">
        <f t="shared" ca="1" si="267"/>
        <v>-92.178355602739714</v>
      </c>
    </row>
    <row r="1094" spans="43:48" x14ac:dyDescent="0.2">
      <c r="AQ1094" s="4">
        <f t="shared" ca="1" si="268"/>
        <v>45442</v>
      </c>
      <c r="AR1094" s="3">
        <f t="shared" ca="1" si="265"/>
        <v>773450.57</v>
      </c>
      <c r="AS1094" s="63">
        <f ca="1">IF($AQ1094&lt;&gt;"", INDEX(Inputs!$B$3:$B$101, MATCH($AQ1094,Inputs!$A$3:$A$101,1)), "")</f>
        <v>4.3499999999999997E-2</v>
      </c>
      <c r="AT1094" s="48">
        <f t="shared" ca="1" si="269"/>
        <v>92.178355602739714</v>
      </c>
      <c r="AU1094" s="3">
        <f t="shared" ca="1" si="266"/>
        <v>-92.178355602739714</v>
      </c>
      <c r="AV1094" s="3">
        <f t="shared" ca="1" si="267"/>
        <v>-92.178355602739714</v>
      </c>
    </row>
    <row r="1095" spans="43:48" x14ac:dyDescent="0.2">
      <c r="AQ1095" s="4">
        <f t="shared" ca="1" si="268"/>
        <v>45443</v>
      </c>
      <c r="AR1095" s="3">
        <f t="shared" ca="1" si="265"/>
        <v>769050.40999999992</v>
      </c>
      <c r="AS1095" s="63">
        <f ca="1">IF($AQ1095&lt;&gt;"", INDEX(Inputs!$B$3:$B$101, MATCH($AQ1095,Inputs!$A$3:$A$101,1)), "")</f>
        <v>4.3499999999999997E-2</v>
      </c>
      <c r="AT1095" s="48">
        <f t="shared" ca="1" si="269"/>
        <v>91.653952972602724</v>
      </c>
      <c r="AU1095" s="3">
        <f t="shared" ca="1" si="266"/>
        <v>-91.653952972602724</v>
      </c>
      <c r="AV1095" s="3">
        <f t="shared" ca="1" si="267"/>
        <v>-91.653952972602724</v>
      </c>
    </row>
    <row r="1096" spans="43:48" x14ac:dyDescent="0.2">
      <c r="AQ1096" s="4">
        <f t="shared" ca="1" si="268"/>
        <v>45444</v>
      </c>
      <c r="AR1096" s="3">
        <f t="shared" ca="1" si="265"/>
        <v>769050.40999999992</v>
      </c>
      <c r="AS1096" s="63">
        <f ca="1">IF($AQ1096&lt;&gt;"", INDEX(Inputs!$B$3:$B$101, MATCH($AQ1096,Inputs!$A$3:$A$101,1)), "")</f>
        <v>4.3499999999999997E-2</v>
      </c>
      <c r="AT1096" s="48">
        <f t="shared" ca="1" si="269"/>
        <v>91.653952972602724</v>
      </c>
      <c r="AU1096" s="3">
        <f t="shared" ca="1" si="266"/>
        <v>-91.653952972602724</v>
      </c>
      <c r="AV1096" s="3">
        <f t="shared" ca="1" si="267"/>
        <v>-91.653952972602724</v>
      </c>
    </row>
    <row r="1097" spans="43:48" x14ac:dyDescent="0.2">
      <c r="AQ1097" s="4">
        <f t="shared" ca="1" si="268"/>
        <v>45445</v>
      </c>
      <c r="AR1097" s="3">
        <f t="shared" ca="1" si="265"/>
        <v>769050.40999999992</v>
      </c>
      <c r="AS1097" s="63">
        <f ca="1">IF($AQ1097&lt;&gt;"", INDEX(Inputs!$B$3:$B$101, MATCH($AQ1097,Inputs!$A$3:$A$101,1)), "")</f>
        <v>4.3499999999999997E-2</v>
      </c>
      <c r="AT1097" s="48">
        <f t="shared" ca="1" si="269"/>
        <v>91.653952972602724</v>
      </c>
      <c r="AU1097" s="3">
        <f t="shared" ca="1" si="266"/>
        <v>-91.653952972602724</v>
      </c>
      <c r="AV1097" s="3">
        <f t="shared" ca="1" si="267"/>
        <v>-91.653952972602724</v>
      </c>
    </row>
    <row r="1098" spans="43:48" x14ac:dyDescent="0.2">
      <c r="AQ1098" s="4">
        <f t="shared" ca="1" si="268"/>
        <v>45446</v>
      </c>
      <c r="AR1098" s="3">
        <f t="shared" ca="1" si="265"/>
        <v>769050.40999999992</v>
      </c>
      <c r="AS1098" s="63">
        <f ca="1">IF($AQ1098&lt;&gt;"", INDEX(Inputs!$B$3:$B$101, MATCH($AQ1098,Inputs!$A$3:$A$101,1)), "")</f>
        <v>4.3499999999999997E-2</v>
      </c>
      <c r="AT1098" s="48">
        <f t="shared" ca="1" si="269"/>
        <v>91.653952972602724</v>
      </c>
      <c r="AU1098" s="3">
        <f t="shared" ca="1" si="266"/>
        <v>10308.346047027397</v>
      </c>
      <c r="AV1098" s="3">
        <f t="shared" ca="1" si="267"/>
        <v>10308.346047027397</v>
      </c>
    </row>
    <row r="1099" spans="43:48" x14ac:dyDescent="0.2">
      <c r="AQ1099" s="4">
        <f t="shared" ca="1" si="268"/>
        <v>45447</v>
      </c>
      <c r="AR1099" s="3">
        <f t="shared" ca="1" si="265"/>
        <v>769050.40999999992</v>
      </c>
      <c r="AS1099" s="63">
        <f ca="1">IF($AQ1099&lt;&gt;"", INDEX(Inputs!$B$3:$B$101, MATCH($AQ1099,Inputs!$A$3:$A$101,1)), "")</f>
        <v>4.3499999999999997E-2</v>
      </c>
      <c r="AT1099" s="48">
        <f t="shared" ca="1" si="269"/>
        <v>91.653952972602724</v>
      </c>
      <c r="AU1099" s="3">
        <f t="shared" ca="1" si="266"/>
        <v>-91.653952972602724</v>
      </c>
      <c r="AV1099" s="3">
        <f t="shared" ca="1" si="267"/>
        <v>-91.653952972602724</v>
      </c>
    </row>
    <row r="1100" spans="43:48" x14ac:dyDescent="0.2">
      <c r="AQ1100" s="4">
        <f t="shared" ca="1" si="268"/>
        <v>45448</v>
      </c>
      <c r="AR1100" s="3">
        <f t="shared" ca="1" si="265"/>
        <v>769050.40999999992</v>
      </c>
      <c r="AS1100" s="63">
        <f ca="1">IF($AQ1100&lt;&gt;"", INDEX(Inputs!$B$3:$B$101, MATCH($AQ1100,Inputs!$A$3:$A$101,1)), "")</f>
        <v>4.3499999999999997E-2</v>
      </c>
      <c r="AT1100" s="48">
        <f t="shared" ca="1" si="269"/>
        <v>91.653952972602724</v>
      </c>
      <c r="AU1100" s="3">
        <f t="shared" ca="1" si="266"/>
        <v>-91.653952972602724</v>
      </c>
      <c r="AV1100" s="3">
        <f t="shared" ca="1" si="267"/>
        <v>-91.653952972602724</v>
      </c>
    </row>
    <row r="1101" spans="43:48" x14ac:dyDescent="0.2">
      <c r="AQ1101" s="4">
        <f t="shared" ca="1" si="268"/>
        <v>45449</v>
      </c>
      <c r="AR1101" s="3">
        <f t="shared" ca="1" si="265"/>
        <v>769050.40999999992</v>
      </c>
      <c r="AS1101" s="63">
        <f ca="1">IF($AQ1101&lt;&gt;"", INDEX(Inputs!$B$3:$B$101, MATCH($AQ1101,Inputs!$A$3:$A$101,1)), "")</f>
        <v>4.3499999999999997E-2</v>
      </c>
      <c r="AT1101" s="48">
        <f t="shared" ca="1" si="269"/>
        <v>91.653952972602724</v>
      </c>
      <c r="AU1101" s="3">
        <f t="shared" ca="1" si="266"/>
        <v>-91.653952972602724</v>
      </c>
      <c r="AV1101" s="3">
        <f t="shared" ca="1" si="267"/>
        <v>-91.653952972602724</v>
      </c>
    </row>
    <row r="1102" spans="43:48" x14ac:dyDescent="0.2">
      <c r="AQ1102" s="4">
        <f t="shared" ca="1" si="268"/>
        <v>45450</v>
      </c>
      <c r="AR1102" s="3">
        <f t="shared" ca="1" si="265"/>
        <v>769050.40999999992</v>
      </c>
      <c r="AS1102" s="63">
        <f ca="1">IF($AQ1102&lt;&gt;"", INDEX(Inputs!$B$3:$B$101, MATCH($AQ1102,Inputs!$A$3:$A$101,1)), "")</f>
        <v>4.3499999999999997E-2</v>
      </c>
      <c r="AT1102" s="48">
        <f t="shared" ca="1" si="269"/>
        <v>91.653952972602724</v>
      </c>
      <c r="AU1102" s="3">
        <f t="shared" ca="1" si="266"/>
        <v>-91.653952972602724</v>
      </c>
      <c r="AV1102" s="3">
        <f t="shared" ca="1" si="267"/>
        <v>-91.653952972602724</v>
      </c>
    </row>
    <row r="1103" spans="43:48" x14ac:dyDescent="0.2">
      <c r="AQ1103" s="4">
        <f t="shared" ca="1" si="268"/>
        <v>45451</v>
      </c>
      <c r="AR1103" s="3">
        <f t="shared" ca="1" si="265"/>
        <v>769050.40999999992</v>
      </c>
      <c r="AS1103" s="63">
        <f ca="1">IF($AQ1103&lt;&gt;"", INDEX(Inputs!$B$3:$B$101, MATCH($AQ1103,Inputs!$A$3:$A$101,1)), "")</f>
        <v>4.3499999999999997E-2</v>
      </c>
      <c r="AT1103" s="48">
        <f t="shared" ca="1" si="269"/>
        <v>91.653952972602724</v>
      </c>
      <c r="AU1103" s="3">
        <f t="shared" ca="1" si="266"/>
        <v>-91.653952972602724</v>
      </c>
      <c r="AV1103" s="3">
        <f t="shared" ca="1" si="267"/>
        <v>-91.653952972602724</v>
      </c>
    </row>
    <row r="1104" spans="43:48" x14ac:dyDescent="0.2">
      <c r="AQ1104" s="4">
        <f t="shared" ca="1" si="268"/>
        <v>45452</v>
      </c>
      <c r="AR1104" s="3">
        <f t="shared" ca="1" si="265"/>
        <v>769050.40999999992</v>
      </c>
      <c r="AS1104" s="63">
        <f ca="1">IF($AQ1104&lt;&gt;"", INDEX(Inputs!$B$3:$B$101, MATCH($AQ1104,Inputs!$A$3:$A$101,1)), "")</f>
        <v>4.3499999999999997E-2</v>
      </c>
      <c r="AT1104" s="48">
        <f t="shared" ca="1" si="269"/>
        <v>91.653952972602724</v>
      </c>
      <c r="AU1104" s="3">
        <f t="shared" ca="1" si="266"/>
        <v>-91.653952972602724</v>
      </c>
      <c r="AV1104" s="3">
        <f t="shared" ca="1" si="267"/>
        <v>-91.653952972602724</v>
      </c>
    </row>
    <row r="1105" spans="43:48" x14ac:dyDescent="0.2">
      <c r="AQ1105" s="4">
        <f t="shared" ca="1" si="268"/>
        <v>45453</v>
      </c>
      <c r="AR1105" s="3">
        <f t="shared" ca="1" si="265"/>
        <v>769050.40999999992</v>
      </c>
      <c r="AS1105" s="63">
        <f ca="1">IF($AQ1105&lt;&gt;"", INDEX(Inputs!$B$3:$B$101, MATCH($AQ1105,Inputs!$A$3:$A$101,1)), "")</f>
        <v>4.3499999999999997E-2</v>
      </c>
      <c r="AT1105" s="48">
        <f t="shared" ca="1" si="269"/>
        <v>91.653952972602724</v>
      </c>
      <c r="AU1105" s="3">
        <f t="shared" ca="1" si="266"/>
        <v>-91.653952972602724</v>
      </c>
      <c r="AV1105" s="3">
        <f t="shared" ca="1" si="267"/>
        <v>-91.653952972602724</v>
      </c>
    </row>
    <row r="1106" spans="43:48" x14ac:dyDescent="0.2">
      <c r="AQ1106" s="4">
        <f t="shared" ca="1" si="268"/>
        <v>45454</v>
      </c>
      <c r="AR1106" s="3">
        <f t="shared" ca="1" si="265"/>
        <v>769050.40999999992</v>
      </c>
      <c r="AS1106" s="63">
        <f ca="1">IF($AQ1106&lt;&gt;"", INDEX(Inputs!$B$3:$B$101, MATCH($AQ1106,Inputs!$A$3:$A$101,1)), "")</f>
        <v>4.3499999999999997E-2</v>
      </c>
      <c r="AT1106" s="48">
        <f t="shared" ca="1" si="269"/>
        <v>91.653952972602724</v>
      </c>
      <c r="AU1106" s="3">
        <f t="shared" ca="1" si="266"/>
        <v>-91.653952972602724</v>
      </c>
      <c r="AV1106" s="3">
        <f t="shared" ca="1" si="267"/>
        <v>-91.653952972602724</v>
      </c>
    </row>
    <row r="1107" spans="43:48" x14ac:dyDescent="0.2">
      <c r="AQ1107" s="4">
        <f t="shared" ca="1" si="268"/>
        <v>45455</v>
      </c>
      <c r="AR1107" s="3">
        <f t="shared" ca="1" si="265"/>
        <v>769050.40999999992</v>
      </c>
      <c r="AS1107" s="63">
        <f ca="1">IF($AQ1107&lt;&gt;"", INDEX(Inputs!$B$3:$B$101, MATCH($AQ1107,Inputs!$A$3:$A$101,1)), "")</f>
        <v>4.3499999999999997E-2</v>
      </c>
      <c r="AT1107" s="48">
        <f t="shared" ca="1" si="269"/>
        <v>91.653952972602724</v>
      </c>
      <c r="AU1107" s="3">
        <f t="shared" ca="1" si="266"/>
        <v>-91.653952972602724</v>
      </c>
      <c r="AV1107" s="3">
        <f t="shared" ca="1" si="267"/>
        <v>-91.653952972602724</v>
      </c>
    </row>
    <row r="1108" spans="43:48" x14ac:dyDescent="0.2">
      <c r="AQ1108" s="4">
        <f t="shared" ca="1" si="268"/>
        <v>45456</v>
      </c>
      <c r="AR1108" s="3">
        <f t="shared" ca="1" si="265"/>
        <v>769050.40999999992</v>
      </c>
      <c r="AS1108" s="63">
        <f ca="1">IF($AQ1108&lt;&gt;"", INDEX(Inputs!$B$3:$B$101, MATCH($AQ1108,Inputs!$A$3:$A$101,1)), "")</f>
        <v>4.3499999999999997E-2</v>
      </c>
      <c r="AT1108" s="48">
        <f t="shared" ca="1" si="269"/>
        <v>91.653952972602724</v>
      </c>
      <c r="AU1108" s="3">
        <f t="shared" ca="1" si="266"/>
        <v>-91.653952972602724</v>
      </c>
      <c r="AV1108" s="3">
        <f t="shared" ca="1" si="267"/>
        <v>-91.653952972602724</v>
      </c>
    </row>
    <row r="1109" spans="43:48" x14ac:dyDescent="0.2">
      <c r="AQ1109" s="4">
        <f t="shared" ca="1" si="268"/>
        <v>45457</v>
      </c>
      <c r="AR1109" s="3">
        <f t="shared" ca="1" si="265"/>
        <v>769050.40999999992</v>
      </c>
      <c r="AS1109" s="63">
        <f ca="1">IF($AQ1109&lt;&gt;"", INDEX(Inputs!$B$3:$B$101, MATCH($AQ1109,Inputs!$A$3:$A$101,1)), "")</f>
        <v>4.3499999999999997E-2</v>
      </c>
      <c r="AT1109" s="48">
        <f t="shared" ca="1" si="269"/>
        <v>91.653952972602724</v>
      </c>
      <c r="AU1109" s="3">
        <f t="shared" ca="1" si="266"/>
        <v>-91.653952972602724</v>
      </c>
      <c r="AV1109" s="3">
        <f t="shared" ca="1" si="267"/>
        <v>-91.653952972602724</v>
      </c>
    </row>
    <row r="1110" spans="43:48" x14ac:dyDescent="0.2">
      <c r="AQ1110" s="4">
        <f t="shared" ca="1" si="268"/>
        <v>45458</v>
      </c>
      <c r="AR1110" s="3">
        <f t="shared" ca="1" si="265"/>
        <v>769050.40999999992</v>
      </c>
      <c r="AS1110" s="63">
        <f ca="1">IF($AQ1110&lt;&gt;"", INDEX(Inputs!$B$3:$B$101, MATCH($AQ1110,Inputs!$A$3:$A$101,1)), "")</f>
        <v>4.3499999999999997E-2</v>
      </c>
      <c r="AT1110" s="48">
        <f t="shared" ca="1" si="269"/>
        <v>91.653952972602724</v>
      </c>
      <c r="AU1110" s="3">
        <f t="shared" ca="1" si="266"/>
        <v>-91.653952972602724</v>
      </c>
      <c r="AV1110" s="3">
        <f t="shared" ca="1" si="267"/>
        <v>-91.653952972602724</v>
      </c>
    </row>
    <row r="1111" spans="43:48" x14ac:dyDescent="0.2">
      <c r="AQ1111" s="4">
        <f t="shared" ca="1" si="268"/>
        <v>45459</v>
      </c>
      <c r="AR1111" s="3">
        <f t="shared" ca="1" si="265"/>
        <v>769050.40999999992</v>
      </c>
      <c r="AS1111" s="63">
        <f ca="1">IF($AQ1111&lt;&gt;"", INDEX(Inputs!$B$3:$B$101, MATCH($AQ1111,Inputs!$A$3:$A$101,1)), "")</f>
        <v>4.3499999999999997E-2</v>
      </c>
      <c r="AT1111" s="48">
        <f t="shared" ca="1" si="269"/>
        <v>91.653952972602724</v>
      </c>
      <c r="AU1111" s="3">
        <f t="shared" ca="1" si="266"/>
        <v>-91.653952972602724</v>
      </c>
      <c r="AV1111" s="3">
        <f t="shared" ca="1" si="267"/>
        <v>-91.653952972602724</v>
      </c>
    </row>
    <row r="1112" spans="43:48" x14ac:dyDescent="0.2">
      <c r="AQ1112" s="4">
        <f t="shared" ca="1" si="268"/>
        <v>45460</v>
      </c>
      <c r="AR1112" s="3">
        <f t="shared" ca="1" si="265"/>
        <v>781847.15999999992</v>
      </c>
      <c r="AS1112" s="63">
        <f ca="1">IF($AQ1112&lt;&gt;"", INDEX(Inputs!$B$3:$B$101, MATCH($AQ1112,Inputs!$A$3:$A$101,1)), "")</f>
        <v>4.3499999999999997E-2</v>
      </c>
      <c r="AT1112" s="48">
        <f t="shared" ca="1" si="269"/>
        <v>93.179045095890388</v>
      </c>
      <c r="AU1112" s="3">
        <f t="shared" ca="1" si="266"/>
        <v>-12889.929045095891</v>
      </c>
      <c r="AV1112" s="3">
        <f t="shared" ca="1" si="267"/>
        <v>-12889.929045095891</v>
      </c>
    </row>
    <row r="1113" spans="43:48" x14ac:dyDescent="0.2">
      <c r="AQ1113" s="4">
        <f t="shared" ca="1" si="268"/>
        <v>45461</v>
      </c>
      <c r="AR1113" s="3">
        <f t="shared" ref="AR1113:AR1176" ca="1" si="270">IF($AQ1113&lt;&gt;"", INDEX($AC$3:$AC$1055, MATCH($AQ1113,$A$3:$A$1055,1)), "")</f>
        <v>781847.15999999992</v>
      </c>
      <c r="AS1113" s="63">
        <f ca="1">IF($AQ1113&lt;&gt;"", INDEX(Inputs!$B$3:$B$101, MATCH($AQ1113,Inputs!$A$3:$A$101,1)), "")</f>
        <v>4.3499999999999997E-2</v>
      </c>
      <c r="AT1113" s="48">
        <f t="shared" ca="1" si="269"/>
        <v>93.179045095890388</v>
      </c>
      <c r="AU1113" s="3">
        <f t="shared" ref="AU1113:AU1176" ca="1" si="271">IF($AQ1113&lt;&gt;"", SUMIFS($AL$3:$AL$1054, $A$3:$A$1054,$AQ1113) + SUMIFS($M$3:$M$1054, $A$3:$A$1054,$AQ1113)*IFERROR(AVERAGEIFS($L$3:$L$1054, $A$3:$A$1054,$AQ1113, $M$3:$M$1054,"&gt;0"),0) - AT1113, "")</f>
        <v>-93.179045095890388</v>
      </c>
      <c r="AV1113" s="3">
        <f t="shared" ca="1" si="267"/>
        <v>-93.179045095890388</v>
      </c>
    </row>
    <row r="1114" spans="43:48" x14ac:dyDescent="0.2">
      <c r="AQ1114" s="4">
        <f t="shared" ca="1" si="268"/>
        <v>45462</v>
      </c>
      <c r="AR1114" s="3">
        <f t="shared" ca="1" si="270"/>
        <v>781847.15999999992</v>
      </c>
      <c r="AS1114" s="63">
        <f ca="1">IF($AQ1114&lt;&gt;"", INDEX(Inputs!$B$3:$B$101, MATCH($AQ1114,Inputs!$A$3:$A$101,1)), "")</f>
        <v>4.3499999999999997E-2</v>
      </c>
      <c r="AT1114" s="48">
        <f t="shared" ca="1" si="269"/>
        <v>93.179045095890388</v>
      </c>
      <c r="AU1114" s="3">
        <f t="shared" ca="1" si="271"/>
        <v>-93.179045095890388</v>
      </c>
      <c r="AV1114" s="3">
        <f t="shared" ca="1" si="267"/>
        <v>-93.179045095890388</v>
      </c>
    </row>
    <row r="1115" spans="43:48" x14ac:dyDescent="0.2">
      <c r="AQ1115" s="4">
        <f t="shared" ca="1" si="268"/>
        <v>45463</v>
      </c>
      <c r="AR1115" s="3">
        <f t="shared" ca="1" si="270"/>
        <v>781847.15999999992</v>
      </c>
      <c r="AS1115" s="63">
        <f ca="1">IF($AQ1115&lt;&gt;"", INDEX(Inputs!$B$3:$B$101, MATCH($AQ1115,Inputs!$A$3:$A$101,1)), "")</f>
        <v>4.3499999999999997E-2</v>
      </c>
      <c r="AT1115" s="48">
        <f t="shared" ca="1" si="269"/>
        <v>93.179045095890388</v>
      </c>
      <c r="AU1115" s="3">
        <f t="shared" ca="1" si="271"/>
        <v>-93.179045095890388</v>
      </c>
      <c r="AV1115" s="3">
        <f t="shared" ca="1" si="267"/>
        <v>-93.179045095890388</v>
      </c>
    </row>
    <row r="1116" spans="43:48" x14ac:dyDescent="0.2">
      <c r="AQ1116" s="4">
        <f t="shared" ca="1" si="268"/>
        <v>45464</v>
      </c>
      <c r="AR1116" s="3">
        <f t="shared" ca="1" si="270"/>
        <v>781847.15999999992</v>
      </c>
      <c r="AS1116" s="63">
        <f ca="1">IF($AQ1116&lt;&gt;"", INDEX(Inputs!$B$3:$B$101, MATCH($AQ1116,Inputs!$A$3:$A$101,1)), "")</f>
        <v>4.3499999999999997E-2</v>
      </c>
      <c r="AT1116" s="48">
        <f t="shared" ca="1" si="269"/>
        <v>93.179045095890388</v>
      </c>
      <c r="AU1116" s="3">
        <f t="shared" ca="1" si="271"/>
        <v>-93.179045095890388</v>
      </c>
      <c r="AV1116" s="3">
        <f t="shared" ca="1" si="267"/>
        <v>-93.179045095890388</v>
      </c>
    </row>
    <row r="1117" spans="43:48" x14ac:dyDescent="0.2">
      <c r="AQ1117" s="4">
        <f t="shared" ca="1" si="268"/>
        <v>45465</v>
      </c>
      <c r="AR1117" s="3">
        <f t="shared" ca="1" si="270"/>
        <v>781847.15999999992</v>
      </c>
      <c r="AS1117" s="63">
        <f ca="1">IF($AQ1117&lt;&gt;"", INDEX(Inputs!$B$3:$B$101, MATCH($AQ1117,Inputs!$A$3:$A$101,1)), "")</f>
        <v>4.3499999999999997E-2</v>
      </c>
      <c r="AT1117" s="48">
        <f t="shared" ca="1" si="269"/>
        <v>93.179045095890388</v>
      </c>
      <c r="AU1117" s="3">
        <f t="shared" ca="1" si="271"/>
        <v>-93.179045095890388</v>
      </c>
      <c r="AV1117" s="3">
        <f t="shared" ca="1" si="267"/>
        <v>-93.179045095890388</v>
      </c>
    </row>
    <row r="1118" spans="43:48" x14ac:dyDescent="0.2">
      <c r="AQ1118" s="4">
        <f t="shared" ca="1" si="268"/>
        <v>45466</v>
      </c>
      <c r="AR1118" s="3">
        <f t="shared" ca="1" si="270"/>
        <v>781847.15999999992</v>
      </c>
      <c r="AS1118" s="63">
        <f ca="1">IF($AQ1118&lt;&gt;"", INDEX(Inputs!$B$3:$B$101, MATCH($AQ1118,Inputs!$A$3:$A$101,1)), "")</f>
        <v>4.3499999999999997E-2</v>
      </c>
      <c r="AT1118" s="48">
        <f t="shared" ca="1" si="269"/>
        <v>93.179045095890388</v>
      </c>
      <c r="AU1118" s="3">
        <f t="shared" ca="1" si="271"/>
        <v>-93.179045095890388</v>
      </c>
      <c r="AV1118" s="3">
        <f t="shared" ca="1" si="267"/>
        <v>-93.179045095890388</v>
      </c>
    </row>
    <row r="1119" spans="43:48" x14ac:dyDescent="0.2">
      <c r="AQ1119" s="4">
        <f t="shared" ca="1" si="268"/>
        <v>45467</v>
      </c>
      <c r="AR1119" s="3">
        <f t="shared" ca="1" si="270"/>
        <v>781847.15999999992</v>
      </c>
      <c r="AS1119" s="63">
        <f ca="1">IF($AQ1119&lt;&gt;"", INDEX(Inputs!$B$3:$B$101, MATCH($AQ1119,Inputs!$A$3:$A$101,1)), "")</f>
        <v>4.3499999999999997E-2</v>
      </c>
      <c r="AT1119" s="48">
        <f t="shared" ca="1" si="269"/>
        <v>93.179045095890388</v>
      </c>
      <c r="AU1119" s="3">
        <f t="shared" ca="1" si="271"/>
        <v>-93.179045095890388</v>
      </c>
      <c r="AV1119" s="3">
        <f t="shared" ca="1" si="267"/>
        <v>-93.179045095890388</v>
      </c>
    </row>
    <row r="1120" spans="43:48" x14ac:dyDescent="0.2">
      <c r="AQ1120" s="4">
        <f t="shared" ca="1" si="268"/>
        <v>45468</v>
      </c>
      <c r="AR1120" s="3">
        <f t="shared" ca="1" si="270"/>
        <v>781847.15999999992</v>
      </c>
      <c r="AS1120" s="63">
        <f ca="1">IF($AQ1120&lt;&gt;"", INDEX(Inputs!$B$3:$B$101, MATCH($AQ1120,Inputs!$A$3:$A$101,1)), "")</f>
        <v>4.3499999999999997E-2</v>
      </c>
      <c r="AT1120" s="48">
        <f t="shared" ca="1" si="269"/>
        <v>93.179045095890388</v>
      </c>
      <c r="AU1120" s="3">
        <f t="shared" ca="1" si="271"/>
        <v>-93.179045095890388</v>
      </c>
      <c r="AV1120" s="3">
        <f t="shared" ref="AV1120:AV1183" ca="1" si="272">IF(AQ1120&lt;&gt;"", AU1120*(1+$X$9/CompoundingRate)^-((AQ1120-AQ$3)/(365/CompoundingRate)), "")</f>
        <v>-93.179045095890388</v>
      </c>
    </row>
    <row r="1121" spans="43:48" x14ac:dyDescent="0.2">
      <c r="AQ1121" s="4">
        <f t="shared" ca="1" si="268"/>
        <v>45469</v>
      </c>
      <c r="AR1121" s="3">
        <f t="shared" ca="1" si="270"/>
        <v>781847.15999999992</v>
      </c>
      <c r="AS1121" s="63">
        <f ca="1">IF($AQ1121&lt;&gt;"", INDEX(Inputs!$B$3:$B$101, MATCH($AQ1121,Inputs!$A$3:$A$101,1)), "")</f>
        <v>4.3499999999999997E-2</v>
      </c>
      <c r="AT1121" s="48">
        <f t="shared" ca="1" si="269"/>
        <v>93.179045095890388</v>
      </c>
      <c r="AU1121" s="3">
        <f t="shared" ca="1" si="271"/>
        <v>-93.179045095890388</v>
      </c>
      <c r="AV1121" s="3">
        <f t="shared" ca="1" si="272"/>
        <v>-93.179045095890388</v>
      </c>
    </row>
    <row r="1122" spans="43:48" x14ac:dyDescent="0.2">
      <c r="AQ1122" s="4">
        <f t="shared" ca="1" si="268"/>
        <v>45470</v>
      </c>
      <c r="AR1122" s="3">
        <f t="shared" ca="1" si="270"/>
        <v>781847.15999999992</v>
      </c>
      <c r="AS1122" s="63">
        <f ca="1">IF($AQ1122&lt;&gt;"", INDEX(Inputs!$B$3:$B$101, MATCH($AQ1122,Inputs!$A$3:$A$101,1)), "")</f>
        <v>4.3499999999999997E-2</v>
      </c>
      <c r="AT1122" s="48">
        <f t="shared" ca="1" si="269"/>
        <v>93.179045095890388</v>
      </c>
      <c r="AU1122" s="3">
        <f t="shared" ca="1" si="271"/>
        <v>-326.68904509589038</v>
      </c>
      <c r="AV1122" s="3">
        <f t="shared" ca="1" si="272"/>
        <v>-326.68904509589038</v>
      </c>
    </row>
    <row r="1123" spans="43:48" x14ac:dyDescent="0.2">
      <c r="AQ1123" s="4">
        <f t="shared" ca="1" si="268"/>
        <v>45471</v>
      </c>
      <c r="AR1123" s="3">
        <f t="shared" ca="1" si="270"/>
        <v>778073.11999999988</v>
      </c>
      <c r="AS1123" s="63">
        <f ca="1">IF($AQ1123&lt;&gt;"", INDEX(Inputs!$B$3:$B$101, MATCH($AQ1123,Inputs!$A$3:$A$101,1)), "")</f>
        <v>4.3499999999999997E-2</v>
      </c>
      <c r="AT1123" s="48">
        <f t="shared" ca="1" si="269"/>
        <v>92.729262246575317</v>
      </c>
      <c r="AU1123" s="3">
        <f t="shared" ca="1" si="271"/>
        <v>-92.729262246575317</v>
      </c>
      <c r="AV1123" s="3">
        <f t="shared" ca="1" si="272"/>
        <v>-92.729262246575317</v>
      </c>
    </row>
    <row r="1124" spans="43:48" x14ac:dyDescent="0.2">
      <c r="AQ1124" s="4">
        <f t="shared" ca="1" si="268"/>
        <v>45472</v>
      </c>
      <c r="AR1124" s="3">
        <f t="shared" ca="1" si="270"/>
        <v>778073.11999999988</v>
      </c>
      <c r="AS1124" s="63">
        <f ca="1">IF($AQ1124&lt;&gt;"", INDEX(Inputs!$B$3:$B$101, MATCH($AQ1124,Inputs!$A$3:$A$101,1)), "")</f>
        <v>4.3499999999999997E-2</v>
      </c>
      <c r="AT1124" s="48">
        <f t="shared" ca="1" si="269"/>
        <v>92.729262246575317</v>
      </c>
      <c r="AU1124" s="3">
        <f t="shared" ca="1" si="271"/>
        <v>-92.729262246575317</v>
      </c>
      <c r="AV1124" s="3">
        <f t="shared" ca="1" si="272"/>
        <v>-92.729262246575317</v>
      </c>
    </row>
    <row r="1125" spans="43:48" x14ac:dyDescent="0.2">
      <c r="AQ1125" s="4">
        <f t="shared" ca="1" si="268"/>
        <v>45473</v>
      </c>
      <c r="AR1125" s="3">
        <f t="shared" ca="1" si="270"/>
        <v>778073.11999999988</v>
      </c>
      <c r="AS1125" s="63">
        <f ca="1">IF($AQ1125&lt;&gt;"", INDEX(Inputs!$B$3:$B$101, MATCH($AQ1125,Inputs!$A$3:$A$101,1)), "")</f>
        <v>4.3499999999999997E-2</v>
      </c>
      <c r="AT1125" s="48">
        <f t="shared" ca="1" si="269"/>
        <v>92.729262246575317</v>
      </c>
      <c r="AU1125" s="3">
        <f t="shared" ca="1" si="271"/>
        <v>-92.729262246575317</v>
      </c>
      <c r="AV1125" s="3">
        <f t="shared" ca="1" si="272"/>
        <v>-92.729262246575317</v>
      </c>
    </row>
    <row r="1126" spans="43:48" x14ac:dyDescent="0.2">
      <c r="AQ1126" s="4">
        <f t="shared" ca="1" si="268"/>
        <v>45474</v>
      </c>
      <c r="AR1126" s="3">
        <f t="shared" ca="1" si="270"/>
        <v>778073.11999999988</v>
      </c>
      <c r="AS1126" s="63">
        <f ca="1">IF($AQ1126&lt;&gt;"", INDEX(Inputs!$B$3:$B$101, MATCH($AQ1126,Inputs!$A$3:$A$101,1)), "")</f>
        <v>4.3499999999999997E-2</v>
      </c>
      <c r="AT1126" s="48">
        <f t="shared" ca="1" si="269"/>
        <v>92.729262246575317</v>
      </c>
      <c r="AU1126" s="3">
        <f t="shared" ca="1" si="271"/>
        <v>-92.729262246575317</v>
      </c>
      <c r="AV1126" s="3">
        <f t="shared" ca="1" si="272"/>
        <v>-92.729262246575317</v>
      </c>
    </row>
    <row r="1127" spans="43:48" x14ac:dyDescent="0.2">
      <c r="AQ1127" s="4">
        <f t="shared" ca="1" si="268"/>
        <v>45475</v>
      </c>
      <c r="AR1127" s="3">
        <f t="shared" ca="1" si="270"/>
        <v>778073.11999999988</v>
      </c>
      <c r="AS1127" s="63">
        <f ca="1">IF($AQ1127&lt;&gt;"", INDEX(Inputs!$B$3:$B$101, MATCH($AQ1127,Inputs!$A$3:$A$101,1)), "")</f>
        <v>4.3499999999999997E-2</v>
      </c>
      <c r="AT1127" s="48">
        <f t="shared" ca="1" si="269"/>
        <v>92.729262246575317</v>
      </c>
      <c r="AU1127" s="3">
        <f t="shared" ca="1" si="271"/>
        <v>-92.729262246575317</v>
      </c>
      <c r="AV1127" s="3">
        <f t="shared" ca="1" si="272"/>
        <v>-92.729262246575317</v>
      </c>
    </row>
    <row r="1128" spans="43:48" x14ac:dyDescent="0.2">
      <c r="AQ1128" s="4">
        <f t="shared" ca="1" si="268"/>
        <v>45476</v>
      </c>
      <c r="AR1128" s="3">
        <f t="shared" ca="1" si="270"/>
        <v>778073.11999999988</v>
      </c>
      <c r="AS1128" s="63">
        <f ca="1">IF($AQ1128&lt;&gt;"", INDEX(Inputs!$B$3:$B$101, MATCH($AQ1128,Inputs!$A$3:$A$101,1)), "")</f>
        <v>4.3499999999999997E-2</v>
      </c>
      <c r="AT1128" s="48">
        <f t="shared" ca="1" si="269"/>
        <v>92.729262246575317</v>
      </c>
      <c r="AU1128" s="3">
        <f t="shared" ca="1" si="271"/>
        <v>-92.729262246575317</v>
      </c>
      <c r="AV1128" s="3">
        <f t="shared" ca="1" si="272"/>
        <v>-92.729262246575317</v>
      </c>
    </row>
    <row r="1129" spans="43:48" x14ac:dyDescent="0.2">
      <c r="AQ1129" s="4">
        <f t="shared" ca="1" si="268"/>
        <v>45477</v>
      </c>
      <c r="AR1129" s="3">
        <f t="shared" ca="1" si="270"/>
        <v>778073.11999999988</v>
      </c>
      <c r="AS1129" s="63">
        <f ca="1">IF($AQ1129&lt;&gt;"", INDEX(Inputs!$B$3:$B$101, MATCH($AQ1129,Inputs!$A$3:$A$101,1)), "")</f>
        <v>4.3499999999999997E-2</v>
      </c>
      <c r="AT1129" s="48">
        <f t="shared" ca="1" si="269"/>
        <v>92.729262246575317</v>
      </c>
      <c r="AU1129" s="3">
        <f t="shared" ca="1" si="271"/>
        <v>-92.729262246575317</v>
      </c>
      <c r="AV1129" s="3">
        <f t="shared" ca="1" si="272"/>
        <v>-92.729262246575317</v>
      </c>
    </row>
    <row r="1130" spans="43:48" x14ac:dyDescent="0.2">
      <c r="AQ1130" s="4">
        <f t="shared" ca="1" si="268"/>
        <v>45478</v>
      </c>
      <c r="AR1130" s="3">
        <f t="shared" ca="1" si="270"/>
        <v>778073.11999999988</v>
      </c>
      <c r="AS1130" s="63">
        <f ca="1">IF($AQ1130&lt;&gt;"", INDEX(Inputs!$B$3:$B$101, MATCH($AQ1130,Inputs!$A$3:$A$101,1)), "")</f>
        <v>4.3499999999999997E-2</v>
      </c>
      <c r="AT1130" s="48">
        <f t="shared" ca="1" si="269"/>
        <v>92.729262246575317</v>
      </c>
      <c r="AU1130" s="3">
        <f t="shared" ca="1" si="271"/>
        <v>-92.729262246575317</v>
      </c>
      <c r="AV1130" s="3">
        <f t="shared" ca="1" si="272"/>
        <v>-92.729262246575317</v>
      </c>
    </row>
    <row r="1131" spans="43:48" x14ac:dyDescent="0.2">
      <c r="AQ1131" s="4">
        <f t="shared" ca="1" si="268"/>
        <v>45479</v>
      </c>
      <c r="AR1131" s="3">
        <f t="shared" ca="1" si="270"/>
        <v>778073.11999999988</v>
      </c>
      <c r="AS1131" s="63">
        <f ca="1">IF($AQ1131&lt;&gt;"", INDEX(Inputs!$B$3:$B$101, MATCH($AQ1131,Inputs!$A$3:$A$101,1)), "")</f>
        <v>4.3499999999999997E-2</v>
      </c>
      <c r="AT1131" s="48">
        <f t="shared" ca="1" si="269"/>
        <v>92.729262246575317</v>
      </c>
      <c r="AU1131" s="3">
        <f t="shared" ca="1" si="271"/>
        <v>-92.729262246575317</v>
      </c>
      <c r="AV1131" s="3">
        <f t="shared" ca="1" si="272"/>
        <v>-92.729262246575317</v>
      </c>
    </row>
    <row r="1132" spans="43:48" x14ac:dyDescent="0.2">
      <c r="AQ1132" s="4">
        <f t="shared" ca="1" si="268"/>
        <v>45480</v>
      </c>
      <c r="AR1132" s="3">
        <f t="shared" ca="1" si="270"/>
        <v>778073.11999999988</v>
      </c>
      <c r="AS1132" s="63">
        <f ca="1">IF($AQ1132&lt;&gt;"", INDEX(Inputs!$B$3:$B$101, MATCH($AQ1132,Inputs!$A$3:$A$101,1)), "")</f>
        <v>4.3499999999999997E-2</v>
      </c>
      <c r="AT1132" s="48">
        <f t="shared" ca="1" si="269"/>
        <v>92.729262246575317</v>
      </c>
      <c r="AU1132" s="3">
        <f t="shared" ca="1" si="271"/>
        <v>-92.729262246575317</v>
      </c>
      <c r="AV1132" s="3">
        <f t="shared" ca="1" si="272"/>
        <v>-92.729262246575317</v>
      </c>
    </row>
    <row r="1133" spans="43:48" x14ac:dyDescent="0.2">
      <c r="AQ1133" s="4">
        <f t="shared" ca="1" si="268"/>
        <v>45481</v>
      </c>
      <c r="AR1133" s="3">
        <f t="shared" ca="1" si="270"/>
        <v>778073.11999999988</v>
      </c>
      <c r="AS1133" s="63">
        <f ca="1">IF($AQ1133&lt;&gt;"", INDEX(Inputs!$B$3:$B$101, MATCH($AQ1133,Inputs!$A$3:$A$101,1)), "")</f>
        <v>4.3499999999999997E-2</v>
      </c>
      <c r="AT1133" s="48">
        <f t="shared" ca="1" si="269"/>
        <v>92.729262246575317</v>
      </c>
      <c r="AU1133" s="3">
        <f t="shared" ca="1" si="271"/>
        <v>-92.729262246575317</v>
      </c>
      <c r="AV1133" s="3">
        <f t="shared" ca="1" si="272"/>
        <v>-92.729262246575317</v>
      </c>
    </row>
    <row r="1134" spans="43:48" x14ac:dyDescent="0.2">
      <c r="AQ1134" s="4">
        <f t="shared" ca="1" si="268"/>
        <v>45482</v>
      </c>
      <c r="AR1134" s="3">
        <f t="shared" ca="1" si="270"/>
        <v>778073.11999999988</v>
      </c>
      <c r="AS1134" s="63">
        <f ca="1">IF($AQ1134&lt;&gt;"", INDEX(Inputs!$B$3:$B$101, MATCH($AQ1134,Inputs!$A$3:$A$101,1)), "")</f>
        <v>4.3499999999999997E-2</v>
      </c>
      <c r="AT1134" s="48">
        <f t="shared" ca="1" si="269"/>
        <v>92.729262246575317</v>
      </c>
      <c r="AU1134" s="3">
        <f t="shared" ca="1" si="271"/>
        <v>-92.729262246575317</v>
      </c>
      <c r="AV1134" s="3">
        <f t="shared" ca="1" si="272"/>
        <v>-92.729262246575317</v>
      </c>
    </row>
    <row r="1135" spans="43:48" x14ac:dyDescent="0.2">
      <c r="AQ1135" s="4">
        <f t="shared" ca="1" si="268"/>
        <v>45483</v>
      </c>
      <c r="AR1135" s="3">
        <f t="shared" ca="1" si="270"/>
        <v>778073.11999999988</v>
      </c>
      <c r="AS1135" s="63">
        <f ca="1">IF($AQ1135&lt;&gt;"", INDEX(Inputs!$B$3:$B$101, MATCH($AQ1135,Inputs!$A$3:$A$101,1)), "")</f>
        <v>4.3499999999999997E-2</v>
      </c>
      <c r="AT1135" s="48">
        <f t="shared" ca="1" si="269"/>
        <v>92.729262246575317</v>
      </c>
      <c r="AU1135" s="3">
        <f t="shared" ca="1" si="271"/>
        <v>-92.729262246575317</v>
      </c>
      <c r="AV1135" s="3">
        <f t="shared" ca="1" si="272"/>
        <v>-92.729262246575317</v>
      </c>
    </row>
    <row r="1136" spans="43:48" x14ac:dyDescent="0.2">
      <c r="AQ1136" s="4">
        <f t="shared" ca="1" si="268"/>
        <v>45484</v>
      </c>
      <c r="AR1136" s="3">
        <f t="shared" ca="1" si="270"/>
        <v>778073.11999999988</v>
      </c>
      <c r="AS1136" s="63">
        <f ca="1">IF($AQ1136&lt;&gt;"", INDEX(Inputs!$B$3:$B$101, MATCH($AQ1136,Inputs!$A$3:$A$101,1)), "")</f>
        <v>4.3499999999999997E-2</v>
      </c>
      <c r="AT1136" s="48">
        <f t="shared" ca="1" si="269"/>
        <v>92.729262246575317</v>
      </c>
      <c r="AU1136" s="3">
        <f t="shared" ca="1" si="271"/>
        <v>-92.729262246575317</v>
      </c>
      <c r="AV1136" s="3">
        <f t="shared" ca="1" si="272"/>
        <v>-92.729262246575317</v>
      </c>
    </row>
    <row r="1137" spans="43:48" x14ac:dyDescent="0.2">
      <c r="AQ1137" s="4">
        <f t="shared" ca="1" si="268"/>
        <v>45485</v>
      </c>
      <c r="AR1137" s="3">
        <f t="shared" ca="1" si="270"/>
        <v>778073.11999999988</v>
      </c>
      <c r="AS1137" s="63">
        <f ca="1">IF($AQ1137&lt;&gt;"", INDEX(Inputs!$B$3:$B$101, MATCH($AQ1137,Inputs!$A$3:$A$101,1)), "")</f>
        <v>4.3499999999999997E-2</v>
      </c>
      <c r="AT1137" s="48">
        <f t="shared" ca="1" si="269"/>
        <v>92.729262246575317</v>
      </c>
      <c r="AU1137" s="3">
        <f t="shared" ca="1" si="271"/>
        <v>-92.729262246575317</v>
      </c>
      <c r="AV1137" s="3">
        <f t="shared" ca="1" si="272"/>
        <v>-92.729262246575317</v>
      </c>
    </row>
    <row r="1138" spans="43:48" x14ac:dyDescent="0.2">
      <c r="AQ1138" s="4">
        <f t="shared" ca="1" si="268"/>
        <v>45486</v>
      </c>
      <c r="AR1138" s="3">
        <f t="shared" ca="1" si="270"/>
        <v>778073.11999999988</v>
      </c>
      <c r="AS1138" s="63">
        <f ca="1">IF($AQ1138&lt;&gt;"", INDEX(Inputs!$B$3:$B$101, MATCH($AQ1138,Inputs!$A$3:$A$101,1)), "")</f>
        <v>4.3499999999999997E-2</v>
      </c>
      <c r="AT1138" s="48">
        <f t="shared" ca="1" si="269"/>
        <v>92.729262246575317</v>
      </c>
      <c r="AU1138" s="3">
        <f t="shared" ca="1" si="271"/>
        <v>-92.729262246575317</v>
      </c>
      <c r="AV1138" s="3">
        <f t="shared" ca="1" si="272"/>
        <v>-92.729262246575317</v>
      </c>
    </row>
    <row r="1139" spans="43:48" x14ac:dyDescent="0.2">
      <c r="AQ1139" s="4">
        <f t="shared" ca="1" si="268"/>
        <v>45487</v>
      </c>
      <c r="AR1139" s="3">
        <f t="shared" ca="1" si="270"/>
        <v>778073.11999999988</v>
      </c>
      <c r="AS1139" s="63">
        <f ca="1">IF($AQ1139&lt;&gt;"", INDEX(Inputs!$B$3:$B$101, MATCH($AQ1139,Inputs!$A$3:$A$101,1)), "")</f>
        <v>4.3499999999999997E-2</v>
      </c>
      <c r="AT1139" s="48">
        <f t="shared" ca="1" si="269"/>
        <v>92.729262246575317</v>
      </c>
      <c r="AU1139" s="3">
        <f t="shared" ca="1" si="271"/>
        <v>-92.729262246575317</v>
      </c>
      <c r="AV1139" s="3">
        <f t="shared" ca="1" si="272"/>
        <v>-92.729262246575317</v>
      </c>
    </row>
    <row r="1140" spans="43:48" x14ac:dyDescent="0.2">
      <c r="AQ1140" s="4">
        <f t="shared" ca="1" si="268"/>
        <v>45488</v>
      </c>
      <c r="AR1140" s="3">
        <f t="shared" ca="1" si="270"/>
        <v>778073.11999999988</v>
      </c>
      <c r="AS1140" s="63">
        <f ca="1">IF($AQ1140&lt;&gt;"", INDEX(Inputs!$B$3:$B$101, MATCH($AQ1140,Inputs!$A$3:$A$101,1)), "")</f>
        <v>4.3499999999999997E-2</v>
      </c>
      <c r="AT1140" s="48">
        <f t="shared" ca="1" si="269"/>
        <v>92.729262246575317</v>
      </c>
      <c r="AU1140" s="3">
        <f t="shared" ca="1" si="271"/>
        <v>-686.87926224657531</v>
      </c>
      <c r="AV1140" s="3">
        <f t="shared" ca="1" si="272"/>
        <v>-686.87926224657531</v>
      </c>
    </row>
    <row r="1141" spans="43:48" x14ac:dyDescent="0.2">
      <c r="AQ1141" s="4">
        <f t="shared" ca="1" si="268"/>
        <v>45489</v>
      </c>
      <c r="AR1141" s="3">
        <f t="shared" ca="1" si="270"/>
        <v>790869.86999999988</v>
      </c>
      <c r="AS1141" s="63">
        <f ca="1">IF($AQ1141&lt;&gt;"", INDEX(Inputs!$B$3:$B$101, MATCH($AQ1141,Inputs!$A$3:$A$101,1)), "")</f>
        <v>4.3499999999999997E-2</v>
      </c>
      <c r="AT1141" s="48">
        <f t="shared" ca="1" si="269"/>
        <v>94.254354369862995</v>
      </c>
      <c r="AU1141" s="3">
        <f t="shared" ca="1" si="271"/>
        <v>-13286.004354369863</v>
      </c>
      <c r="AV1141" s="3">
        <f t="shared" ca="1" si="272"/>
        <v>-13286.004354369863</v>
      </c>
    </row>
    <row r="1142" spans="43:48" x14ac:dyDescent="0.2">
      <c r="AQ1142" s="4">
        <f t="shared" ca="1" si="268"/>
        <v>45490</v>
      </c>
      <c r="AR1142" s="3">
        <f t="shared" ca="1" si="270"/>
        <v>790869.86999999988</v>
      </c>
      <c r="AS1142" s="63">
        <f ca="1">IF($AQ1142&lt;&gt;"", INDEX(Inputs!$B$3:$B$101, MATCH($AQ1142,Inputs!$A$3:$A$101,1)), "")</f>
        <v>4.3499999999999997E-2</v>
      </c>
      <c r="AT1142" s="48">
        <f t="shared" ca="1" si="269"/>
        <v>94.254354369862995</v>
      </c>
      <c r="AU1142" s="3">
        <f t="shared" ca="1" si="271"/>
        <v>-94.254354369862995</v>
      </c>
      <c r="AV1142" s="3">
        <f t="shared" ca="1" si="272"/>
        <v>-94.254354369862995</v>
      </c>
    </row>
    <row r="1143" spans="43:48" x14ac:dyDescent="0.2">
      <c r="AQ1143" s="4">
        <f t="shared" ca="1" si="268"/>
        <v>45491</v>
      </c>
      <c r="AR1143" s="3">
        <f t="shared" ca="1" si="270"/>
        <v>790869.86999999988</v>
      </c>
      <c r="AS1143" s="63">
        <f ca="1">IF($AQ1143&lt;&gt;"", INDEX(Inputs!$B$3:$B$101, MATCH($AQ1143,Inputs!$A$3:$A$101,1)), "")</f>
        <v>4.3499999999999997E-2</v>
      </c>
      <c r="AT1143" s="48">
        <f t="shared" ca="1" si="269"/>
        <v>94.254354369862995</v>
      </c>
      <c r="AU1143" s="3">
        <f t="shared" ca="1" si="271"/>
        <v>-94.254354369862995</v>
      </c>
      <c r="AV1143" s="3">
        <f t="shared" ca="1" si="272"/>
        <v>-94.254354369862995</v>
      </c>
    </row>
    <row r="1144" spans="43:48" x14ac:dyDescent="0.2">
      <c r="AQ1144" s="4">
        <f t="shared" ca="1" si="268"/>
        <v>45492</v>
      </c>
      <c r="AR1144" s="3">
        <f t="shared" ca="1" si="270"/>
        <v>790869.86999999988</v>
      </c>
      <c r="AS1144" s="63">
        <f ca="1">IF($AQ1144&lt;&gt;"", INDEX(Inputs!$B$3:$B$101, MATCH($AQ1144,Inputs!$A$3:$A$101,1)), "")</f>
        <v>4.3499999999999997E-2</v>
      </c>
      <c r="AT1144" s="48">
        <f t="shared" ca="1" si="269"/>
        <v>94.254354369862995</v>
      </c>
      <c r="AU1144" s="3">
        <f t="shared" ca="1" si="271"/>
        <v>-94.254354369862995</v>
      </c>
      <c r="AV1144" s="3">
        <f t="shared" ca="1" si="272"/>
        <v>-94.254354369862995</v>
      </c>
    </row>
    <row r="1145" spans="43:48" x14ac:dyDescent="0.2">
      <c r="AQ1145" s="4">
        <f t="shared" ref="AQ1145:AQ1208" ca="1" si="273">IF(AQ1144&lt;$AP$3,AQ1144+1,"")</f>
        <v>45493</v>
      </c>
      <c r="AR1145" s="3">
        <f t="shared" ca="1" si="270"/>
        <v>790869.86999999988</v>
      </c>
      <c r="AS1145" s="63">
        <f ca="1">IF($AQ1145&lt;&gt;"", INDEX(Inputs!$B$3:$B$101, MATCH($AQ1145,Inputs!$A$3:$A$101,1)), "")</f>
        <v>4.3499999999999997E-2</v>
      </c>
      <c r="AT1145" s="48">
        <f t="shared" ref="AT1145:AT1208" ca="1" si="274">IF($AQ1145&lt;&gt;"", AR1145*AS1145/365, "")</f>
        <v>94.254354369862995</v>
      </c>
      <c r="AU1145" s="3">
        <f t="shared" ca="1" si="271"/>
        <v>-94.254354369862995</v>
      </c>
      <c r="AV1145" s="3">
        <f t="shared" ca="1" si="272"/>
        <v>-94.254354369862995</v>
      </c>
    </row>
    <row r="1146" spans="43:48" x14ac:dyDescent="0.2">
      <c r="AQ1146" s="4">
        <f t="shared" ca="1" si="273"/>
        <v>45494</v>
      </c>
      <c r="AR1146" s="3">
        <f t="shared" ca="1" si="270"/>
        <v>790869.86999999988</v>
      </c>
      <c r="AS1146" s="63">
        <f ca="1">IF($AQ1146&lt;&gt;"", INDEX(Inputs!$B$3:$B$101, MATCH($AQ1146,Inputs!$A$3:$A$101,1)), "")</f>
        <v>4.3499999999999997E-2</v>
      </c>
      <c r="AT1146" s="48">
        <f t="shared" ca="1" si="274"/>
        <v>94.254354369862995</v>
      </c>
      <c r="AU1146" s="3">
        <f t="shared" ca="1" si="271"/>
        <v>-94.254354369862995</v>
      </c>
      <c r="AV1146" s="3">
        <f t="shared" ca="1" si="272"/>
        <v>-94.254354369862995</v>
      </c>
    </row>
    <row r="1147" spans="43:48" x14ac:dyDescent="0.2">
      <c r="AQ1147" s="4">
        <f t="shared" ca="1" si="273"/>
        <v>45495</v>
      </c>
      <c r="AR1147" s="3">
        <f t="shared" ca="1" si="270"/>
        <v>790869.86999999988</v>
      </c>
      <c r="AS1147" s="63">
        <f ca="1">IF($AQ1147&lt;&gt;"", INDEX(Inputs!$B$3:$B$101, MATCH($AQ1147,Inputs!$A$3:$A$101,1)), "")</f>
        <v>4.3499999999999997E-2</v>
      </c>
      <c r="AT1147" s="48">
        <f t="shared" ca="1" si="274"/>
        <v>94.254354369862995</v>
      </c>
      <c r="AU1147" s="3">
        <f t="shared" ca="1" si="271"/>
        <v>-94.254354369862995</v>
      </c>
      <c r="AV1147" s="3">
        <f t="shared" ca="1" si="272"/>
        <v>-94.254354369862995</v>
      </c>
    </row>
    <row r="1148" spans="43:48" x14ac:dyDescent="0.2">
      <c r="AQ1148" s="4">
        <f t="shared" ca="1" si="273"/>
        <v>45496</v>
      </c>
      <c r="AR1148" s="3">
        <f t="shared" ca="1" si="270"/>
        <v>790869.86999999988</v>
      </c>
      <c r="AS1148" s="63">
        <f ca="1">IF($AQ1148&lt;&gt;"", INDEX(Inputs!$B$3:$B$101, MATCH($AQ1148,Inputs!$A$3:$A$101,1)), "")</f>
        <v>4.3499999999999997E-2</v>
      </c>
      <c r="AT1148" s="48">
        <f t="shared" ca="1" si="274"/>
        <v>94.254354369862995</v>
      </c>
      <c r="AU1148" s="3">
        <f t="shared" ca="1" si="271"/>
        <v>-94.254354369862995</v>
      </c>
      <c r="AV1148" s="3">
        <f t="shared" ca="1" si="272"/>
        <v>-94.254354369862995</v>
      </c>
    </row>
    <row r="1149" spans="43:48" x14ac:dyDescent="0.2">
      <c r="AQ1149" s="4">
        <f t="shared" ca="1" si="273"/>
        <v>45497</v>
      </c>
      <c r="AR1149" s="3">
        <f t="shared" ca="1" si="270"/>
        <v>790869.86999999988</v>
      </c>
      <c r="AS1149" s="63">
        <f ca="1">IF($AQ1149&lt;&gt;"", INDEX(Inputs!$B$3:$B$101, MATCH($AQ1149,Inputs!$A$3:$A$101,1)), "")</f>
        <v>4.3499999999999997E-2</v>
      </c>
      <c r="AT1149" s="48">
        <f t="shared" ca="1" si="274"/>
        <v>94.254354369862995</v>
      </c>
      <c r="AU1149" s="3">
        <f t="shared" ca="1" si="271"/>
        <v>-94.254354369862995</v>
      </c>
      <c r="AV1149" s="3">
        <f t="shared" ca="1" si="272"/>
        <v>-94.254354369862995</v>
      </c>
    </row>
    <row r="1150" spans="43:48" x14ac:dyDescent="0.2">
      <c r="AQ1150" s="4">
        <f t="shared" ca="1" si="273"/>
        <v>45498</v>
      </c>
      <c r="AR1150" s="3">
        <f t="shared" ca="1" si="270"/>
        <v>790869.86999999988</v>
      </c>
      <c r="AS1150" s="63">
        <f ca="1">IF($AQ1150&lt;&gt;"", INDEX(Inputs!$B$3:$B$101, MATCH($AQ1150,Inputs!$A$3:$A$101,1)), "")</f>
        <v>4.3499999999999997E-2</v>
      </c>
      <c r="AT1150" s="48">
        <f t="shared" ca="1" si="274"/>
        <v>94.254354369862995</v>
      </c>
      <c r="AU1150" s="3">
        <f t="shared" ca="1" si="271"/>
        <v>-94.254354369862995</v>
      </c>
      <c r="AV1150" s="3">
        <f t="shared" ca="1" si="272"/>
        <v>-94.254354369862995</v>
      </c>
    </row>
    <row r="1151" spans="43:48" x14ac:dyDescent="0.2">
      <c r="AQ1151" s="4">
        <f t="shared" ca="1" si="273"/>
        <v>45499</v>
      </c>
      <c r="AR1151" s="3">
        <f t="shared" ca="1" si="270"/>
        <v>790869.86999999988</v>
      </c>
      <c r="AS1151" s="63">
        <f ca="1">IF($AQ1151&lt;&gt;"", INDEX(Inputs!$B$3:$B$101, MATCH($AQ1151,Inputs!$A$3:$A$101,1)), "")</f>
        <v>4.3499999999999997E-2</v>
      </c>
      <c r="AT1151" s="48">
        <f t="shared" ca="1" si="274"/>
        <v>94.254354369862995</v>
      </c>
      <c r="AU1151" s="3">
        <f t="shared" ca="1" si="271"/>
        <v>-94.254354369862995</v>
      </c>
      <c r="AV1151" s="3">
        <f t="shared" ca="1" si="272"/>
        <v>-94.254354369862995</v>
      </c>
    </row>
    <row r="1152" spans="43:48" x14ac:dyDescent="0.2">
      <c r="AQ1152" s="4">
        <f t="shared" ca="1" si="273"/>
        <v>45500</v>
      </c>
      <c r="AR1152" s="3">
        <f t="shared" ca="1" si="270"/>
        <v>790869.86999999988</v>
      </c>
      <c r="AS1152" s="63">
        <f ca="1">IF($AQ1152&lt;&gt;"", INDEX(Inputs!$B$3:$B$101, MATCH($AQ1152,Inputs!$A$3:$A$101,1)), "")</f>
        <v>4.3499999999999997E-2</v>
      </c>
      <c r="AT1152" s="48">
        <f t="shared" ca="1" si="274"/>
        <v>94.254354369862995</v>
      </c>
      <c r="AU1152" s="3">
        <f t="shared" ca="1" si="271"/>
        <v>-94.254354369862995</v>
      </c>
      <c r="AV1152" s="3">
        <f t="shared" ca="1" si="272"/>
        <v>-94.254354369862995</v>
      </c>
    </row>
    <row r="1153" spans="43:48" x14ac:dyDescent="0.2">
      <c r="AQ1153" s="4">
        <f t="shared" ca="1" si="273"/>
        <v>45501</v>
      </c>
      <c r="AR1153" s="3">
        <f t="shared" ca="1" si="270"/>
        <v>790869.86999999988</v>
      </c>
      <c r="AS1153" s="63">
        <f ca="1">IF($AQ1153&lt;&gt;"", INDEX(Inputs!$B$3:$B$101, MATCH($AQ1153,Inputs!$A$3:$A$101,1)), "")</f>
        <v>4.3499999999999997E-2</v>
      </c>
      <c r="AT1153" s="48">
        <f t="shared" ca="1" si="274"/>
        <v>94.254354369862995</v>
      </c>
      <c r="AU1153" s="3">
        <f t="shared" ca="1" si="271"/>
        <v>-94.254354369862995</v>
      </c>
      <c r="AV1153" s="3">
        <f t="shared" ca="1" si="272"/>
        <v>-94.254354369862995</v>
      </c>
    </row>
    <row r="1154" spans="43:48" x14ac:dyDescent="0.2">
      <c r="AQ1154" s="4">
        <f t="shared" ca="1" si="273"/>
        <v>45502</v>
      </c>
      <c r="AR1154" s="3">
        <f t="shared" ca="1" si="270"/>
        <v>790869.86999999988</v>
      </c>
      <c r="AS1154" s="63">
        <f ca="1">IF($AQ1154&lt;&gt;"", INDEX(Inputs!$B$3:$B$101, MATCH($AQ1154,Inputs!$A$3:$A$101,1)), "")</f>
        <v>4.3499999999999997E-2</v>
      </c>
      <c r="AT1154" s="48">
        <f t="shared" ca="1" si="274"/>
        <v>94.254354369862995</v>
      </c>
      <c r="AU1154" s="3">
        <f t="shared" ca="1" si="271"/>
        <v>-94.254354369862995</v>
      </c>
      <c r="AV1154" s="3">
        <f t="shared" ca="1" si="272"/>
        <v>-94.254354369862995</v>
      </c>
    </row>
    <row r="1155" spans="43:48" x14ac:dyDescent="0.2">
      <c r="AQ1155" s="4">
        <f t="shared" ca="1" si="273"/>
        <v>45503</v>
      </c>
      <c r="AR1155" s="3">
        <f t="shared" ca="1" si="270"/>
        <v>790869.86999999988</v>
      </c>
      <c r="AS1155" s="63">
        <f ca="1">IF($AQ1155&lt;&gt;"", INDEX(Inputs!$B$3:$B$101, MATCH($AQ1155,Inputs!$A$3:$A$101,1)), "")</f>
        <v>4.3499999999999997E-2</v>
      </c>
      <c r="AT1155" s="48">
        <f t="shared" ca="1" si="274"/>
        <v>94.254354369862995</v>
      </c>
      <c r="AU1155" s="3">
        <f t="shared" ca="1" si="271"/>
        <v>-94.254354369862995</v>
      </c>
      <c r="AV1155" s="3">
        <f t="shared" ca="1" si="272"/>
        <v>-94.254354369862995</v>
      </c>
    </row>
    <row r="1156" spans="43:48" x14ac:dyDescent="0.2">
      <c r="AQ1156" s="4">
        <f t="shared" ca="1" si="273"/>
        <v>45504</v>
      </c>
      <c r="AR1156" s="3">
        <f t="shared" ca="1" si="270"/>
        <v>782606.19</v>
      </c>
      <c r="AS1156" s="63">
        <f ca="1">IF($AQ1156&lt;&gt;"", INDEX(Inputs!$B$3:$B$101, MATCH($AQ1156,Inputs!$A$3:$A$101,1)), "")</f>
        <v>4.3499999999999997E-2</v>
      </c>
      <c r="AT1156" s="48">
        <f t="shared" ca="1" si="274"/>
        <v>93.269504835616416</v>
      </c>
      <c r="AU1156" s="3">
        <f t="shared" ca="1" si="271"/>
        <v>-93.269504835616416</v>
      </c>
      <c r="AV1156" s="3">
        <f t="shared" ca="1" si="272"/>
        <v>-93.269504835616416</v>
      </c>
    </row>
    <row r="1157" spans="43:48" x14ac:dyDescent="0.2">
      <c r="AQ1157" s="4">
        <f t="shared" ca="1" si="273"/>
        <v>45505</v>
      </c>
      <c r="AR1157" s="3">
        <f t="shared" ca="1" si="270"/>
        <v>782606.19</v>
      </c>
      <c r="AS1157" s="63">
        <f ca="1">IF($AQ1157&lt;&gt;"", INDEX(Inputs!$B$3:$B$101, MATCH($AQ1157,Inputs!$A$3:$A$101,1)), "")</f>
        <v>4.3499999999999997E-2</v>
      </c>
      <c r="AT1157" s="48">
        <f t="shared" ca="1" si="274"/>
        <v>93.269504835616416</v>
      </c>
      <c r="AU1157" s="3">
        <f t="shared" ca="1" si="271"/>
        <v>6527.660495164384</v>
      </c>
      <c r="AV1157" s="3">
        <f t="shared" ca="1" si="272"/>
        <v>6527.660495164384</v>
      </c>
    </row>
    <row r="1158" spans="43:48" x14ac:dyDescent="0.2">
      <c r="AQ1158" s="4">
        <f t="shared" ca="1" si="273"/>
        <v>45506</v>
      </c>
      <c r="AR1158" s="3">
        <f t="shared" ca="1" si="270"/>
        <v>782606.19</v>
      </c>
      <c r="AS1158" s="63">
        <f ca="1">IF($AQ1158&lt;&gt;"", INDEX(Inputs!$B$3:$B$101, MATCH($AQ1158,Inputs!$A$3:$A$101,1)), "")</f>
        <v>4.3499999999999997E-2</v>
      </c>
      <c r="AT1158" s="48">
        <f t="shared" ca="1" si="274"/>
        <v>93.269504835616416</v>
      </c>
      <c r="AU1158" s="3">
        <f t="shared" ca="1" si="271"/>
        <v>-93.269504835616416</v>
      </c>
      <c r="AV1158" s="3">
        <f t="shared" ca="1" si="272"/>
        <v>-93.269504835616416</v>
      </c>
    </row>
    <row r="1159" spans="43:48" x14ac:dyDescent="0.2">
      <c r="AQ1159" s="4">
        <f t="shared" ca="1" si="273"/>
        <v>45507</v>
      </c>
      <c r="AR1159" s="3">
        <f t="shared" ca="1" si="270"/>
        <v>782606.19</v>
      </c>
      <c r="AS1159" s="63">
        <f ca="1">IF($AQ1159&lt;&gt;"", INDEX(Inputs!$B$3:$B$101, MATCH($AQ1159,Inputs!$A$3:$A$101,1)), "")</f>
        <v>4.3499999999999997E-2</v>
      </c>
      <c r="AT1159" s="48">
        <f t="shared" ca="1" si="274"/>
        <v>93.269504835616416</v>
      </c>
      <c r="AU1159" s="3">
        <f t="shared" ca="1" si="271"/>
        <v>-93.269504835616416</v>
      </c>
      <c r="AV1159" s="3">
        <f t="shared" ca="1" si="272"/>
        <v>-93.269504835616416</v>
      </c>
    </row>
    <row r="1160" spans="43:48" x14ac:dyDescent="0.2">
      <c r="AQ1160" s="4">
        <f t="shared" ca="1" si="273"/>
        <v>45508</v>
      </c>
      <c r="AR1160" s="3">
        <f t="shared" ca="1" si="270"/>
        <v>782606.19</v>
      </c>
      <c r="AS1160" s="63">
        <f ca="1">IF($AQ1160&lt;&gt;"", INDEX(Inputs!$B$3:$B$101, MATCH($AQ1160,Inputs!$A$3:$A$101,1)), "")</f>
        <v>4.3499999999999997E-2</v>
      </c>
      <c r="AT1160" s="48">
        <f t="shared" ca="1" si="274"/>
        <v>93.269504835616416</v>
      </c>
      <c r="AU1160" s="3">
        <f t="shared" ca="1" si="271"/>
        <v>-93.269504835616416</v>
      </c>
      <c r="AV1160" s="3">
        <f t="shared" ca="1" si="272"/>
        <v>-93.269504835616416</v>
      </c>
    </row>
    <row r="1161" spans="43:48" x14ac:dyDescent="0.2">
      <c r="AQ1161" s="4">
        <f t="shared" ca="1" si="273"/>
        <v>45509</v>
      </c>
      <c r="AR1161" s="3">
        <f t="shared" ca="1" si="270"/>
        <v>782606.19</v>
      </c>
      <c r="AS1161" s="63">
        <f ca="1">IF($AQ1161&lt;&gt;"", INDEX(Inputs!$B$3:$B$101, MATCH($AQ1161,Inputs!$A$3:$A$101,1)), "")</f>
        <v>4.3499999999999997E-2</v>
      </c>
      <c r="AT1161" s="48">
        <f t="shared" ca="1" si="274"/>
        <v>93.269504835616416</v>
      </c>
      <c r="AU1161" s="3">
        <f t="shared" ca="1" si="271"/>
        <v>10306.730495164384</v>
      </c>
      <c r="AV1161" s="3">
        <f t="shared" ca="1" si="272"/>
        <v>10306.730495164384</v>
      </c>
    </row>
    <row r="1162" spans="43:48" x14ac:dyDescent="0.2">
      <c r="AQ1162" s="4">
        <f t="shared" ca="1" si="273"/>
        <v>45510</v>
      </c>
      <c r="AR1162" s="3">
        <f t="shared" ca="1" si="270"/>
        <v>782606.19</v>
      </c>
      <c r="AS1162" s="63">
        <f ca="1">IF($AQ1162&lt;&gt;"", INDEX(Inputs!$B$3:$B$101, MATCH($AQ1162,Inputs!$A$3:$A$101,1)), "")</f>
        <v>4.3499999999999997E-2</v>
      </c>
      <c r="AT1162" s="48">
        <f t="shared" ca="1" si="274"/>
        <v>93.269504835616416</v>
      </c>
      <c r="AU1162" s="3">
        <f t="shared" ca="1" si="271"/>
        <v>-93.269504835616416</v>
      </c>
      <c r="AV1162" s="3">
        <f t="shared" ca="1" si="272"/>
        <v>-93.269504835616416</v>
      </c>
    </row>
    <row r="1163" spans="43:48" x14ac:dyDescent="0.2">
      <c r="AQ1163" s="4">
        <f t="shared" ca="1" si="273"/>
        <v>45511</v>
      </c>
      <c r="AR1163" s="3">
        <f t="shared" ca="1" si="270"/>
        <v>782606.19</v>
      </c>
      <c r="AS1163" s="63">
        <f ca="1">IF($AQ1163&lt;&gt;"", INDEX(Inputs!$B$3:$B$101, MATCH($AQ1163,Inputs!$A$3:$A$101,1)), "")</f>
        <v>4.3499999999999997E-2</v>
      </c>
      <c r="AT1163" s="48">
        <f t="shared" ca="1" si="274"/>
        <v>93.269504835616416</v>
      </c>
      <c r="AU1163" s="3">
        <f t="shared" ca="1" si="271"/>
        <v>-93.269504835616416</v>
      </c>
      <c r="AV1163" s="3">
        <f t="shared" ca="1" si="272"/>
        <v>-93.269504835616416</v>
      </c>
    </row>
    <row r="1164" spans="43:48" x14ac:dyDescent="0.2">
      <c r="AQ1164" s="4">
        <f t="shared" ca="1" si="273"/>
        <v>45512</v>
      </c>
      <c r="AR1164" s="3">
        <f t="shared" ca="1" si="270"/>
        <v>782606.19</v>
      </c>
      <c r="AS1164" s="63">
        <f ca="1">IF($AQ1164&lt;&gt;"", INDEX(Inputs!$B$3:$B$101, MATCH($AQ1164,Inputs!$A$3:$A$101,1)), "")</f>
        <v>4.3499999999999997E-2</v>
      </c>
      <c r="AT1164" s="48">
        <f t="shared" ca="1" si="274"/>
        <v>93.269504835616416</v>
      </c>
      <c r="AU1164" s="3">
        <f t="shared" ca="1" si="271"/>
        <v>-93.269504835616416</v>
      </c>
      <c r="AV1164" s="3">
        <f t="shared" ca="1" si="272"/>
        <v>-93.269504835616416</v>
      </c>
    </row>
    <row r="1165" spans="43:48" x14ac:dyDescent="0.2">
      <c r="AQ1165" s="4">
        <f t="shared" ca="1" si="273"/>
        <v>45513</v>
      </c>
      <c r="AR1165" s="3">
        <f t="shared" ca="1" si="270"/>
        <v>782606.19</v>
      </c>
      <c r="AS1165" s="63">
        <f ca="1">IF($AQ1165&lt;&gt;"", INDEX(Inputs!$B$3:$B$101, MATCH($AQ1165,Inputs!$A$3:$A$101,1)), "")</f>
        <v>4.3499999999999997E-2</v>
      </c>
      <c r="AT1165" s="48">
        <f t="shared" ca="1" si="274"/>
        <v>93.269504835616416</v>
      </c>
      <c r="AU1165" s="3">
        <f t="shared" ca="1" si="271"/>
        <v>-93.269504835616416</v>
      </c>
      <c r="AV1165" s="3">
        <f t="shared" ca="1" si="272"/>
        <v>-93.269504835616416</v>
      </c>
    </row>
    <row r="1166" spans="43:48" x14ac:dyDescent="0.2">
      <c r="AQ1166" s="4">
        <f t="shared" ca="1" si="273"/>
        <v>45514</v>
      </c>
      <c r="AR1166" s="3">
        <f t="shared" ca="1" si="270"/>
        <v>782606.19</v>
      </c>
      <c r="AS1166" s="63">
        <f ca="1">IF($AQ1166&lt;&gt;"", INDEX(Inputs!$B$3:$B$101, MATCH($AQ1166,Inputs!$A$3:$A$101,1)), "")</f>
        <v>4.3499999999999997E-2</v>
      </c>
      <c r="AT1166" s="48">
        <f t="shared" ca="1" si="274"/>
        <v>93.269504835616416</v>
      </c>
      <c r="AU1166" s="3">
        <f t="shared" ca="1" si="271"/>
        <v>-93.269504835616416</v>
      </c>
      <c r="AV1166" s="3">
        <f t="shared" ca="1" si="272"/>
        <v>-93.269504835616416</v>
      </c>
    </row>
    <row r="1167" spans="43:48" x14ac:dyDescent="0.2">
      <c r="AQ1167" s="4">
        <f t="shared" ca="1" si="273"/>
        <v>45515</v>
      </c>
      <c r="AR1167" s="3">
        <f t="shared" ca="1" si="270"/>
        <v>782606.19</v>
      </c>
      <c r="AS1167" s="63">
        <f ca="1">IF($AQ1167&lt;&gt;"", INDEX(Inputs!$B$3:$B$101, MATCH($AQ1167,Inputs!$A$3:$A$101,1)), "")</f>
        <v>4.3499999999999997E-2</v>
      </c>
      <c r="AT1167" s="48">
        <f t="shared" ca="1" si="274"/>
        <v>93.269504835616416</v>
      </c>
      <c r="AU1167" s="3">
        <f t="shared" ca="1" si="271"/>
        <v>-93.269504835616416</v>
      </c>
      <c r="AV1167" s="3">
        <f t="shared" ca="1" si="272"/>
        <v>-93.269504835616416</v>
      </c>
    </row>
    <row r="1168" spans="43:48" x14ac:dyDescent="0.2">
      <c r="AQ1168" s="4">
        <f t="shared" ca="1" si="273"/>
        <v>45516</v>
      </c>
      <c r="AR1168" s="3">
        <f t="shared" ca="1" si="270"/>
        <v>782606.19</v>
      </c>
      <c r="AS1168" s="63">
        <f ca="1">IF($AQ1168&lt;&gt;"", INDEX(Inputs!$B$3:$B$101, MATCH($AQ1168,Inputs!$A$3:$A$101,1)), "")</f>
        <v>4.3499999999999997E-2</v>
      </c>
      <c r="AT1168" s="48">
        <f t="shared" ca="1" si="274"/>
        <v>93.269504835616416</v>
      </c>
      <c r="AU1168" s="3">
        <f t="shared" ca="1" si="271"/>
        <v>-93.269504835616416</v>
      </c>
      <c r="AV1168" s="3">
        <f t="shared" ca="1" si="272"/>
        <v>-93.269504835616416</v>
      </c>
    </row>
    <row r="1169" spans="43:48" x14ac:dyDescent="0.2">
      <c r="AQ1169" s="4">
        <f t="shared" ca="1" si="273"/>
        <v>45517</v>
      </c>
      <c r="AR1169" s="3">
        <f t="shared" ca="1" si="270"/>
        <v>782606.19</v>
      </c>
      <c r="AS1169" s="63">
        <f ca="1">IF($AQ1169&lt;&gt;"", INDEX(Inputs!$B$3:$B$101, MATCH($AQ1169,Inputs!$A$3:$A$101,1)), "")</f>
        <v>4.3499999999999997E-2</v>
      </c>
      <c r="AT1169" s="48">
        <f t="shared" ca="1" si="274"/>
        <v>93.269504835616416</v>
      </c>
      <c r="AU1169" s="3">
        <f t="shared" ca="1" si="271"/>
        <v>-93.269504835616416</v>
      </c>
      <c r="AV1169" s="3">
        <f t="shared" ca="1" si="272"/>
        <v>-93.269504835616416</v>
      </c>
    </row>
    <row r="1170" spans="43:48" x14ac:dyDescent="0.2">
      <c r="AQ1170" s="4">
        <f t="shared" ca="1" si="273"/>
        <v>45518</v>
      </c>
      <c r="AR1170" s="3">
        <f t="shared" ca="1" si="270"/>
        <v>782606.19</v>
      </c>
      <c r="AS1170" s="63">
        <f ca="1">IF($AQ1170&lt;&gt;"", INDEX(Inputs!$B$3:$B$101, MATCH($AQ1170,Inputs!$A$3:$A$101,1)), "")</f>
        <v>4.3499999999999997E-2</v>
      </c>
      <c r="AT1170" s="48">
        <f t="shared" ca="1" si="274"/>
        <v>93.269504835616416</v>
      </c>
      <c r="AU1170" s="3">
        <f t="shared" ca="1" si="271"/>
        <v>-93.269504835616416</v>
      </c>
      <c r="AV1170" s="3">
        <f t="shared" ca="1" si="272"/>
        <v>-93.269504835616416</v>
      </c>
    </row>
    <row r="1171" spans="43:48" x14ac:dyDescent="0.2">
      <c r="AQ1171" s="4">
        <f t="shared" ca="1" si="273"/>
        <v>45519</v>
      </c>
      <c r="AR1171" s="3">
        <f t="shared" ca="1" si="270"/>
        <v>782606.19</v>
      </c>
      <c r="AS1171" s="63">
        <f ca="1">IF($AQ1171&lt;&gt;"", INDEX(Inputs!$B$3:$B$101, MATCH($AQ1171,Inputs!$A$3:$A$101,1)), "")</f>
        <v>4.3499999999999997E-2</v>
      </c>
      <c r="AT1171" s="48">
        <f t="shared" ca="1" si="274"/>
        <v>93.269504835616416</v>
      </c>
      <c r="AU1171" s="3">
        <f t="shared" ca="1" si="271"/>
        <v>-93.269504835616416</v>
      </c>
      <c r="AV1171" s="3">
        <f t="shared" ca="1" si="272"/>
        <v>-93.269504835616416</v>
      </c>
    </row>
    <row r="1172" spans="43:48" x14ac:dyDescent="0.2">
      <c r="AQ1172" s="4">
        <f t="shared" ca="1" si="273"/>
        <v>45520</v>
      </c>
      <c r="AR1172" s="3">
        <f t="shared" ca="1" si="270"/>
        <v>802778.36999999988</v>
      </c>
      <c r="AS1172" s="63">
        <f ca="1">IF($AQ1172&lt;&gt;"", INDEX(Inputs!$B$3:$B$101, MATCH($AQ1172,Inputs!$A$3:$A$101,1)), "")</f>
        <v>4.3499999999999997E-2</v>
      </c>
      <c r="AT1172" s="48">
        <f t="shared" ca="1" si="274"/>
        <v>95.673586561643816</v>
      </c>
      <c r="AU1172" s="3">
        <f t="shared" ca="1" si="271"/>
        <v>-20267.853586561643</v>
      </c>
      <c r="AV1172" s="3">
        <f t="shared" ca="1" si="272"/>
        <v>-20267.853586561643</v>
      </c>
    </row>
    <row r="1173" spans="43:48" x14ac:dyDescent="0.2">
      <c r="AQ1173" s="4">
        <f t="shared" ca="1" si="273"/>
        <v>45521</v>
      </c>
      <c r="AR1173" s="3">
        <f t="shared" ca="1" si="270"/>
        <v>802778.36999999988</v>
      </c>
      <c r="AS1173" s="63">
        <f ca="1">IF($AQ1173&lt;&gt;"", INDEX(Inputs!$B$3:$B$101, MATCH($AQ1173,Inputs!$A$3:$A$101,1)), "")</f>
        <v>4.3499999999999997E-2</v>
      </c>
      <c r="AT1173" s="48">
        <f t="shared" ca="1" si="274"/>
        <v>95.673586561643816</v>
      </c>
      <c r="AU1173" s="3">
        <f t="shared" ca="1" si="271"/>
        <v>-95.673586561643816</v>
      </c>
      <c r="AV1173" s="3">
        <f t="shared" ca="1" si="272"/>
        <v>-95.673586561643816</v>
      </c>
    </row>
    <row r="1174" spans="43:48" x14ac:dyDescent="0.2">
      <c r="AQ1174" s="4">
        <f t="shared" ca="1" si="273"/>
        <v>45522</v>
      </c>
      <c r="AR1174" s="3">
        <f t="shared" ca="1" si="270"/>
        <v>802778.36999999988</v>
      </c>
      <c r="AS1174" s="63">
        <f ca="1">IF($AQ1174&lt;&gt;"", INDEX(Inputs!$B$3:$B$101, MATCH($AQ1174,Inputs!$A$3:$A$101,1)), "")</f>
        <v>4.3499999999999997E-2</v>
      </c>
      <c r="AT1174" s="48">
        <f t="shared" ca="1" si="274"/>
        <v>95.673586561643816</v>
      </c>
      <c r="AU1174" s="3">
        <f t="shared" ca="1" si="271"/>
        <v>-95.673586561643816</v>
      </c>
      <c r="AV1174" s="3">
        <f t="shared" ca="1" si="272"/>
        <v>-95.673586561643816</v>
      </c>
    </row>
    <row r="1175" spans="43:48" x14ac:dyDescent="0.2">
      <c r="AQ1175" s="4">
        <f t="shared" ca="1" si="273"/>
        <v>45523</v>
      </c>
      <c r="AR1175" s="3">
        <f t="shared" ca="1" si="270"/>
        <v>802778.36999999988</v>
      </c>
      <c r="AS1175" s="63">
        <f ca="1">IF($AQ1175&lt;&gt;"", INDEX(Inputs!$B$3:$B$101, MATCH($AQ1175,Inputs!$A$3:$A$101,1)), "")</f>
        <v>4.3499999999999997E-2</v>
      </c>
      <c r="AT1175" s="48">
        <f t="shared" ca="1" si="274"/>
        <v>95.673586561643816</v>
      </c>
      <c r="AU1175" s="3">
        <f t="shared" ca="1" si="271"/>
        <v>-95.673586561643816</v>
      </c>
      <c r="AV1175" s="3">
        <f t="shared" ca="1" si="272"/>
        <v>-95.673586561643816</v>
      </c>
    </row>
    <row r="1176" spans="43:48" x14ac:dyDescent="0.2">
      <c r="AQ1176" s="4">
        <f t="shared" ca="1" si="273"/>
        <v>45524</v>
      </c>
      <c r="AR1176" s="3">
        <f t="shared" ca="1" si="270"/>
        <v>802778.36999999988</v>
      </c>
      <c r="AS1176" s="63">
        <f ca="1">IF($AQ1176&lt;&gt;"", INDEX(Inputs!$B$3:$B$101, MATCH($AQ1176,Inputs!$A$3:$A$101,1)), "")</f>
        <v>4.3499999999999997E-2</v>
      </c>
      <c r="AT1176" s="48">
        <f t="shared" ca="1" si="274"/>
        <v>95.673586561643816</v>
      </c>
      <c r="AU1176" s="3">
        <f t="shared" ca="1" si="271"/>
        <v>-95.673586561643816</v>
      </c>
      <c r="AV1176" s="3">
        <f t="shared" ca="1" si="272"/>
        <v>-95.673586561643816</v>
      </c>
    </row>
    <row r="1177" spans="43:48" x14ac:dyDescent="0.2">
      <c r="AQ1177" s="4">
        <f t="shared" ca="1" si="273"/>
        <v>45525</v>
      </c>
      <c r="AR1177" s="3">
        <f t="shared" ref="AR1177:AR1240" ca="1" si="275">IF($AQ1177&lt;&gt;"", INDEX($AC$3:$AC$1055, MATCH($AQ1177,$A$3:$A$1055,1)), "")</f>
        <v>802778.36999999988</v>
      </c>
      <c r="AS1177" s="63">
        <f ca="1">IF($AQ1177&lt;&gt;"", INDEX(Inputs!$B$3:$B$101, MATCH($AQ1177,Inputs!$A$3:$A$101,1)), "")</f>
        <v>4.3499999999999997E-2</v>
      </c>
      <c r="AT1177" s="48">
        <f t="shared" ca="1" si="274"/>
        <v>95.673586561643816</v>
      </c>
      <c r="AU1177" s="3">
        <f t="shared" ref="AU1177:AU1240" ca="1" si="276">IF($AQ1177&lt;&gt;"", SUMIFS($AL$3:$AL$1054, $A$3:$A$1054,$AQ1177) + SUMIFS($M$3:$M$1054, $A$3:$A$1054,$AQ1177)*IFERROR(AVERAGEIFS($L$3:$L$1054, $A$3:$A$1054,$AQ1177, $M$3:$M$1054,"&gt;0"),0) - AT1177, "")</f>
        <v>-95.673586561643816</v>
      </c>
      <c r="AV1177" s="3">
        <f t="shared" ca="1" si="272"/>
        <v>-95.673586561643816</v>
      </c>
    </row>
    <row r="1178" spans="43:48" x14ac:dyDescent="0.2">
      <c r="AQ1178" s="4">
        <f t="shared" ca="1" si="273"/>
        <v>45526</v>
      </c>
      <c r="AR1178" s="3">
        <f t="shared" ca="1" si="275"/>
        <v>802778.36999999988</v>
      </c>
      <c r="AS1178" s="63">
        <f ca="1">IF($AQ1178&lt;&gt;"", INDEX(Inputs!$B$3:$B$101, MATCH($AQ1178,Inputs!$A$3:$A$101,1)), "")</f>
        <v>4.3499999999999997E-2</v>
      </c>
      <c r="AT1178" s="48">
        <f t="shared" ca="1" si="274"/>
        <v>95.673586561643816</v>
      </c>
      <c r="AU1178" s="3">
        <f t="shared" ca="1" si="276"/>
        <v>-95.673586561643816</v>
      </c>
      <c r="AV1178" s="3">
        <f t="shared" ca="1" si="272"/>
        <v>-95.673586561643816</v>
      </c>
    </row>
    <row r="1179" spans="43:48" x14ac:dyDescent="0.2">
      <c r="AQ1179" s="4">
        <f t="shared" ca="1" si="273"/>
        <v>45527</v>
      </c>
      <c r="AR1179" s="3">
        <f t="shared" ca="1" si="275"/>
        <v>802778.36999999988</v>
      </c>
      <c r="AS1179" s="63">
        <f ca="1">IF($AQ1179&lt;&gt;"", INDEX(Inputs!$B$3:$B$101, MATCH($AQ1179,Inputs!$A$3:$A$101,1)), "")</f>
        <v>4.3499999999999997E-2</v>
      </c>
      <c r="AT1179" s="48">
        <f t="shared" ca="1" si="274"/>
        <v>95.673586561643816</v>
      </c>
      <c r="AU1179" s="3">
        <f t="shared" ca="1" si="276"/>
        <v>-95.673586561643816</v>
      </c>
      <c r="AV1179" s="3">
        <f t="shared" ca="1" si="272"/>
        <v>-95.673586561643816</v>
      </c>
    </row>
    <row r="1180" spans="43:48" x14ac:dyDescent="0.2">
      <c r="AQ1180" s="4">
        <f t="shared" ca="1" si="273"/>
        <v>45528</v>
      </c>
      <c r="AR1180" s="3">
        <f t="shared" ca="1" si="275"/>
        <v>802778.36999999988</v>
      </c>
      <c r="AS1180" s="63">
        <f ca="1">IF($AQ1180&lt;&gt;"", INDEX(Inputs!$B$3:$B$101, MATCH($AQ1180,Inputs!$A$3:$A$101,1)), "")</f>
        <v>4.3499999999999997E-2</v>
      </c>
      <c r="AT1180" s="48">
        <f t="shared" ca="1" si="274"/>
        <v>95.673586561643816</v>
      </c>
      <c r="AU1180" s="3">
        <f t="shared" ca="1" si="276"/>
        <v>-95.673586561643816</v>
      </c>
      <c r="AV1180" s="3">
        <f t="shared" ca="1" si="272"/>
        <v>-95.673586561643816</v>
      </c>
    </row>
    <row r="1181" spans="43:48" x14ac:dyDescent="0.2">
      <c r="AQ1181" s="4">
        <f t="shared" ca="1" si="273"/>
        <v>45529</v>
      </c>
      <c r="AR1181" s="3">
        <f t="shared" ca="1" si="275"/>
        <v>802778.36999999988</v>
      </c>
      <c r="AS1181" s="63">
        <f ca="1">IF($AQ1181&lt;&gt;"", INDEX(Inputs!$B$3:$B$101, MATCH($AQ1181,Inputs!$A$3:$A$101,1)), "")</f>
        <v>4.3499999999999997E-2</v>
      </c>
      <c r="AT1181" s="48">
        <f t="shared" ca="1" si="274"/>
        <v>95.673586561643816</v>
      </c>
      <c r="AU1181" s="3">
        <f t="shared" ca="1" si="276"/>
        <v>-95.673586561643816</v>
      </c>
      <c r="AV1181" s="3">
        <f t="shared" ca="1" si="272"/>
        <v>-95.673586561643816</v>
      </c>
    </row>
    <row r="1182" spans="43:48" x14ac:dyDescent="0.2">
      <c r="AQ1182" s="4">
        <f t="shared" ca="1" si="273"/>
        <v>45530</v>
      </c>
      <c r="AR1182" s="3">
        <f t="shared" ca="1" si="275"/>
        <v>802778.36999999988</v>
      </c>
      <c r="AS1182" s="63">
        <f ca="1">IF($AQ1182&lt;&gt;"", INDEX(Inputs!$B$3:$B$101, MATCH($AQ1182,Inputs!$A$3:$A$101,1)), "")</f>
        <v>4.3499999999999997E-2</v>
      </c>
      <c r="AT1182" s="48">
        <f t="shared" ca="1" si="274"/>
        <v>95.673586561643816</v>
      </c>
      <c r="AU1182" s="3">
        <f t="shared" ca="1" si="276"/>
        <v>-95.673586561643816</v>
      </c>
      <c r="AV1182" s="3">
        <f t="shared" ca="1" si="272"/>
        <v>-95.673586561643816</v>
      </c>
    </row>
    <row r="1183" spans="43:48" x14ac:dyDescent="0.2">
      <c r="AQ1183" s="4">
        <f t="shared" ca="1" si="273"/>
        <v>45531</v>
      </c>
      <c r="AR1183" s="3">
        <f t="shared" ca="1" si="275"/>
        <v>802778.36999999988</v>
      </c>
      <c r="AS1183" s="63">
        <f ca="1">IF($AQ1183&lt;&gt;"", INDEX(Inputs!$B$3:$B$101, MATCH($AQ1183,Inputs!$A$3:$A$101,1)), "")</f>
        <v>4.3499999999999997E-2</v>
      </c>
      <c r="AT1183" s="48">
        <f t="shared" ca="1" si="274"/>
        <v>95.673586561643816</v>
      </c>
      <c r="AU1183" s="3">
        <f t="shared" ca="1" si="276"/>
        <v>-95.673586561643816</v>
      </c>
      <c r="AV1183" s="3">
        <f t="shared" ca="1" si="272"/>
        <v>-95.673586561643816</v>
      </c>
    </row>
    <row r="1184" spans="43:48" x14ac:dyDescent="0.2">
      <c r="AQ1184" s="4">
        <f t="shared" ca="1" si="273"/>
        <v>45532</v>
      </c>
      <c r="AR1184" s="3">
        <f t="shared" ca="1" si="275"/>
        <v>802778.36999999988</v>
      </c>
      <c r="AS1184" s="63">
        <f ca="1">IF($AQ1184&lt;&gt;"", INDEX(Inputs!$B$3:$B$101, MATCH($AQ1184,Inputs!$A$3:$A$101,1)), "")</f>
        <v>4.3499999999999997E-2</v>
      </c>
      <c r="AT1184" s="48">
        <f t="shared" ca="1" si="274"/>
        <v>95.673586561643816</v>
      </c>
      <c r="AU1184" s="3">
        <f t="shared" ca="1" si="276"/>
        <v>-95.673586561643816</v>
      </c>
      <c r="AV1184" s="3">
        <f t="shared" ref="AV1184:AV1247" ca="1" si="277">IF(AQ1184&lt;&gt;"", AU1184*(1+$X$9/CompoundingRate)^-((AQ1184-AQ$3)/(365/CompoundingRate)), "")</f>
        <v>-95.673586561643816</v>
      </c>
    </row>
    <row r="1185" spans="43:48" x14ac:dyDescent="0.2">
      <c r="AQ1185" s="4">
        <f t="shared" ca="1" si="273"/>
        <v>45533</v>
      </c>
      <c r="AR1185" s="3">
        <f t="shared" ca="1" si="275"/>
        <v>802778.36999999988</v>
      </c>
      <c r="AS1185" s="63">
        <f ca="1">IF($AQ1185&lt;&gt;"", INDEX(Inputs!$B$3:$B$101, MATCH($AQ1185,Inputs!$A$3:$A$101,1)), "")</f>
        <v>4.3499999999999997E-2</v>
      </c>
      <c r="AT1185" s="48">
        <f t="shared" ca="1" si="274"/>
        <v>95.673586561643816</v>
      </c>
      <c r="AU1185" s="3">
        <f t="shared" ca="1" si="276"/>
        <v>-95.673586561643816</v>
      </c>
      <c r="AV1185" s="3">
        <f t="shared" ca="1" si="277"/>
        <v>-95.673586561643816</v>
      </c>
    </row>
    <row r="1186" spans="43:48" x14ac:dyDescent="0.2">
      <c r="AQ1186" s="4">
        <f t="shared" ca="1" si="273"/>
        <v>45534</v>
      </c>
      <c r="AR1186" s="3">
        <f t="shared" ca="1" si="275"/>
        <v>791099.82999999984</v>
      </c>
      <c r="AS1186" s="63">
        <f ca="1">IF($AQ1186&lt;&gt;"", INDEX(Inputs!$B$3:$B$101, MATCH($AQ1186,Inputs!$A$3:$A$101,1)), "")</f>
        <v>4.3499999999999997E-2</v>
      </c>
      <c r="AT1186" s="48">
        <f t="shared" ca="1" si="274"/>
        <v>94.281760561643807</v>
      </c>
      <c r="AU1186" s="3">
        <f t="shared" ca="1" si="276"/>
        <v>-94.281760561643807</v>
      </c>
      <c r="AV1186" s="3">
        <f t="shared" ca="1" si="277"/>
        <v>-94.281760561643807</v>
      </c>
    </row>
    <row r="1187" spans="43:48" x14ac:dyDescent="0.2">
      <c r="AQ1187" s="4">
        <f t="shared" ca="1" si="273"/>
        <v>45535</v>
      </c>
      <c r="AR1187" s="3">
        <f t="shared" ca="1" si="275"/>
        <v>791099.82999999984</v>
      </c>
      <c r="AS1187" s="63">
        <f ca="1">IF($AQ1187&lt;&gt;"", INDEX(Inputs!$B$3:$B$101, MATCH($AQ1187,Inputs!$A$3:$A$101,1)), "")</f>
        <v>4.3499999999999997E-2</v>
      </c>
      <c r="AT1187" s="48">
        <f t="shared" ca="1" si="274"/>
        <v>94.281760561643807</v>
      </c>
      <c r="AU1187" s="3">
        <f t="shared" ca="1" si="276"/>
        <v>-94.281760561643807</v>
      </c>
      <c r="AV1187" s="3">
        <f t="shared" ca="1" si="277"/>
        <v>-94.281760561643807</v>
      </c>
    </row>
    <row r="1188" spans="43:48" x14ac:dyDescent="0.2">
      <c r="AQ1188" s="4">
        <f t="shared" ca="1" si="273"/>
        <v>45536</v>
      </c>
      <c r="AR1188" s="3">
        <f t="shared" ca="1" si="275"/>
        <v>791099.82999999984</v>
      </c>
      <c r="AS1188" s="63">
        <f ca="1">IF($AQ1188&lt;&gt;"", INDEX(Inputs!$B$3:$B$101, MATCH($AQ1188,Inputs!$A$3:$A$101,1)), "")</f>
        <v>4.3499999999999997E-2</v>
      </c>
      <c r="AT1188" s="48">
        <f t="shared" ca="1" si="274"/>
        <v>94.281760561643807</v>
      </c>
      <c r="AU1188" s="3">
        <f t="shared" ca="1" si="276"/>
        <v>-94.281760561643807</v>
      </c>
      <c r="AV1188" s="3">
        <f t="shared" ca="1" si="277"/>
        <v>-94.281760561643807</v>
      </c>
    </row>
    <row r="1189" spans="43:48" x14ac:dyDescent="0.2">
      <c r="AQ1189" s="4">
        <f t="shared" ca="1" si="273"/>
        <v>45537</v>
      </c>
      <c r="AR1189" s="3">
        <f t="shared" ca="1" si="275"/>
        <v>791099.82999999984</v>
      </c>
      <c r="AS1189" s="63">
        <f ca="1">IF($AQ1189&lt;&gt;"", INDEX(Inputs!$B$3:$B$101, MATCH($AQ1189,Inputs!$A$3:$A$101,1)), "")</f>
        <v>4.3499999999999997E-2</v>
      </c>
      <c r="AT1189" s="48">
        <f t="shared" ca="1" si="274"/>
        <v>94.281760561643807</v>
      </c>
      <c r="AU1189" s="3">
        <f t="shared" ca="1" si="276"/>
        <v>10305.718239438356</v>
      </c>
      <c r="AV1189" s="3">
        <f t="shared" ca="1" si="277"/>
        <v>10305.718239438356</v>
      </c>
    </row>
    <row r="1190" spans="43:48" x14ac:dyDescent="0.2">
      <c r="AQ1190" s="4">
        <f t="shared" ca="1" si="273"/>
        <v>45538</v>
      </c>
      <c r="AR1190" s="3">
        <f t="shared" ca="1" si="275"/>
        <v>791099.82999999984</v>
      </c>
      <c r="AS1190" s="63">
        <f ca="1">IF($AQ1190&lt;&gt;"", INDEX(Inputs!$B$3:$B$101, MATCH($AQ1190,Inputs!$A$3:$A$101,1)), "")</f>
        <v>4.3499999999999997E-2</v>
      </c>
      <c r="AT1190" s="48">
        <f t="shared" ca="1" si="274"/>
        <v>94.281760561643807</v>
      </c>
      <c r="AU1190" s="3">
        <f t="shared" ca="1" si="276"/>
        <v>-94.281760561643807</v>
      </c>
      <c r="AV1190" s="3">
        <f t="shared" ca="1" si="277"/>
        <v>-94.281760561643807</v>
      </c>
    </row>
    <row r="1191" spans="43:48" x14ac:dyDescent="0.2">
      <c r="AQ1191" s="4">
        <f t="shared" ca="1" si="273"/>
        <v>45539</v>
      </c>
      <c r="AR1191" s="3">
        <f t="shared" ca="1" si="275"/>
        <v>791099.82999999984</v>
      </c>
      <c r="AS1191" s="63">
        <f ca="1">IF($AQ1191&lt;&gt;"", INDEX(Inputs!$B$3:$B$101, MATCH($AQ1191,Inputs!$A$3:$A$101,1)), "")</f>
        <v>4.3499999999999997E-2</v>
      </c>
      <c r="AT1191" s="48">
        <f t="shared" ca="1" si="274"/>
        <v>94.281760561643807</v>
      </c>
      <c r="AU1191" s="3">
        <f t="shared" ca="1" si="276"/>
        <v>-94.281760561643807</v>
      </c>
      <c r="AV1191" s="3">
        <f t="shared" ca="1" si="277"/>
        <v>-94.281760561643807</v>
      </c>
    </row>
    <row r="1192" spans="43:48" x14ac:dyDescent="0.2">
      <c r="AQ1192" s="4">
        <f t="shared" ca="1" si="273"/>
        <v>45540</v>
      </c>
      <c r="AR1192" s="3">
        <f t="shared" ca="1" si="275"/>
        <v>791099.82999999984</v>
      </c>
      <c r="AS1192" s="63">
        <f ca="1">IF($AQ1192&lt;&gt;"", INDEX(Inputs!$B$3:$B$101, MATCH($AQ1192,Inputs!$A$3:$A$101,1)), "")</f>
        <v>4.3499999999999997E-2</v>
      </c>
      <c r="AT1192" s="48">
        <f t="shared" ca="1" si="274"/>
        <v>94.281760561643807</v>
      </c>
      <c r="AU1192" s="3">
        <f t="shared" ca="1" si="276"/>
        <v>-94.281760561643807</v>
      </c>
      <c r="AV1192" s="3">
        <f t="shared" ca="1" si="277"/>
        <v>-94.281760561643807</v>
      </c>
    </row>
    <row r="1193" spans="43:48" x14ac:dyDescent="0.2">
      <c r="AQ1193" s="4">
        <f t="shared" ca="1" si="273"/>
        <v>45541</v>
      </c>
      <c r="AR1193" s="3">
        <f t="shared" ca="1" si="275"/>
        <v>791099.82999999984</v>
      </c>
      <c r="AS1193" s="63">
        <f ca="1">IF($AQ1193&lt;&gt;"", INDEX(Inputs!$B$3:$B$101, MATCH($AQ1193,Inputs!$A$3:$A$101,1)), "")</f>
        <v>4.3499999999999997E-2</v>
      </c>
      <c r="AT1193" s="48">
        <f t="shared" ca="1" si="274"/>
        <v>94.281760561643807</v>
      </c>
      <c r="AU1193" s="3">
        <f t="shared" ca="1" si="276"/>
        <v>-94.281760561643807</v>
      </c>
      <c r="AV1193" s="3">
        <f t="shared" ca="1" si="277"/>
        <v>-94.281760561643807</v>
      </c>
    </row>
    <row r="1194" spans="43:48" x14ac:dyDescent="0.2">
      <c r="AQ1194" s="4">
        <f t="shared" ca="1" si="273"/>
        <v>45542</v>
      </c>
      <c r="AR1194" s="3">
        <f t="shared" ca="1" si="275"/>
        <v>791099.82999999984</v>
      </c>
      <c r="AS1194" s="63">
        <f ca="1">IF($AQ1194&lt;&gt;"", INDEX(Inputs!$B$3:$B$101, MATCH($AQ1194,Inputs!$A$3:$A$101,1)), "")</f>
        <v>4.3499999999999997E-2</v>
      </c>
      <c r="AT1194" s="48">
        <f t="shared" ca="1" si="274"/>
        <v>94.281760561643807</v>
      </c>
      <c r="AU1194" s="3">
        <f t="shared" ca="1" si="276"/>
        <v>-94.281760561643807</v>
      </c>
      <c r="AV1194" s="3">
        <f t="shared" ca="1" si="277"/>
        <v>-94.281760561643807</v>
      </c>
    </row>
    <row r="1195" spans="43:48" x14ac:dyDescent="0.2">
      <c r="AQ1195" s="4">
        <f t="shared" ca="1" si="273"/>
        <v>45543</v>
      </c>
      <c r="AR1195" s="3">
        <f t="shared" ca="1" si="275"/>
        <v>791099.82999999984</v>
      </c>
      <c r="AS1195" s="63">
        <f ca="1">IF($AQ1195&lt;&gt;"", INDEX(Inputs!$B$3:$B$101, MATCH($AQ1195,Inputs!$A$3:$A$101,1)), "")</f>
        <v>4.3499999999999997E-2</v>
      </c>
      <c r="AT1195" s="48">
        <f t="shared" ca="1" si="274"/>
        <v>94.281760561643807</v>
      </c>
      <c r="AU1195" s="3">
        <f t="shared" ca="1" si="276"/>
        <v>-94.281760561643807</v>
      </c>
      <c r="AV1195" s="3">
        <f t="shared" ca="1" si="277"/>
        <v>-94.281760561643807</v>
      </c>
    </row>
    <row r="1196" spans="43:48" x14ac:dyDescent="0.2">
      <c r="AQ1196" s="4">
        <f t="shared" ca="1" si="273"/>
        <v>45544</v>
      </c>
      <c r="AR1196" s="3">
        <f t="shared" ca="1" si="275"/>
        <v>791099.82999999984</v>
      </c>
      <c r="AS1196" s="63">
        <f ca="1">IF($AQ1196&lt;&gt;"", INDEX(Inputs!$B$3:$B$101, MATCH($AQ1196,Inputs!$A$3:$A$101,1)), "")</f>
        <v>4.3499999999999997E-2</v>
      </c>
      <c r="AT1196" s="48">
        <f t="shared" ca="1" si="274"/>
        <v>94.281760561643807</v>
      </c>
      <c r="AU1196" s="3">
        <f t="shared" ca="1" si="276"/>
        <v>-94.281760561643807</v>
      </c>
      <c r="AV1196" s="3">
        <f t="shared" ca="1" si="277"/>
        <v>-94.281760561643807</v>
      </c>
    </row>
    <row r="1197" spans="43:48" x14ac:dyDescent="0.2">
      <c r="AQ1197" s="4">
        <f t="shared" ca="1" si="273"/>
        <v>45545</v>
      </c>
      <c r="AR1197" s="3">
        <f t="shared" ca="1" si="275"/>
        <v>791099.82999999984</v>
      </c>
      <c r="AS1197" s="63">
        <f ca="1">IF($AQ1197&lt;&gt;"", INDEX(Inputs!$B$3:$B$101, MATCH($AQ1197,Inputs!$A$3:$A$101,1)), "")</f>
        <v>4.3499999999999997E-2</v>
      </c>
      <c r="AT1197" s="48">
        <f t="shared" ca="1" si="274"/>
        <v>94.281760561643807</v>
      </c>
      <c r="AU1197" s="3">
        <f t="shared" ca="1" si="276"/>
        <v>-94.281760561643807</v>
      </c>
      <c r="AV1197" s="3">
        <f t="shared" ca="1" si="277"/>
        <v>-94.281760561643807</v>
      </c>
    </row>
    <row r="1198" spans="43:48" x14ac:dyDescent="0.2">
      <c r="AQ1198" s="4">
        <f t="shared" ca="1" si="273"/>
        <v>45546</v>
      </c>
      <c r="AR1198" s="3">
        <f t="shared" ca="1" si="275"/>
        <v>791099.82999999984</v>
      </c>
      <c r="AS1198" s="63">
        <f ca="1">IF($AQ1198&lt;&gt;"", INDEX(Inputs!$B$3:$B$101, MATCH($AQ1198,Inputs!$A$3:$A$101,1)), "")</f>
        <v>4.3499999999999997E-2</v>
      </c>
      <c r="AT1198" s="48">
        <f t="shared" ca="1" si="274"/>
        <v>94.281760561643807</v>
      </c>
      <c r="AU1198" s="3">
        <f t="shared" ca="1" si="276"/>
        <v>-94.281760561643807</v>
      </c>
      <c r="AV1198" s="3">
        <f t="shared" ca="1" si="277"/>
        <v>-94.281760561643807</v>
      </c>
    </row>
    <row r="1199" spans="43:48" x14ac:dyDescent="0.2">
      <c r="AQ1199" s="4">
        <f t="shared" ca="1" si="273"/>
        <v>45547</v>
      </c>
      <c r="AR1199" s="3">
        <f t="shared" ca="1" si="275"/>
        <v>791099.82999999984</v>
      </c>
      <c r="AS1199" s="63">
        <f ca="1">IF($AQ1199&lt;&gt;"", INDEX(Inputs!$B$3:$B$101, MATCH($AQ1199,Inputs!$A$3:$A$101,1)), "")</f>
        <v>4.3499999999999997E-2</v>
      </c>
      <c r="AT1199" s="48">
        <f t="shared" ca="1" si="274"/>
        <v>94.281760561643807</v>
      </c>
      <c r="AU1199" s="3">
        <f t="shared" ca="1" si="276"/>
        <v>-94.281760561643807</v>
      </c>
      <c r="AV1199" s="3">
        <f t="shared" ca="1" si="277"/>
        <v>-94.281760561643807</v>
      </c>
    </row>
    <row r="1200" spans="43:48" x14ac:dyDescent="0.2">
      <c r="AQ1200" s="4">
        <f t="shared" ca="1" si="273"/>
        <v>45548</v>
      </c>
      <c r="AR1200" s="3">
        <f t="shared" ca="1" si="275"/>
        <v>791099.82999999984</v>
      </c>
      <c r="AS1200" s="63">
        <f ca="1">IF($AQ1200&lt;&gt;"", INDEX(Inputs!$B$3:$B$101, MATCH($AQ1200,Inputs!$A$3:$A$101,1)), "")</f>
        <v>4.3499999999999997E-2</v>
      </c>
      <c r="AT1200" s="48">
        <f t="shared" ca="1" si="274"/>
        <v>94.281760561643807</v>
      </c>
      <c r="AU1200" s="3">
        <f t="shared" ca="1" si="276"/>
        <v>-94.281760561643807</v>
      </c>
      <c r="AV1200" s="3">
        <f t="shared" ca="1" si="277"/>
        <v>-94.281760561643807</v>
      </c>
    </row>
    <row r="1201" spans="43:48" x14ac:dyDescent="0.2">
      <c r="AQ1201" s="4">
        <f t="shared" ca="1" si="273"/>
        <v>45549</v>
      </c>
      <c r="AR1201" s="3">
        <f t="shared" ca="1" si="275"/>
        <v>791099.82999999984</v>
      </c>
      <c r="AS1201" s="63">
        <f ca="1">IF($AQ1201&lt;&gt;"", INDEX(Inputs!$B$3:$B$101, MATCH($AQ1201,Inputs!$A$3:$A$101,1)), "")</f>
        <v>4.3499999999999997E-2</v>
      </c>
      <c r="AT1201" s="48">
        <f t="shared" ca="1" si="274"/>
        <v>94.281760561643807</v>
      </c>
      <c r="AU1201" s="3">
        <f t="shared" ca="1" si="276"/>
        <v>-94.281760561643807</v>
      </c>
      <c r="AV1201" s="3">
        <f t="shared" ca="1" si="277"/>
        <v>-94.281760561643807</v>
      </c>
    </row>
    <row r="1202" spans="43:48" x14ac:dyDescent="0.2">
      <c r="AQ1202" s="4">
        <f t="shared" ca="1" si="273"/>
        <v>45550</v>
      </c>
      <c r="AR1202" s="3">
        <f t="shared" ca="1" si="275"/>
        <v>791099.82999999984</v>
      </c>
      <c r="AS1202" s="63">
        <f ca="1">IF($AQ1202&lt;&gt;"", INDEX(Inputs!$B$3:$B$101, MATCH($AQ1202,Inputs!$A$3:$A$101,1)), "")</f>
        <v>4.3499999999999997E-2</v>
      </c>
      <c r="AT1202" s="48">
        <f t="shared" ca="1" si="274"/>
        <v>94.281760561643807</v>
      </c>
      <c r="AU1202" s="3">
        <f t="shared" ca="1" si="276"/>
        <v>-94.281760561643807</v>
      </c>
      <c r="AV1202" s="3">
        <f t="shared" ca="1" si="277"/>
        <v>-94.281760561643807</v>
      </c>
    </row>
    <row r="1203" spans="43:48" x14ac:dyDescent="0.2">
      <c r="AQ1203" s="4">
        <f t="shared" ca="1" si="273"/>
        <v>45551</v>
      </c>
      <c r="AR1203" s="3">
        <f t="shared" ca="1" si="275"/>
        <v>811272.00999999978</v>
      </c>
      <c r="AS1203" s="63">
        <f ca="1">IF($AQ1203&lt;&gt;"", INDEX(Inputs!$B$3:$B$101, MATCH($AQ1203,Inputs!$A$3:$A$101,1)), "")</f>
        <v>4.3499999999999997E-2</v>
      </c>
      <c r="AT1203" s="48">
        <f t="shared" ca="1" si="274"/>
        <v>96.685842287671207</v>
      </c>
      <c r="AU1203" s="3">
        <f t="shared" ca="1" si="276"/>
        <v>-20268.865842287672</v>
      </c>
      <c r="AV1203" s="3">
        <f t="shared" ca="1" si="277"/>
        <v>-20268.865842287672</v>
      </c>
    </row>
    <row r="1204" spans="43:48" x14ac:dyDescent="0.2">
      <c r="AQ1204" s="4">
        <f t="shared" ca="1" si="273"/>
        <v>45552</v>
      </c>
      <c r="AR1204" s="3">
        <f t="shared" ca="1" si="275"/>
        <v>811272.00999999978</v>
      </c>
      <c r="AS1204" s="63">
        <f ca="1">IF($AQ1204&lt;&gt;"", INDEX(Inputs!$B$3:$B$101, MATCH($AQ1204,Inputs!$A$3:$A$101,1)), "")</f>
        <v>4.3499999999999997E-2</v>
      </c>
      <c r="AT1204" s="48">
        <f t="shared" ca="1" si="274"/>
        <v>96.685842287671207</v>
      </c>
      <c r="AU1204" s="3">
        <f t="shared" ca="1" si="276"/>
        <v>-96.685842287671207</v>
      </c>
      <c r="AV1204" s="3">
        <f t="shared" ca="1" si="277"/>
        <v>-96.685842287671207</v>
      </c>
    </row>
    <row r="1205" spans="43:48" x14ac:dyDescent="0.2">
      <c r="AQ1205" s="4">
        <f t="shared" ca="1" si="273"/>
        <v>45553</v>
      </c>
      <c r="AR1205" s="3">
        <f t="shared" ca="1" si="275"/>
        <v>811272.00999999978</v>
      </c>
      <c r="AS1205" s="63">
        <f ca="1">IF($AQ1205&lt;&gt;"", INDEX(Inputs!$B$3:$B$101, MATCH($AQ1205,Inputs!$A$3:$A$101,1)), "")</f>
        <v>4.3499999999999997E-2</v>
      </c>
      <c r="AT1205" s="48">
        <f t="shared" ca="1" si="274"/>
        <v>96.685842287671207</v>
      </c>
      <c r="AU1205" s="3">
        <f t="shared" ca="1" si="276"/>
        <v>-96.685842287671207</v>
      </c>
      <c r="AV1205" s="3">
        <f t="shared" ca="1" si="277"/>
        <v>-96.685842287671207</v>
      </c>
    </row>
    <row r="1206" spans="43:48" x14ac:dyDescent="0.2">
      <c r="AQ1206" s="4">
        <f t="shared" ca="1" si="273"/>
        <v>45554</v>
      </c>
      <c r="AR1206" s="3">
        <f t="shared" ca="1" si="275"/>
        <v>811272.00999999978</v>
      </c>
      <c r="AS1206" s="63">
        <f ca="1">IF($AQ1206&lt;&gt;"", INDEX(Inputs!$B$3:$B$101, MATCH($AQ1206,Inputs!$A$3:$A$101,1)), "")</f>
        <v>4.3499999999999997E-2</v>
      </c>
      <c r="AT1206" s="48">
        <f t="shared" ca="1" si="274"/>
        <v>96.685842287671207</v>
      </c>
      <c r="AU1206" s="3">
        <f t="shared" ca="1" si="276"/>
        <v>-96.685842287671207</v>
      </c>
      <c r="AV1206" s="3">
        <f t="shared" ca="1" si="277"/>
        <v>-96.685842287671207</v>
      </c>
    </row>
    <row r="1207" spans="43:48" x14ac:dyDescent="0.2">
      <c r="AQ1207" s="4">
        <f t="shared" ca="1" si="273"/>
        <v>45555</v>
      </c>
      <c r="AR1207" s="3">
        <f t="shared" ca="1" si="275"/>
        <v>811272.00999999978</v>
      </c>
      <c r="AS1207" s="63">
        <f ca="1">IF($AQ1207&lt;&gt;"", INDEX(Inputs!$B$3:$B$101, MATCH($AQ1207,Inputs!$A$3:$A$101,1)), "")</f>
        <v>4.3499999999999997E-2</v>
      </c>
      <c r="AT1207" s="48">
        <f t="shared" ca="1" si="274"/>
        <v>96.685842287671207</v>
      </c>
      <c r="AU1207" s="3">
        <f t="shared" ca="1" si="276"/>
        <v>-96.685842287671207</v>
      </c>
      <c r="AV1207" s="3">
        <f t="shared" ca="1" si="277"/>
        <v>-96.685842287671207</v>
      </c>
    </row>
    <row r="1208" spans="43:48" x14ac:dyDescent="0.2">
      <c r="AQ1208" s="4">
        <f t="shared" ca="1" si="273"/>
        <v>45556</v>
      </c>
      <c r="AR1208" s="3">
        <f t="shared" ca="1" si="275"/>
        <v>811272.00999999978</v>
      </c>
      <c r="AS1208" s="63">
        <f ca="1">IF($AQ1208&lt;&gt;"", INDEX(Inputs!$B$3:$B$101, MATCH($AQ1208,Inputs!$A$3:$A$101,1)), "")</f>
        <v>4.3499999999999997E-2</v>
      </c>
      <c r="AT1208" s="48">
        <f t="shared" ca="1" si="274"/>
        <v>96.685842287671207</v>
      </c>
      <c r="AU1208" s="3">
        <f t="shared" ca="1" si="276"/>
        <v>-96.685842287671207</v>
      </c>
      <c r="AV1208" s="3">
        <f t="shared" ca="1" si="277"/>
        <v>-96.685842287671207</v>
      </c>
    </row>
    <row r="1209" spans="43:48" x14ac:dyDescent="0.2">
      <c r="AQ1209" s="4">
        <f t="shared" ref="AQ1209:AQ1272" ca="1" si="278">IF(AQ1208&lt;$AP$3,AQ1208+1,"")</f>
        <v>45557</v>
      </c>
      <c r="AR1209" s="3">
        <f t="shared" ca="1" si="275"/>
        <v>811272.00999999978</v>
      </c>
      <c r="AS1209" s="63">
        <f ca="1">IF($AQ1209&lt;&gt;"", INDEX(Inputs!$B$3:$B$101, MATCH($AQ1209,Inputs!$A$3:$A$101,1)), "")</f>
        <v>4.3499999999999997E-2</v>
      </c>
      <c r="AT1209" s="48">
        <f t="shared" ref="AT1209:AT1272" ca="1" si="279">IF($AQ1209&lt;&gt;"", AR1209*AS1209/365, "")</f>
        <v>96.685842287671207</v>
      </c>
      <c r="AU1209" s="3">
        <f t="shared" ca="1" si="276"/>
        <v>-96.685842287671207</v>
      </c>
      <c r="AV1209" s="3">
        <f t="shared" ca="1" si="277"/>
        <v>-96.685842287671207</v>
      </c>
    </row>
    <row r="1210" spans="43:48" x14ac:dyDescent="0.2">
      <c r="AQ1210" s="4">
        <f t="shared" ca="1" si="278"/>
        <v>45558</v>
      </c>
      <c r="AR1210" s="3">
        <f t="shared" ca="1" si="275"/>
        <v>811272.00999999978</v>
      </c>
      <c r="AS1210" s="63">
        <f ca="1">IF($AQ1210&lt;&gt;"", INDEX(Inputs!$B$3:$B$101, MATCH($AQ1210,Inputs!$A$3:$A$101,1)), "")</f>
        <v>4.3499999999999997E-2</v>
      </c>
      <c r="AT1210" s="48">
        <f t="shared" ca="1" si="279"/>
        <v>96.685842287671207</v>
      </c>
      <c r="AU1210" s="3">
        <f t="shared" ca="1" si="276"/>
        <v>-328.09584228767119</v>
      </c>
      <c r="AV1210" s="3">
        <f t="shared" ca="1" si="277"/>
        <v>-328.09584228767119</v>
      </c>
    </row>
    <row r="1211" spans="43:48" x14ac:dyDescent="0.2">
      <c r="AQ1211" s="4">
        <f t="shared" ca="1" si="278"/>
        <v>45559</v>
      </c>
      <c r="AR1211" s="3">
        <f t="shared" ca="1" si="275"/>
        <v>811272.00999999978</v>
      </c>
      <c r="AS1211" s="63">
        <f ca="1">IF($AQ1211&lt;&gt;"", INDEX(Inputs!$B$3:$B$101, MATCH($AQ1211,Inputs!$A$3:$A$101,1)), "")</f>
        <v>4.3499999999999997E-2</v>
      </c>
      <c r="AT1211" s="48">
        <f t="shared" ca="1" si="279"/>
        <v>96.685842287671207</v>
      </c>
      <c r="AU1211" s="3">
        <f t="shared" ca="1" si="276"/>
        <v>-96.685842287671207</v>
      </c>
      <c r="AV1211" s="3">
        <f t="shared" ca="1" si="277"/>
        <v>-96.685842287671207</v>
      </c>
    </row>
    <row r="1212" spans="43:48" x14ac:dyDescent="0.2">
      <c r="AQ1212" s="4">
        <f t="shared" ca="1" si="278"/>
        <v>45560</v>
      </c>
      <c r="AR1212" s="3">
        <f t="shared" ca="1" si="275"/>
        <v>811272.00999999978</v>
      </c>
      <c r="AS1212" s="63">
        <f ca="1">IF($AQ1212&lt;&gt;"", INDEX(Inputs!$B$3:$B$101, MATCH($AQ1212,Inputs!$A$3:$A$101,1)), "")</f>
        <v>4.3499999999999997E-2</v>
      </c>
      <c r="AT1212" s="48">
        <f t="shared" ca="1" si="279"/>
        <v>96.685842287671207</v>
      </c>
      <c r="AU1212" s="3">
        <f t="shared" ca="1" si="276"/>
        <v>-96.685842287671207</v>
      </c>
      <c r="AV1212" s="3">
        <f t="shared" ca="1" si="277"/>
        <v>-96.685842287671207</v>
      </c>
    </row>
    <row r="1213" spans="43:48" x14ac:dyDescent="0.2">
      <c r="AQ1213" s="4">
        <f t="shared" ca="1" si="278"/>
        <v>45561</v>
      </c>
      <c r="AR1213" s="3">
        <f t="shared" ca="1" si="275"/>
        <v>811272.00999999978</v>
      </c>
      <c r="AS1213" s="63">
        <f ca="1">IF($AQ1213&lt;&gt;"", INDEX(Inputs!$B$3:$B$101, MATCH($AQ1213,Inputs!$A$3:$A$101,1)), "")</f>
        <v>4.3499999999999997E-2</v>
      </c>
      <c r="AT1213" s="48">
        <f t="shared" ca="1" si="279"/>
        <v>96.685842287671207</v>
      </c>
      <c r="AU1213" s="3">
        <f t="shared" ca="1" si="276"/>
        <v>-96.685842287671207</v>
      </c>
      <c r="AV1213" s="3">
        <f t="shared" ca="1" si="277"/>
        <v>-96.685842287671207</v>
      </c>
    </row>
    <row r="1214" spans="43:48" x14ac:dyDescent="0.2">
      <c r="AQ1214" s="4">
        <f t="shared" ca="1" si="278"/>
        <v>45562</v>
      </c>
      <c r="AR1214" s="3">
        <f t="shared" ca="1" si="275"/>
        <v>811272.00999999978</v>
      </c>
      <c r="AS1214" s="63">
        <f ca="1">IF($AQ1214&lt;&gt;"", INDEX(Inputs!$B$3:$B$101, MATCH($AQ1214,Inputs!$A$3:$A$101,1)), "")</f>
        <v>4.3499999999999997E-2</v>
      </c>
      <c r="AT1214" s="48">
        <f t="shared" ca="1" si="279"/>
        <v>96.685842287671207</v>
      </c>
      <c r="AU1214" s="3">
        <f t="shared" ca="1" si="276"/>
        <v>-96.685842287671207</v>
      </c>
      <c r="AV1214" s="3">
        <f t="shared" ca="1" si="277"/>
        <v>-96.685842287671207</v>
      </c>
    </row>
    <row r="1215" spans="43:48" x14ac:dyDescent="0.2">
      <c r="AQ1215" s="4">
        <f t="shared" ca="1" si="278"/>
        <v>45563</v>
      </c>
      <c r="AR1215" s="3">
        <f t="shared" ca="1" si="275"/>
        <v>811272.00999999978</v>
      </c>
      <c r="AS1215" s="63">
        <f ca="1">IF($AQ1215&lt;&gt;"", INDEX(Inputs!$B$3:$B$101, MATCH($AQ1215,Inputs!$A$3:$A$101,1)), "")</f>
        <v>4.3499999999999997E-2</v>
      </c>
      <c r="AT1215" s="48">
        <f t="shared" ca="1" si="279"/>
        <v>96.685842287671207</v>
      </c>
      <c r="AU1215" s="3">
        <f t="shared" ca="1" si="276"/>
        <v>-96.685842287671207</v>
      </c>
      <c r="AV1215" s="3">
        <f t="shared" ca="1" si="277"/>
        <v>-96.685842287671207</v>
      </c>
    </row>
    <row r="1216" spans="43:48" x14ac:dyDescent="0.2">
      <c r="AQ1216" s="4">
        <f t="shared" ca="1" si="278"/>
        <v>45564</v>
      </c>
      <c r="AR1216" s="3">
        <f t="shared" ca="1" si="275"/>
        <v>811272.00999999978</v>
      </c>
      <c r="AS1216" s="63">
        <f ca="1">IF($AQ1216&lt;&gt;"", INDEX(Inputs!$B$3:$B$101, MATCH($AQ1216,Inputs!$A$3:$A$101,1)), "")</f>
        <v>4.3499999999999997E-2</v>
      </c>
      <c r="AT1216" s="48">
        <f t="shared" ca="1" si="279"/>
        <v>96.685842287671207</v>
      </c>
      <c r="AU1216" s="3">
        <f t="shared" ca="1" si="276"/>
        <v>-96.685842287671207</v>
      </c>
      <c r="AV1216" s="3">
        <f t="shared" ca="1" si="277"/>
        <v>-96.685842287671207</v>
      </c>
    </row>
    <row r="1217" spans="43:48" x14ac:dyDescent="0.2">
      <c r="AQ1217" s="4">
        <f t="shared" ca="1" si="278"/>
        <v>45565</v>
      </c>
      <c r="AR1217" s="3">
        <f t="shared" ca="1" si="275"/>
        <v>799515.93999999971</v>
      </c>
      <c r="AS1217" s="63">
        <f ca="1">IF($AQ1217&lt;&gt;"", INDEX(Inputs!$B$3:$B$101, MATCH($AQ1217,Inputs!$A$3:$A$101,1)), "")</f>
        <v>4.3499999999999997E-2</v>
      </c>
      <c r="AT1217" s="48">
        <f t="shared" ca="1" si="279"/>
        <v>95.28477641095887</v>
      </c>
      <c r="AU1217" s="3">
        <f t="shared" ca="1" si="276"/>
        <v>-95.28477641095887</v>
      </c>
      <c r="AV1217" s="3">
        <f t="shared" ca="1" si="277"/>
        <v>-95.28477641095887</v>
      </c>
    </row>
    <row r="1218" spans="43:48" x14ac:dyDescent="0.2">
      <c r="AQ1218" s="4">
        <f t="shared" ca="1" si="278"/>
        <v>45566</v>
      </c>
      <c r="AR1218" s="3">
        <f t="shared" ca="1" si="275"/>
        <v>760000</v>
      </c>
      <c r="AS1218" s="63">
        <f ca="1">IF($AQ1218&lt;&gt;"", INDEX(Inputs!$B$3:$B$101, MATCH($AQ1218,Inputs!$A$3:$A$101,1)), "")</f>
        <v>4.3499999999999997E-2</v>
      </c>
      <c r="AT1218" s="48">
        <f t="shared" ca="1" si="279"/>
        <v>90.575342465753423</v>
      </c>
      <c r="AU1218" s="3">
        <f t="shared" ca="1" si="276"/>
        <v>397069.36465753394</v>
      </c>
      <c r="AV1218" s="3">
        <f t="shared" ca="1" si="277"/>
        <v>397069.36465753394</v>
      </c>
    </row>
    <row r="1219" spans="43:48" x14ac:dyDescent="0.2">
      <c r="AQ1219" s="4">
        <f t="shared" ca="1" si="278"/>
        <v>45567</v>
      </c>
      <c r="AR1219" s="3">
        <f t="shared" ca="1" si="275"/>
        <v>760000</v>
      </c>
      <c r="AS1219" s="63">
        <f ca="1">IF($AQ1219&lt;&gt;"", INDEX(Inputs!$B$3:$B$101, MATCH($AQ1219,Inputs!$A$3:$A$101,1)), "")</f>
        <v>4.3499999999999997E-2</v>
      </c>
      <c r="AT1219" s="48">
        <f t="shared" ca="1" si="279"/>
        <v>90.575342465753423</v>
      </c>
      <c r="AU1219" s="3">
        <f t="shared" ca="1" si="276"/>
        <v>-90.575342465753423</v>
      </c>
      <c r="AV1219" s="3">
        <f t="shared" ca="1" si="277"/>
        <v>-90.575342465753423</v>
      </c>
    </row>
    <row r="1220" spans="43:48" x14ac:dyDescent="0.2">
      <c r="AQ1220" s="4">
        <f t="shared" ca="1" si="278"/>
        <v>45568</v>
      </c>
      <c r="AR1220" s="3">
        <f t="shared" ca="1" si="275"/>
        <v>760000</v>
      </c>
      <c r="AS1220" s="63">
        <f ca="1">IF($AQ1220&lt;&gt;"", INDEX(Inputs!$B$3:$B$101, MATCH($AQ1220,Inputs!$A$3:$A$101,1)), "")</f>
        <v>4.3499999999999997E-2</v>
      </c>
      <c r="AT1220" s="48">
        <f t="shared" ca="1" si="279"/>
        <v>90.575342465753423</v>
      </c>
      <c r="AU1220" s="3">
        <f t="shared" ca="1" si="276"/>
        <v>-90.575342465753423</v>
      </c>
      <c r="AV1220" s="3">
        <f t="shared" ca="1" si="277"/>
        <v>-90.575342465753423</v>
      </c>
    </row>
    <row r="1221" spans="43:48" x14ac:dyDescent="0.2">
      <c r="AQ1221" s="4">
        <f t="shared" ca="1" si="278"/>
        <v>45569</v>
      </c>
      <c r="AR1221" s="3">
        <f t="shared" ca="1" si="275"/>
        <v>760000</v>
      </c>
      <c r="AS1221" s="63">
        <f ca="1">IF($AQ1221&lt;&gt;"", INDEX(Inputs!$B$3:$B$101, MATCH($AQ1221,Inputs!$A$3:$A$101,1)), "")</f>
        <v>4.3499999999999997E-2</v>
      </c>
      <c r="AT1221" s="48">
        <f t="shared" ca="1" si="279"/>
        <v>90.575342465753423</v>
      </c>
      <c r="AU1221" s="3">
        <f t="shared" ca="1" si="276"/>
        <v>-90.575342465753423</v>
      </c>
      <c r="AV1221" s="3">
        <f t="shared" ca="1" si="277"/>
        <v>-90.575342465753423</v>
      </c>
    </row>
    <row r="1222" spans="43:48" x14ac:dyDescent="0.2">
      <c r="AQ1222" s="4">
        <f t="shared" ca="1" si="278"/>
        <v>45570</v>
      </c>
      <c r="AR1222" s="3">
        <f t="shared" ca="1" si="275"/>
        <v>760000</v>
      </c>
      <c r="AS1222" s="63">
        <f ca="1">IF($AQ1222&lt;&gt;"", INDEX(Inputs!$B$3:$B$101, MATCH($AQ1222,Inputs!$A$3:$A$101,1)), "")</f>
        <v>4.3499999999999997E-2</v>
      </c>
      <c r="AT1222" s="48">
        <f t="shared" ca="1" si="279"/>
        <v>90.575342465753423</v>
      </c>
      <c r="AU1222" s="3">
        <f t="shared" ca="1" si="276"/>
        <v>-90.575342465753423</v>
      </c>
      <c r="AV1222" s="3">
        <f t="shared" ca="1" si="277"/>
        <v>-90.575342465753423</v>
      </c>
    </row>
    <row r="1223" spans="43:48" x14ac:dyDescent="0.2">
      <c r="AQ1223" s="4">
        <f t="shared" ca="1" si="278"/>
        <v>45571</v>
      </c>
      <c r="AR1223" s="3">
        <f t="shared" ca="1" si="275"/>
        <v>760000</v>
      </c>
      <c r="AS1223" s="63">
        <f ca="1">IF($AQ1223&lt;&gt;"", INDEX(Inputs!$B$3:$B$101, MATCH($AQ1223,Inputs!$A$3:$A$101,1)), "")</f>
        <v>4.3499999999999997E-2</v>
      </c>
      <c r="AT1223" s="48">
        <f t="shared" ca="1" si="279"/>
        <v>90.575342465753423</v>
      </c>
      <c r="AU1223" s="3">
        <f t="shared" ca="1" si="276"/>
        <v>-90.575342465753423</v>
      </c>
      <c r="AV1223" s="3">
        <f t="shared" ca="1" si="277"/>
        <v>-90.575342465753423</v>
      </c>
    </row>
    <row r="1224" spans="43:48" x14ac:dyDescent="0.2">
      <c r="AQ1224" s="4">
        <f t="shared" ca="1" si="278"/>
        <v>45572</v>
      </c>
      <c r="AR1224" s="3">
        <f t="shared" ca="1" si="275"/>
        <v>760000</v>
      </c>
      <c r="AS1224" s="63">
        <f ca="1">IF($AQ1224&lt;&gt;"", INDEX(Inputs!$B$3:$B$101, MATCH($AQ1224,Inputs!$A$3:$A$101,1)), "")</f>
        <v>4.3499999999999997E-2</v>
      </c>
      <c r="AT1224" s="48">
        <f t="shared" ca="1" si="279"/>
        <v>90.575342465753423</v>
      </c>
      <c r="AU1224" s="3">
        <f t="shared" ca="1" si="276"/>
        <v>-90.575342465753423</v>
      </c>
      <c r="AV1224" s="3">
        <f t="shared" ca="1" si="277"/>
        <v>-90.575342465753423</v>
      </c>
    </row>
    <row r="1225" spans="43:48" x14ac:dyDescent="0.2">
      <c r="AQ1225" s="4">
        <f t="shared" ca="1" si="278"/>
        <v>45573</v>
      </c>
      <c r="AR1225" s="3">
        <f t="shared" ca="1" si="275"/>
        <v>760000</v>
      </c>
      <c r="AS1225" s="63">
        <f ca="1">IF($AQ1225&lt;&gt;"", INDEX(Inputs!$B$3:$B$101, MATCH($AQ1225,Inputs!$A$3:$A$101,1)), "")</f>
        <v>4.3499999999999997E-2</v>
      </c>
      <c r="AT1225" s="48">
        <f t="shared" ca="1" si="279"/>
        <v>90.575342465753423</v>
      </c>
      <c r="AU1225" s="3">
        <f t="shared" ca="1" si="276"/>
        <v>-90.575342465753423</v>
      </c>
      <c r="AV1225" s="3">
        <f t="shared" ca="1" si="277"/>
        <v>-90.575342465753423</v>
      </c>
    </row>
    <row r="1226" spans="43:48" x14ac:dyDescent="0.2">
      <c r="AQ1226" s="4">
        <f t="shared" ca="1" si="278"/>
        <v>45574</v>
      </c>
      <c r="AR1226" s="3">
        <f t="shared" ca="1" si="275"/>
        <v>760000</v>
      </c>
      <c r="AS1226" s="63">
        <f ca="1">IF($AQ1226&lt;&gt;"", INDEX(Inputs!$B$3:$B$101, MATCH($AQ1226,Inputs!$A$3:$A$101,1)), "")</f>
        <v>4.3499999999999997E-2</v>
      </c>
      <c r="AT1226" s="48">
        <f t="shared" ca="1" si="279"/>
        <v>90.575342465753423</v>
      </c>
      <c r="AU1226" s="3">
        <f t="shared" ca="1" si="276"/>
        <v>-90.575342465753423</v>
      </c>
      <c r="AV1226" s="3">
        <f t="shared" ca="1" si="277"/>
        <v>-90.575342465753423</v>
      </c>
    </row>
    <row r="1227" spans="43:48" x14ac:dyDescent="0.2">
      <c r="AQ1227" s="4">
        <f t="shared" ca="1" si="278"/>
        <v>45575</v>
      </c>
      <c r="AR1227" s="3">
        <f t="shared" ca="1" si="275"/>
        <v>760000</v>
      </c>
      <c r="AS1227" s="63">
        <f ca="1">IF($AQ1227&lt;&gt;"", INDEX(Inputs!$B$3:$B$101, MATCH($AQ1227,Inputs!$A$3:$A$101,1)), "")</f>
        <v>4.3499999999999997E-2</v>
      </c>
      <c r="AT1227" s="48">
        <f t="shared" ca="1" si="279"/>
        <v>90.575342465753423</v>
      </c>
      <c r="AU1227" s="3">
        <f t="shared" ca="1" si="276"/>
        <v>-90.575342465753423</v>
      </c>
      <c r="AV1227" s="3">
        <f t="shared" ca="1" si="277"/>
        <v>-90.575342465753423</v>
      </c>
    </row>
    <row r="1228" spans="43:48" x14ac:dyDescent="0.2">
      <c r="AQ1228" s="4">
        <f t="shared" ca="1" si="278"/>
        <v>45576</v>
      </c>
      <c r="AR1228" s="3">
        <f t="shared" ca="1" si="275"/>
        <v>760000</v>
      </c>
      <c r="AS1228" s="63">
        <f ca="1">IF($AQ1228&lt;&gt;"", INDEX(Inputs!$B$3:$B$101, MATCH($AQ1228,Inputs!$A$3:$A$101,1)), "")</f>
        <v>4.3499999999999997E-2</v>
      </c>
      <c r="AT1228" s="48">
        <f t="shared" ca="1" si="279"/>
        <v>90.575342465753423</v>
      </c>
      <c r="AU1228" s="3">
        <f t="shared" ca="1" si="276"/>
        <v>-90.575342465753423</v>
      </c>
      <c r="AV1228" s="3">
        <f t="shared" ca="1" si="277"/>
        <v>-90.575342465753423</v>
      </c>
    </row>
    <row r="1229" spans="43:48" x14ac:dyDescent="0.2">
      <c r="AQ1229" s="4">
        <f t="shared" ca="1" si="278"/>
        <v>45577</v>
      </c>
      <c r="AR1229" s="3">
        <f t="shared" ca="1" si="275"/>
        <v>760000</v>
      </c>
      <c r="AS1229" s="63">
        <f ca="1">IF($AQ1229&lt;&gt;"", INDEX(Inputs!$B$3:$B$101, MATCH($AQ1229,Inputs!$A$3:$A$101,1)), "")</f>
        <v>4.3499999999999997E-2</v>
      </c>
      <c r="AT1229" s="48">
        <f t="shared" ca="1" si="279"/>
        <v>90.575342465753423</v>
      </c>
      <c r="AU1229" s="3">
        <f t="shared" ca="1" si="276"/>
        <v>-90.575342465753423</v>
      </c>
      <c r="AV1229" s="3">
        <f t="shared" ca="1" si="277"/>
        <v>-90.575342465753423</v>
      </c>
    </row>
    <row r="1230" spans="43:48" x14ac:dyDescent="0.2">
      <c r="AQ1230" s="4">
        <f t="shared" ca="1" si="278"/>
        <v>45578</v>
      </c>
      <c r="AR1230" s="3">
        <f t="shared" ca="1" si="275"/>
        <v>760000</v>
      </c>
      <c r="AS1230" s="63">
        <f ca="1">IF($AQ1230&lt;&gt;"", INDEX(Inputs!$B$3:$B$101, MATCH($AQ1230,Inputs!$A$3:$A$101,1)), "")</f>
        <v>4.3499999999999997E-2</v>
      </c>
      <c r="AT1230" s="48">
        <f t="shared" ca="1" si="279"/>
        <v>90.575342465753423</v>
      </c>
      <c r="AU1230" s="3">
        <f t="shared" ca="1" si="276"/>
        <v>-90.575342465753423</v>
      </c>
      <c r="AV1230" s="3">
        <f t="shared" ca="1" si="277"/>
        <v>-90.575342465753423</v>
      </c>
    </row>
    <row r="1231" spans="43:48" x14ac:dyDescent="0.2">
      <c r="AQ1231" s="4">
        <f t="shared" ca="1" si="278"/>
        <v>45579</v>
      </c>
      <c r="AR1231" s="3">
        <f t="shared" ca="1" si="275"/>
        <v>760000</v>
      </c>
      <c r="AS1231" s="63">
        <f ca="1">IF($AQ1231&lt;&gt;"", INDEX(Inputs!$B$3:$B$101, MATCH($AQ1231,Inputs!$A$3:$A$101,1)), "")</f>
        <v>4.3499999999999997E-2</v>
      </c>
      <c r="AT1231" s="48">
        <f t="shared" ca="1" si="279"/>
        <v>90.575342465753423</v>
      </c>
      <c r="AU1231" s="3">
        <f t="shared" ca="1" si="276"/>
        <v>-90.575342465753423</v>
      </c>
      <c r="AV1231" s="3">
        <f t="shared" ca="1" si="277"/>
        <v>-90.575342465753423</v>
      </c>
    </row>
    <row r="1232" spans="43:48" x14ac:dyDescent="0.2">
      <c r="AQ1232" s="4">
        <f t="shared" ca="1" si="278"/>
        <v>45580</v>
      </c>
      <c r="AR1232" s="3">
        <f t="shared" ca="1" si="275"/>
        <v>760000</v>
      </c>
      <c r="AS1232" s="63">
        <f ca="1">IF($AQ1232&lt;&gt;"", INDEX(Inputs!$B$3:$B$101, MATCH($AQ1232,Inputs!$A$3:$A$101,1)), "")</f>
        <v>4.3499999999999997E-2</v>
      </c>
      <c r="AT1232" s="48">
        <f t="shared" ca="1" si="279"/>
        <v>90.575342465753423</v>
      </c>
      <c r="AU1232" s="3">
        <f t="shared" ca="1" si="276"/>
        <v>-90.575342465753423</v>
      </c>
      <c r="AV1232" s="3">
        <f t="shared" ca="1" si="277"/>
        <v>-90.575342465753423</v>
      </c>
    </row>
    <row r="1233" spans="43:48" x14ac:dyDescent="0.2">
      <c r="AQ1233" s="4">
        <f t="shared" ca="1" si="278"/>
        <v>45581</v>
      </c>
      <c r="AR1233" s="3">
        <f t="shared" ca="1" si="275"/>
        <v>760000</v>
      </c>
      <c r="AS1233" s="63">
        <f ca="1">IF($AQ1233&lt;&gt;"", INDEX(Inputs!$B$3:$B$101, MATCH($AQ1233,Inputs!$A$3:$A$101,1)), "")</f>
        <v>4.3499999999999997E-2</v>
      </c>
      <c r="AT1233" s="48">
        <f t="shared" ca="1" si="279"/>
        <v>90.575342465753423</v>
      </c>
      <c r="AU1233" s="3">
        <f t="shared" ca="1" si="276"/>
        <v>-90.575342465753423</v>
      </c>
      <c r="AV1233" s="3">
        <f t="shared" ca="1" si="277"/>
        <v>-90.575342465753423</v>
      </c>
    </row>
    <row r="1234" spans="43:48" x14ac:dyDescent="0.2">
      <c r="AQ1234" s="4">
        <f t="shared" ca="1" si="278"/>
        <v>45582</v>
      </c>
      <c r="AR1234" s="3">
        <f t="shared" ca="1" si="275"/>
        <v>760000</v>
      </c>
      <c r="AS1234" s="63">
        <f ca="1">IF($AQ1234&lt;&gt;"", INDEX(Inputs!$B$3:$B$101, MATCH($AQ1234,Inputs!$A$3:$A$101,1)), "")</f>
        <v>4.3499999999999997E-2</v>
      </c>
      <c r="AT1234" s="48">
        <f t="shared" ca="1" si="279"/>
        <v>90.575342465753423</v>
      </c>
      <c r="AU1234" s="3">
        <f t="shared" ca="1" si="276"/>
        <v>-90.575342465753423</v>
      </c>
      <c r="AV1234" s="3">
        <f t="shared" ca="1" si="277"/>
        <v>-90.575342465753423</v>
      </c>
    </row>
    <row r="1235" spans="43:48" x14ac:dyDescent="0.2">
      <c r="AQ1235" s="4">
        <f t="shared" ca="1" si="278"/>
        <v>45583</v>
      </c>
      <c r="AR1235" s="3">
        <f t="shared" ca="1" si="275"/>
        <v>760000</v>
      </c>
      <c r="AS1235" s="63">
        <f ca="1">IF($AQ1235&lt;&gt;"", INDEX(Inputs!$B$3:$B$101, MATCH($AQ1235,Inputs!$A$3:$A$101,1)), "")</f>
        <v>4.3499999999999997E-2</v>
      </c>
      <c r="AT1235" s="48">
        <f t="shared" ca="1" si="279"/>
        <v>90.575342465753423</v>
      </c>
      <c r="AU1235" s="3">
        <f t="shared" ca="1" si="276"/>
        <v>-90.575342465753423</v>
      </c>
      <c r="AV1235" s="3">
        <f t="shared" ca="1" si="277"/>
        <v>-90.575342465753423</v>
      </c>
    </row>
    <row r="1236" spans="43:48" x14ac:dyDescent="0.2">
      <c r="AQ1236" s="4">
        <f t="shared" ca="1" si="278"/>
        <v>45584</v>
      </c>
      <c r="AR1236" s="3">
        <f t="shared" ca="1" si="275"/>
        <v>760000</v>
      </c>
      <c r="AS1236" s="63">
        <f ca="1">IF($AQ1236&lt;&gt;"", INDEX(Inputs!$B$3:$B$101, MATCH($AQ1236,Inputs!$A$3:$A$101,1)), "")</f>
        <v>4.3499999999999997E-2</v>
      </c>
      <c r="AT1236" s="48">
        <f t="shared" ca="1" si="279"/>
        <v>90.575342465753423</v>
      </c>
      <c r="AU1236" s="3">
        <f t="shared" ca="1" si="276"/>
        <v>-90.575342465753423</v>
      </c>
      <c r="AV1236" s="3">
        <f t="shared" ca="1" si="277"/>
        <v>-90.575342465753423</v>
      </c>
    </row>
    <row r="1237" spans="43:48" x14ac:dyDescent="0.2">
      <c r="AQ1237" s="4">
        <f t="shared" ca="1" si="278"/>
        <v>45585</v>
      </c>
      <c r="AR1237" s="3">
        <f t="shared" ca="1" si="275"/>
        <v>760000</v>
      </c>
      <c r="AS1237" s="63">
        <f ca="1">IF($AQ1237&lt;&gt;"", INDEX(Inputs!$B$3:$B$101, MATCH($AQ1237,Inputs!$A$3:$A$101,1)), "")</f>
        <v>4.3499999999999997E-2</v>
      </c>
      <c r="AT1237" s="48">
        <f t="shared" ca="1" si="279"/>
        <v>90.575342465753423</v>
      </c>
      <c r="AU1237" s="3">
        <f t="shared" ca="1" si="276"/>
        <v>-90.575342465753423</v>
      </c>
      <c r="AV1237" s="3">
        <f t="shared" ca="1" si="277"/>
        <v>-90.575342465753423</v>
      </c>
    </row>
    <row r="1238" spans="43:48" x14ac:dyDescent="0.2">
      <c r="AQ1238" s="4">
        <f t="shared" ca="1" si="278"/>
        <v>45586</v>
      </c>
      <c r="AR1238" s="3">
        <f t="shared" ca="1" si="275"/>
        <v>760000</v>
      </c>
      <c r="AS1238" s="63">
        <f ca="1">IF($AQ1238&lt;&gt;"", INDEX(Inputs!$B$3:$B$101, MATCH($AQ1238,Inputs!$A$3:$A$101,1)), "")</f>
        <v>4.3499999999999997E-2</v>
      </c>
      <c r="AT1238" s="48">
        <f t="shared" ca="1" si="279"/>
        <v>90.575342465753423</v>
      </c>
      <c r="AU1238" s="3">
        <f t="shared" ca="1" si="276"/>
        <v>-90.575342465753423</v>
      </c>
      <c r="AV1238" s="3">
        <f t="shared" ca="1" si="277"/>
        <v>-90.575342465753423</v>
      </c>
    </row>
    <row r="1239" spans="43:48" x14ac:dyDescent="0.2">
      <c r="AQ1239" s="4">
        <f t="shared" ca="1" si="278"/>
        <v>45587</v>
      </c>
      <c r="AR1239" s="3">
        <f t="shared" ca="1" si="275"/>
        <v>760000</v>
      </c>
      <c r="AS1239" s="63">
        <f ca="1">IF($AQ1239&lt;&gt;"", INDEX(Inputs!$B$3:$B$101, MATCH($AQ1239,Inputs!$A$3:$A$101,1)), "")</f>
        <v>4.3499999999999997E-2</v>
      </c>
      <c r="AT1239" s="48">
        <f t="shared" ca="1" si="279"/>
        <v>90.575342465753423</v>
      </c>
      <c r="AU1239" s="3">
        <f t="shared" ca="1" si="276"/>
        <v>-90.575342465753423</v>
      </c>
      <c r="AV1239" s="3">
        <f t="shared" ca="1" si="277"/>
        <v>-90.575342465753423</v>
      </c>
    </row>
    <row r="1240" spans="43:48" x14ac:dyDescent="0.2">
      <c r="AQ1240" s="4">
        <f t="shared" ca="1" si="278"/>
        <v>45588</v>
      </c>
      <c r="AR1240" s="3">
        <f t="shared" ca="1" si="275"/>
        <v>760000</v>
      </c>
      <c r="AS1240" s="63">
        <f ca="1">IF($AQ1240&lt;&gt;"", INDEX(Inputs!$B$3:$B$101, MATCH($AQ1240,Inputs!$A$3:$A$101,1)), "")</f>
        <v>4.3499999999999997E-2</v>
      </c>
      <c r="AT1240" s="48">
        <f t="shared" ca="1" si="279"/>
        <v>90.575342465753423</v>
      </c>
      <c r="AU1240" s="3">
        <f t="shared" ca="1" si="276"/>
        <v>-90.575342465753423</v>
      </c>
      <c r="AV1240" s="3">
        <f t="shared" ca="1" si="277"/>
        <v>-90.575342465753423</v>
      </c>
    </row>
    <row r="1241" spans="43:48" x14ac:dyDescent="0.2">
      <c r="AQ1241" s="4">
        <f t="shared" ca="1" si="278"/>
        <v>45589</v>
      </c>
      <c r="AR1241" s="3">
        <f t="shared" ref="AR1241:AR1304" ca="1" si="280">IF($AQ1241&lt;&gt;"", INDEX($AC$3:$AC$1055, MATCH($AQ1241,$A$3:$A$1055,1)), "")</f>
        <v>760000</v>
      </c>
      <c r="AS1241" s="63">
        <f ca="1">IF($AQ1241&lt;&gt;"", INDEX(Inputs!$B$3:$B$101, MATCH($AQ1241,Inputs!$A$3:$A$101,1)), "")</f>
        <v>4.3499999999999997E-2</v>
      </c>
      <c r="AT1241" s="48">
        <f t="shared" ca="1" si="279"/>
        <v>90.575342465753423</v>
      </c>
      <c r="AU1241" s="3">
        <f t="shared" ref="AU1241:AU1304" ca="1" si="281">IF($AQ1241&lt;&gt;"", SUMIFS($AL$3:$AL$1054, $A$3:$A$1054,$AQ1241) + SUMIFS($M$3:$M$1054, $A$3:$A$1054,$AQ1241)*IFERROR(AVERAGEIFS($L$3:$L$1054, $A$3:$A$1054,$AQ1241, $M$3:$M$1054,"&gt;0"),0) - AT1241, "")</f>
        <v>-90.575342465753423</v>
      </c>
      <c r="AV1241" s="3">
        <f t="shared" ca="1" si="277"/>
        <v>-90.575342465753423</v>
      </c>
    </row>
    <row r="1242" spans="43:48" x14ac:dyDescent="0.2">
      <c r="AQ1242" s="4">
        <f t="shared" ca="1" si="278"/>
        <v>45590</v>
      </c>
      <c r="AR1242" s="3">
        <f t="shared" ca="1" si="280"/>
        <v>760000</v>
      </c>
      <c r="AS1242" s="63">
        <f ca="1">IF($AQ1242&lt;&gt;"", INDEX(Inputs!$B$3:$B$101, MATCH($AQ1242,Inputs!$A$3:$A$101,1)), "")</f>
        <v>4.3499999999999997E-2</v>
      </c>
      <c r="AT1242" s="48">
        <f t="shared" ca="1" si="279"/>
        <v>90.575342465753423</v>
      </c>
      <c r="AU1242" s="3">
        <f t="shared" ca="1" si="281"/>
        <v>-90.575342465753423</v>
      </c>
      <c r="AV1242" s="3">
        <f t="shared" ca="1" si="277"/>
        <v>-90.575342465753423</v>
      </c>
    </row>
    <row r="1243" spans="43:48" x14ac:dyDescent="0.2">
      <c r="AQ1243" s="4">
        <f t="shared" ca="1" si="278"/>
        <v>45591</v>
      </c>
      <c r="AR1243" s="3">
        <f t="shared" ca="1" si="280"/>
        <v>760000</v>
      </c>
      <c r="AS1243" s="63">
        <f ca="1">IF($AQ1243&lt;&gt;"", INDEX(Inputs!$B$3:$B$101, MATCH($AQ1243,Inputs!$A$3:$A$101,1)), "")</f>
        <v>4.3499999999999997E-2</v>
      </c>
      <c r="AT1243" s="48">
        <f t="shared" ca="1" si="279"/>
        <v>90.575342465753423</v>
      </c>
      <c r="AU1243" s="3">
        <f t="shared" ca="1" si="281"/>
        <v>-90.575342465753423</v>
      </c>
      <c r="AV1243" s="3">
        <f t="shared" ca="1" si="277"/>
        <v>-90.575342465753423</v>
      </c>
    </row>
    <row r="1244" spans="43:48" x14ac:dyDescent="0.2">
      <c r="AQ1244" s="4">
        <f t="shared" ca="1" si="278"/>
        <v>45592</v>
      </c>
      <c r="AR1244" s="3">
        <f t="shared" ca="1" si="280"/>
        <v>760000</v>
      </c>
      <c r="AS1244" s="63">
        <f ca="1">IF($AQ1244&lt;&gt;"", INDEX(Inputs!$B$3:$B$101, MATCH($AQ1244,Inputs!$A$3:$A$101,1)), "")</f>
        <v>4.3499999999999997E-2</v>
      </c>
      <c r="AT1244" s="48">
        <f t="shared" ca="1" si="279"/>
        <v>90.575342465753423</v>
      </c>
      <c r="AU1244" s="3">
        <f t="shared" ca="1" si="281"/>
        <v>-90.575342465753423</v>
      </c>
      <c r="AV1244" s="3">
        <f t="shared" ca="1" si="277"/>
        <v>-90.575342465753423</v>
      </c>
    </row>
    <row r="1245" spans="43:48" x14ac:dyDescent="0.2">
      <c r="AQ1245" s="4">
        <f t="shared" ca="1" si="278"/>
        <v>45593</v>
      </c>
      <c r="AR1245" s="3">
        <f t="shared" ca="1" si="280"/>
        <v>760000</v>
      </c>
      <c r="AS1245" s="63">
        <f ca="1">IF($AQ1245&lt;&gt;"", INDEX(Inputs!$B$3:$B$101, MATCH($AQ1245,Inputs!$A$3:$A$101,1)), "")</f>
        <v>4.3499999999999997E-2</v>
      </c>
      <c r="AT1245" s="48">
        <f t="shared" ca="1" si="279"/>
        <v>90.575342465753423</v>
      </c>
      <c r="AU1245" s="3">
        <f t="shared" ca="1" si="281"/>
        <v>-90.575342465753423</v>
      </c>
      <c r="AV1245" s="3">
        <f t="shared" ca="1" si="277"/>
        <v>-90.575342465753423</v>
      </c>
    </row>
    <row r="1246" spans="43:48" x14ac:dyDescent="0.2">
      <c r="AQ1246" s="4">
        <f t="shared" ca="1" si="278"/>
        <v>45594</v>
      </c>
      <c r="AR1246" s="3">
        <f t="shared" ca="1" si="280"/>
        <v>760000</v>
      </c>
      <c r="AS1246" s="63">
        <f ca="1">IF($AQ1246&lt;&gt;"", INDEX(Inputs!$B$3:$B$101, MATCH($AQ1246,Inputs!$A$3:$A$101,1)), "")</f>
        <v>4.3499999999999997E-2</v>
      </c>
      <c r="AT1246" s="48">
        <f t="shared" ca="1" si="279"/>
        <v>90.575342465753423</v>
      </c>
      <c r="AU1246" s="3">
        <f t="shared" ca="1" si="281"/>
        <v>-90.575342465753423</v>
      </c>
      <c r="AV1246" s="3">
        <f t="shared" ca="1" si="277"/>
        <v>-90.575342465753423</v>
      </c>
    </row>
    <row r="1247" spans="43:48" x14ac:dyDescent="0.2">
      <c r="AQ1247" s="4">
        <f t="shared" ca="1" si="278"/>
        <v>45595</v>
      </c>
      <c r="AR1247" s="3">
        <f t="shared" ca="1" si="280"/>
        <v>760000</v>
      </c>
      <c r="AS1247" s="63">
        <f ca="1">IF($AQ1247&lt;&gt;"", INDEX(Inputs!$B$3:$B$101, MATCH($AQ1247,Inputs!$A$3:$A$101,1)), "")</f>
        <v>4.3499999999999997E-2</v>
      </c>
      <c r="AT1247" s="48">
        <f t="shared" ca="1" si="279"/>
        <v>90.575342465753423</v>
      </c>
      <c r="AU1247" s="3">
        <f t="shared" ca="1" si="281"/>
        <v>-90.575342465753423</v>
      </c>
      <c r="AV1247" s="3">
        <f t="shared" ca="1" si="277"/>
        <v>-90.575342465753423</v>
      </c>
    </row>
    <row r="1248" spans="43:48" x14ac:dyDescent="0.2">
      <c r="AQ1248" s="4">
        <f t="shared" ca="1" si="278"/>
        <v>45596</v>
      </c>
      <c r="AR1248" s="3">
        <f t="shared" ca="1" si="280"/>
        <v>760000</v>
      </c>
      <c r="AS1248" s="63">
        <f ca="1">IF($AQ1248&lt;&gt;"", INDEX(Inputs!$B$3:$B$101, MATCH($AQ1248,Inputs!$A$3:$A$101,1)), "")</f>
        <v>4.3499999999999997E-2</v>
      </c>
      <c r="AT1248" s="48">
        <f t="shared" ca="1" si="279"/>
        <v>90.575342465753423</v>
      </c>
      <c r="AU1248" s="3">
        <f t="shared" ca="1" si="281"/>
        <v>-601.45534246575346</v>
      </c>
      <c r="AV1248" s="3">
        <f t="shared" ref="AV1248:AV1311" ca="1" si="282">IF(AQ1248&lt;&gt;"", AU1248*(1+$X$9/CompoundingRate)^-((AQ1248-AQ$3)/(365/CompoundingRate)), "")</f>
        <v>-601.45534246575346</v>
      </c>
    </row>
    <row r="1249" spans="43:48" x14ac:dyDescent="0.2">
      <c r="AQ1249" s="4">
        <f t="shared" ca="1" si="278"/>
        <v>45597</v>
      </c>
      <c r="AR1249" s="3">
        <f t="shared" ca="1" si="280"/>
        <v>766290.55999999994</v>
      </c>
      <c r="AS1249" s="63">
        <f ca="1">IF($AQ1249&lt;&gt;"", INDEX(Inputs!$B$3:$B$101, MATCH($AQ1249,Inputs!$A$3:$A$101,1)), "")</f>
        <v>4.3499999999999997E-2</v>
      </c>
      <c r="AT1249" s="48">
        <f t="shared" ca="1" si="279"/>
        <v>91.325039342465743</v>
      </c>
      <c r="AU1249" s="3">
        <f t="shared" ca="1" si="281"/>
        <v>-11182.855039342465</v>
      </c>
      <c r="AV1249" s="3">
        <f t="shared" ca="1" si="282"/>
        <v>-11182.855039342465</v>
      </c>
    </row>
    <row r="1250" spans="43:48" x14ac:dyDescent="0.2">
      <c r="AQ1250" s="4">
        <f t="shared" ca="1" si="278"/>
        <v>45598</v>
      </c>
      <c r="AR1250" s="3">
        <f t="shared" ca="1" si="280"/>
        <v>766290.55999999994</v>
      </c>
      <c r="AS1250" s="63">
        <f ca="1">IF($AQ1250&lt;&gt;"", INDEX(Inputs!$B$3:$B$101, MATCH($AQ1250,Inputs!$A$3:$A$101,1)), "")</f>
        <v>4.3499999999999997E-2</v>
      </c>
      <c r="AT1250" s="48">
        <f t="shared" ca="1" si="279"/>
        <v>91.325039342465743</v>
      </c>
      <c r="AU1250" s="3">
        <f t="shared" ca="1" si="281"/>
        <v>-91.325039342465743</v>
      </c>
      <c r="AV1250" s="3">
        <f t="shared" ca="1" si="282"/>
        <v>-91.325039342465743</v>
      </c>
    </row>
    <row r="1251" spans="43:48" x14ac:dyDescent="0.2">
      <c r="AQ1251" s="4">
        <f t="shared" ca="1" si="278"/>
        <v>45599</v>
      </c>
      <c r="AR1251" s="3">
        <f t="shared" ca="1" si="280"/>
        <v>766290.55999999994</v>
      </c>
      <c r="AS1251" s="63">
        <f ca="1">IF($AQ1251&lt;&gt;"", INDEX(Inputs!$B$3:$B$101, MATCH($AQ1251,Inputs!$A$3:$A$101,1)), "")</f>
        <v>4.3499999999999997E-2</v>
      </c>
      <c r="AT1251" s="48">
        <f t="shared" ca="1" si="279"/>
        <v>91.325039342465743</v>
      </c>
      <c r="AU1251" s="3">
        <f t="shared" ca="1" si="281"/>
        <v>-91.325039342465743</v>
      </c>
      <c r="AV1251" s="3">
        <f t="shared" ca="1" si="282"/>
        <v>-91.325039342465743</v>
      </c>
    </row>
    <row r="1252" spans="43:48" x14ac:dyDescent="0.2">
      <c r="AQ1252" s="4">
        <f t="shared" ca="1" si="278"/>
        <v>45600</v>
      </c>
      <c r="AR1252" s="3">
        <f t="shared" ca="1" si="280"/>
        <v>766290.55999999994</v>
      </c>
      <c r="AS1252" s="63">
        <f ca="1">IF($AQ1252&lt;&gt;"", INDEX(Inputs!$B$3:$B$101, MATCH($AQ1252,Inputs!$A$3:$A$101,1)), "")</f>
        <v>4.3499999999999997E-2</v>
      </c>
      <c r="AT1252" s="48">
        <f t="shared" ca="1" si="279"/>
        <v>91.325039342465743</v>
      </c>
      <c r="AU1252" s="3">
        <f t="shared" ca="1" si="281"/>
        <v>-91.325039342465743</v>
      </c>
      <c r="AV1252" s="3">
        <f t="shared" ca="1" si="282"/>
        <v>-91.325039342465743</v>
      </c>
    </row>
    <row r="1253" spans="43:48" x14ac:dyDescent="0.2">
      <c r="AQ1253" s="4">
        <f t="shared" ca="1" si="278"/>
        <v>45601</v>
      </c>
      <c r="AR1253" s="3">
        <f t="shared" ca="1" si="280"/>
        <v>766290.55999999994</v>
      </c>
      <c r="AS1253" s="63">
        <f ca="1">IF($AQ1253&lt;&gt;"", INDEX(Inputs!$B$3:$B$101, MATCH($AQ1253,Inputs!$A$3:$A$101,1)), "")</f>
        <v>4.3499999999999997E-2</v>
      </c>
      <c r="AT1253" s="48">
        <f t="shared" ca="1" si="279"/>
        <v>91.325039342465743</v>
      </c>
      <c r="AU1253" s="3">
        <f t="shared" ca="1" si="281"/>
        <v>-91.325039342465743</v>
      </c>
      <c r="AV1253" s="3">
        <f t="shared" ca="1" si="282"/>
        <v>-91.325039342465743</v>
      </c>
    </row>
    <row r="1254" spans="43:48" x14ac:dyDescent="0.2">
      <c r="AQ1254" s="4">
        <f t="shared" ca="1" si="278"/>
        <v>45602</v>
      </c>
      <c r="AR1254" s="3">
        <f t="shared" ca="1" si="280"/>
        <v>766290.55999999994</v>
      </c>
      <c r="AS1254" s="63">
        <f ca="1">IF($AQ1254&lt;&gt;"", INDEX(Inputs!$B$3:$B$101, MATCH($AQ1254,Inputs!$A$3:$A$101,1)), "")</f>
        <v>4.3499999999999997E-2</v>
      </c>
      <c r="AT1254" s="48">
        <f t="shared" ca="1" si="279"/>
        <v>91.325039342465743</v>
      </c>
      <c r="AU1254" s="3">
        <f t="shared" ca="1" si="281"/>
        <v>-91.325039342465743</v>
      </c>
      <c r="AV1254" s="3">
        <f t="shared" ca="1" si="282"/>
        <v>-91.325039342465743</v>
      </c>
    </row>
    <row r="1255" spans="43:48" x14ac:dyDescent="0.2">
      <c r="AQ1255" s="4">
        <f t="shared" ca="1" si="278"/>
        <v>45603</v>
      </c>
      <c r="AR1255" s="3">
        <f t="shared" ca="1" si="280"/>
        <v>766290.55999999994</v>
      </c>
      <c r="AS1255" s="63">
        <f ca="1">IF($AQ1255&lt;&gt;"", INDEX(Inputs!$B$3:$B$101, MATCH($AQ1255,Inputs!$A$3:$A$101,1)), "")</f>
        <v>4.3499999999999997E-2</v>
      </c>
      <c r="AT1255" s="48">
        <f t="shared" ca="1" si="279"/>
        <v>91.325039342465743</v>
      </c>
      <c r="AU1255" s="3">
        <f t="shared" ca="1" si="281"/>
        <v>-804.52503934246579</v>
      </c>
      <c r="AV1255" s="3">
        <f t="shared" ca="1" si="282"/>
        <v>-804.52503934246579</v>
      </c>
    </row>
    <row r="1256" spans="43:48" x14ac:dyDescent="0.2">
      <c r="AQ1256" s="4">
        <f t="shared" ca="1" si="278"/>
        <v>45604</v>
      </c>
      <c r="AR1256" s="3">
        <f t="shared" ca="1" si="280"/>
        <v>766290.55999999994</v>
      </c>
      <c r="AS1256" s="63">
        <f ca="1">IF($AQ1256&lt;&gt;"", INDEX(Inputs!$B$3:$B$101, MATCH($AQ1256,Inputs!$A$3:$A$101,1)), "")</f>
        <v>4.3499999999999997E-2</v>
      </c>
      <c r="AT1256" s="48">
        <f t="shared" ca="1" si="279"/>
        <v>91.325039342465743</v>
      </c>
      <c r="AU1256" s="3">
        <f t="shared" ca="1" si="281"/>
        <v>-91.325039342465743</v>
      </c>
      <c r="AV1256" s="3">
        <f t="shared" ca="1" si="282"/>
        <v>-91.325039342465743</v>
      </c>
    </row>
    <row r="1257" spans="43:48" x14ac:dyDescent="0.2">
      <c r="AQ1257" s="4">
        <f t="shared" ca="1" si="278"/>
        <v>45605</v>
      </c>
      <c r="AR1257" s="3">
        <f t="shared" ca="1" si="280"/>
        <v>766290.55999999994</v>
      </c>
      <c r="AS1257" s="63">
        <f ca="1">IF($AQ1257&lt;&gt;"", INDEX(Inputs!$B$3:$B$101, MATCH($AQ1257,Inputs!$A$3:$A$101,1)), "")</f>
        <v>4.3499999999999997E-2</v>
      </c>
      <c r="AT1257" s="48">
        <f t="shared" ca="1" si="279"/>
        <v>91.325039342465743</v>
      </c>
      <c r="AU1257" s="3">
        <f t="shared" ca="1" si="281"/>
        <v>-91.325039342465743</v>
      </c>
      <c r="AV1257" s="3">
        <f t="shared" ca="1" si="282"/>
        <v>-91.325039342465743</v>
      </c>
    </row>
    <row r="1258" spans="43:48" x14ac:dyDescent="0.2">
      <c r="AQ1258" s="4">
        <f t="shared" ca="1" si="278"/>
        <v>45606</v>
      </c>
      <c r="AR1258" s="3">
        <f t="shared" ca="1" si="280"/>
        <v>766290.55999999994</v>
      </c>
      <c r="AS1258" s="63">
        <f ca="1">IF($AQ1258&lt;&gt;"", INDEX(Inputs!$B$3:$B$101, MATCH($AQ1258,Inputs!$A$3:$A$101,1)), "")</f>
        <v>4.3499999999999997E-2</v>
      </c>
      <c r="AT1258" s="48">
        <f t="shared" ca="1" si="279"/>
        <v>91.325039342465743</v>
      </c>
      <c r="AU1258" s="3">
        <f t="shared" ca="1" si="281"/>
        <v>-91.325039342465743</v>
      </c>
      <c r="AV1258" s="3">
        <f t="shared" ca="1" si="282"/>
        <v>-91.325039342465743</v>
      </c>
    </row>
    <row r="1259" spans="43:48" x14ac:dyDescent="0.2">
      <c r="AQ1259" s="4">
        <f t="shared" ca="1" si="278"/>
        <v>45607</v>
      </c>
      <c r="AR1259" s="3">
        <f t="shared" ca="1" si="280"/>
        <v>766290.55999999994</v>
      </c>
      <c r="AS1259" s="63">
        <f ca="1">IF($AQ1259&lt;&gt;"", INDEX(Inputs!$B$3:$B$101, MATCH($AQ1259,Inputs!$A$3:$A$101,1)), "")</f>
        <v>4.3499999999999997E-2</v>
      </c>
      <c r="AT1259" s="48">
        <f t="shared" ca="1" si="279"/>
        <v>91.325039342465743</v>
      </c>
      <c r="AU1259" s="3">
        <f t="shared" ca="1" si="281"/>
        <v>-91.325039342465743</v>
      </c>
      <c r="AV1259" s="3">
        <f t="shared" ca="1" si="282"/>
        <v>-91.325039342465743</v>
      </c>
    </row>
    <row r="1260" spans="43:48" x14ac:dyDescent="0.2">
      <c r="AQ1260" s="4">
        <f t="shared" ca="1" si="278"/>
        <v>45608</v>
      </c>
      <c r="AR1260" s="3">
        <f t="shared" ca="1" si="280"/>
        <v>766290.55999999994</v>
      </c>
      <c r="AS1260" s="63">
        <f ca="1">IF($AQ1260&lt;&gt;"", INDEX(Inputs!$B$3:$B$101, MATCH($AQ1260,Inputs!$A$3:$A$101,1)), "")</f>
        <v>4.3499999999999997E-2</v>
      </c>
      <c r="AT1260" s="48">
        <f t="shared" ca="1" si="279"/>
        <v>91.325039342465743</v>
      </c>
      <c r="AU1260" s="3">
        <f t="shared" ca="1" si="281"/>
        <v>-91.325039342465743</v>
      </c>
      <c r="AV1260" s="3">
        <f t="shared" ca="1" si="282"/>
        <v>-91.325039342465743</v>
      </c>
    </row>
    <row r="1261" spans="43:48" x14ac:dyDescent="0.2">
      <c r="AQ1261" s="4">
        <f t="shared" ca="1" si="278"/>
        <v>45609</v>
      </c>
      <c r="AR1261" s="3">
        <f t="shared" ca="1" si="280"/>
        <v>766290.55999999994</v>
      </c>
      <c r="AS1261" s="63">
        <f ca="1">IF($AQ1261&lt;&gt;"", INDEX(Inputs!$B$3:$B$101, MATCH($AQ1261,Inputs!$A$3:$A$101,1)), "")</f>
        <v>4.3499999999999997E-2</v>
      </c>
      <c r="AT1261" s="48">
        <f t="shared" ca="1" si="279"/>
        <v>91.325039342465743</v>
      </c>
      <c r="AU1261" s="3">
        <f t="shared" ca="1" si="281"/>
        <v>-91.325039342465743</v>
      </c>
      <c r="AV1261" s="3">
        <f t="shared" ca="1" si="282"/>
        <v>-91.325039342465743</v>
      </c>
    </row>
    <row r="1262" spans="43:48" x14ac:dyDescent="0.2">
      <c r="AQ1262" s="4">
        <f t="shared" ca="1" si="278"/>
        <v>45610</v>
      </c>
      <c r="AR1262" s="3">
        <f t="shared" ca="1" si="280"/>
        <v>766290.55999999994</v>
      </c>
      <c r="AS1262" s="63">
        <f ca="1">IF($AQ1262&lt;&gt;"", INDEX(Inputs!$B$3:$B$101, MATCH($AQ1262,Inputs!$A$3:$A$101,1)), "")</f>
        <v>4.3499999999999997E-2</v>
      </c>
      <c r="AT1262" s="48">
        <f t="shared" ca="1" si="279"/>
        <v>91.325039342465743</v>
      </c>
      <c r="AU1262" s="3">
        <f t="shared" ca="1" si="281"/>
        <v>-91.325039342465743</v>
      </c>
      <c r="AV1262" s="3">
        <f t="shared" ca="1" si="282"/>
        <v>-91.325039342465743</v>
      </c>
    </row>
    <row r="1263" spans="43:48" x14ac:dyDescent="0.2">
      <c r="AQ1263" s="4">
        <f t="shared" ca="1" si="278"/>
        <v>45611</v>
      </c>
      <c r="AR1263" s="3">
        <f t="shared" ca="1" si="280"/>
        <v>766290.55999999994</v>
      </c>
      <c r="AS1263" s="63">
        <f ca="1">IF($AQ1263&lt;&gt;"", INDEX(Inputs!$B$3:$B$101, MATCH($AQ1263,Inputs!$A$3:$A$101,1)), "")</f>
        <v>4.3499999999999997E-2</v>
      </c>
      <c r="AT1263" s="48">
        <f t="shared" ca="1" si="279"/>
        <v>91.325039342465743</v>
      </c>
      <c r="AU1263" s="3">
        <f t="shared" ca="1" si="281"/>
        <v>-91.325039342465743</v>
      </c>
      <c r="AV1263" s="3">
        <f t="shared" ca="1" si="282"/>
        <v>-91.325039342465743</v>
      </c>
    </row>
    <row r="1264" spans="43:48" x14ac:dyDescent="0.2">
      <c r="AQ1264" s="4">
        <f t="shared" ca="1" si="278"/>
        <v>45612</v>
      </c>
      <c r="AR1264" s="3">
        <f t="shared" ca="1" si="280"/>
        <v>766290.55999999994</v>
      </c>
      <c r="AS1264" s="63">
        <f ca="1">IF($AQ1264&lt;&gt;"", INDEX(Inputs!$B$3:$B$101, MATCH($AQ1264,Inputs!$A$3:$A$101,1)), "")</f>
        <v>4.3499999999999997E-2</v>
      </c>
      <c r="AT1264" s="48">
        <f t="shared" ca="1" si="279"/>
        <v>91.325039342465743</v>
      </c>
      <c r="AU1264" s="3">
        <f t="shared" ca="1" si="281"/>
        <v>-91.325039342465743</v>
      </c>
      <c r="AV1264" s="3">
        <f t="shared" ca="1" si="282"/>
        <v>-91.325039342465743</v>
      </c>
    </row>
    <row r="1265" spans="43:48" x14ac:dyDescent="0.2">
      <c r="AQ1265" s="4">
        <f t="shared" ca="1" si="278"/>
        <v>45613</v>
      </c>
      <c r="AR1265" s="3">
        <f t="shared" ca="1" si="280"/>
        <v>766290.55999999994</v>
      </c>
      <c r="AS1265" s="63">
        <f ca="1">IF($AQ1265&lt;&gt;"", INDEX(Inputs!$B$3:$B$101, MATCH($AQ1265,Inputs!$A$3:$A$101,1)), "")</f>
        <v>4.3499999999999997E-2</v>
      </c>
      <c r="AT1265" s="48">
        <f t="shared" ca="1" si="279"/>
        <v>91.325039342465743</v>
      </c>
      <c r="AU1265" s="3">
        <f t="shared" ca="1" si="281"/>
        <v>-91.325039342465743</v>
      </c>
      <c r="AV1265" s="3">
        <f t="shared" ca="1" si="282"/>
        <v>-91.325039342465743</v>
      </c>
    </row>
    <row r="1266" spans="43:48" x14ac:dyDescent="0.2">
      <c r="AQ1266" s="4">
        <f t="shared" ca="1" si="278"/>
        <v>45614</v>
      </c>
      <c r="AR1266" s="3">
        <f t="shared" ca="1" si="280"/>
        <v>766290.55999999994</v>
      </c>
      <c r="AS1266" s="63">
        <f ca="1">IF($AQ1266&lt;&gt;"", INDEX(Inputs!$B$3:$B$101, MATCH($AQ1266,Inputs!$A$3:$A$101,1)), "")</f>
        <v>4.3499999999999997E-2</v>
      </c>
      <c r="AT1266" s="48">
        <f t="shared" ca="1" si="279"/>
        <v>91.325039342465743</v>
      </c>
      <c r="AU1266" s="3">
        <f t="shared" ca="1" si="281"/>
        <v>-91.325039342465743</v>
      </c>
      <c r="AV1266" s="3">
        <f t="shared" ca="1" si="282"/>
        <v>-91.325039342465743</v>
      </c>
    </row>
    <row r="1267" spans="43:48" x14ac:dyDescent="0.2">
      <c r="AQ1267" s="4">
        <f t="shared" ca="1" si="278"/>
        <v>45615</v>
      </c>
      <c r="AR1267" s="3">
        <f t="shared" ca="1" si="280"/>
        <v>766290.55999999994</v>
      </c>
      <c r="AS1267" s="63">
        <f ca="1">IF($AQ1267&lt;&gt;"", INDEX(Inputs!$B$3:$B$101, MATCH($AQ1267,Inputs!$A$3:$A$101,1)), "")</f>
        <v>4.3499999999999997E-2</v>
      </c>
      <c r="AT1267" s="48">
        <f t="shared" ca="1" si="279"/>
        <v>91.325039342465743</v>
      </c>
      <c r="AU1267" s="3">
        <f t="shared" ca="1" si="281"/>
        <v>-91.325039342465743</v>
      </c>
      <c r="AV1267" s="3">
        <f t="shared" ca="1" si="282"/>
        <v>-91.325039342465743</v>
      </c>
    </row>
    <row r="1268" spans="43:48" x14ac:dyDescent="0.2">
      <c r="AQ1268" s="4">
        <f t="shared" ca="1" si="278"/>
        <v>45616</v>
      </c>
      <c r="AR1268" s="3">
        <f t="shared" ca="1" si="280"/>
        <v>766290.55999999994</v>
      </c>
      <c r="AS1268" s="63">
        <f ca="1">IF($AQ1268&lt;&gt;"", INDEX(Inputs!$B$3:$B$101, MATCH($AQ1268,Inputs!$A$3:$A$101,1)), "")</f>
        <v>4.3499999999999997E-2</v>
      </c>
      <c r="AT1268" s="48">
        <f t="shared" ca="1" si="279"/>
        <v>91.325039342465743</v>
      </c>
      <c r="AU1268" s="3">
        <f t="shared" ca="1" si="281"/>
        <v>-91.325039342465743</v>
      </c>
      <c r="AV1268" s="3">
        <f t="shared" ca="1" si="282"/>
        <v>-91.325039342465743</v>
      </c>
    </row>
    <row r="1269" spans="43:48" x14ac:dyDescent="0.2">
      <c r="AQ1269" s="4">
        <f t="shared" ca="1" si="278"/>
        <v>45617</v>
      </c>
      <c r="AR1269" s="3">
        <f t="shared" ca="1" si="280"/>
        <v>766290.55999999994</v>
      </c>
      <c r="AS1269" s="63">
        <f ca="1">IF($AQ1269&lt;&gt;"", INDEX(Inputs!$B$3:$B$101, MATCH($AQ1269,Inputs!$A$3:$A$101,1)), "")</f>
        <v>4.3499999999999997E-2</v>
      </c>
      <c r="AT1269" s="48">
        <f t="shared" ca="1" si="279"/>
        <v>91.325039342465743</v>
      </c>
      <c r="AU1269" s="3">
        <f t="shared" ca="1" si="281"/>
        <v>-91.325039342465743</v>
      </c>
      <c r="AV1269" s="3">
        <f t="shared" ca="1" si="282"/>
        <v>-91.325039342465743</v>
      </c>
    </row>
    <row r="1270" spans="43:48" x14ac:dyDescent="0.2">
      <c r="AQ1270" s="4">
        <f t="shared" ca="1" si="278"/>
        <v>45618</v>
      </c>
      <c r="AR1270" s="3">
        <f t="shared" ca="1" si="280"/>
        <v>766290.55999999994</v>
      </c>
      <c r="AS1270" s="63">
        <f ca="1">IF($AQ1270&lt;&gt;"", INDEX(Inputs!$B$3:$B$101, MATCH($AQ1270,Inputs!$A$3:$A$101,1)), "")</f>
        <v>4.3499999999999997E-2</v>
      </c>
      <c r="AT1270" s="48">
        <f t="shared" ca="1" si="279"/>
        <v>91.325039342465743</v>
      </c>
      <c r="AU1270" s="3">
        <f t="shared" ca="1" si="281"/>
        <v>-91.325039342465743</v>
      </c>
      <c r="AV1270" s="3">
        <f t="shared" ca="1" si="282"/>
        <v>-91.325039342465743</v>
      </c>
    </row>
    <row r="1271" spans="43:48" x14ac:dyDescent="0.2">
      <c r="AQ1271" s="4">
        <f t="shared" ca="1" si="278"/>
        <v>45619</v>
      </c>
      <c r="AR1271" s="3">
        <f t="shared" ca="1" si="280"/>
        <v>766290.55999999994</v>
      </c>
      <c r="AS1271" s="63">
        <f ca="1">IF($AQ1271&lt;&gt;"", INDEX(Inputs!$B$3:$B$101, MATCH($AQ1271,Inputs!$A$3:$A$101,1)), "")</f>
        <v>4.3499999999999997E-2</v>
      </c>
      <c r="AT1271" s="48">
        <f t="shared" ca="1" si="279"/>
        <v>91.325039342465743</v>
      </c>
      <c r="AU1271" s="3">
        <f t="shared" ca="1" si="281"/>
        <v>-91.325039342465743</v>
      </c>
      <c r="AV1271" s="3">
        <f t="shared" ca="1" si="282"/>
        <v>-91.325039342465743</v>
      </c>
    </row>
    <row r="1272" spans="43:48" x14ac:dyDescent="0.2">
      <c r="AQ1272" s="4">
        <f t="shared" ca="1" si="278"/>
        <v>45620</v>
      </c>
      <c r="AR1272" s="3">
        <f t="shared" ca="1" si="280"/>
        <v>766290.55999999994</v>
      </c>
      <c r="AS1272" s="63">
        <f ca="1">IF($AQ1272&lt;&gt;"", INDEX(Inputs!$B$3:$B$101, MATCH($AQ1272,Inputs!$A$3:$A$101,1)), "")</f>
        <v>4.3499999999999997E-2</v>
      </c>
      <c r="AT1272" s="48">
        <f t="shared" ca="1" si="279"/>
        <v>91.325039342465743</v>
      </c>
      <c r="AU1272" s="3">
        <f t="shared" ca="1" si="281"/>
        <v>-91.325039342465743</v>
      </c>
      <c r="AV1272" s="3">
        <f t="shared" ca="1" si="282"/>
        <v>-91.325039342465743</v>
      </c>
    </row>
    <row r="1273" spans="43:48" x14ac:dyDescent="0.2">
      <c r="AQ1273" s="4">
        <f t="shared" ref="AQ1273:AQ1336" ca="1" si="283">IF(AQ1272&lt;$AP$3,AQ1272+1,"")</f>
        <v>45621</v>
      </c>
      <c r="AR1273" s="3">
        <f t="shared" ca="1" si="280"/>
        <v>766290.55999999994</v>
      </c>
      <c r="AS1273" s="63">
        <f ca="1">IF($AQ1273&lt;&gt;"", INDEX(Inputs!$B$3:$B$101, MATCH($AQ1273,Inputs!$A$3:$A$101,1)), "")</f>
        <v>4.3499999999999997E-2</v>
      </c>
      <c r="AT1273" s="48">
        <f t="shared" ref="AT1273:AT1336" ca="1" si="284">IF($AQ1273&lt;&gt;"", AR1273*AS1273/365, "")</f>
        <v>91.325039342465743</v>
      </c>
      <c r="AU1273" s="3">
        <f t="shared" ca="1" si="281"/>
        <v>-91.325039342465743</v>
      </c>
      <c r="AV1273" s="3">
        <f t="shared" ca="1" si="282"/>
        <v>-91.325039342465743</v>
      </c>
    </row>
    <row r="1274" spans="43:48" x14ac:dyDescent="0.2">
      <c r="AQ1274" s="4">
        <f t="shared" ca="1" si="283"/>
        <v>45622</v>
      </c>
      <c r="AR1274" s="3">
        <f t="shared" ca="1" si="280"/>
        <v>766290.55999999994</v>
      </c>
      <c r="AS1274" s="63">
        <f ca="1">IF($AQ1274&lt;&gt;"", INDEX(Inputs!$B$3:$B$101, MATCH($AQ1274,Inputs!$A$3:$A$101,1)), "")</f>
        <v>4.3499999999999997E-2</v>
      </c>
      <c r="AT1274" s="48">
        <f t="shared" ca="1" si="284"/>
        <v>91.325039342465743</v>
      </c>
      <c r="AU1274" s="3">
        <f t="shared" ca="1" si="281"/>
        <v>-91.325039342465743</v>
      </c>
      <c r="AV1274" s="3">
        <f t="shared" ca="1" si="282"/>
        <v>-91.325039342465743</v>
      </c>
    </row>
    <row r="1275" spans="43:48" x14ac:dyDescent="0.2">
      <c r="AQ1275" s="4">
        <f t="shared" ca="1" si="283"/>
        <v>45623</v>
      </c>
      <c r="AR1275" s="3">
        <f t="shared" ca="1" si="280"/>
        <v>766290.55999999994</v>
      </c>
      <c r="AS1275" s="63">
        <f ca="1">IF($AQ1275&lt;&gt;"", INDEX(Inputs!$B$3:$B$101, MATCH($AQ1275,Inputs!$A$3:$A$101,1)), "")</f>
        <v>4.3499999999999997E-2</v>
      </c>
      <c r="AT1275" s="48">
        <f t="shared" ca="1" si="284"/>
        <v>91.325039342465743</v>
      </c>
      <c r="AU1275" s="3">
        <f t="shared" ca="1" si="281"/>
        <v>-91.325039342465743</v>
      </c>
      <c r="AV1275" s="3">
        <f t="shared" ca="1" si="282"/>
        <v>-91.325039342465743</v>
      </c>
    </row>
    <row r="1276" spans="43:48" x14ac:dyDescent="0.2">
      <c r="AQ1276" s="4">
        <f t="shared" ca="1" si="283"/>
        <v>45624</v>
      </c>
      <c r="AR1276" s="3">
        <f t="shared" ca="1" si="280"/>
        <v>766290.55999999994</v>
      </c>
      <c r="AS1276" s="63">
        <f ca="1">IF($AQ1276&lt;&gt;"", INDEX(Inputs!$B$3:$B$101, MATCH($AQ1276,Inputs!$A$3:$A$101,1)), "")</f>
        <v>4.3499999999999997E-2</v>
      </c>
      <c r="AT1276" s="48">
        <f t="shared" ca="1" si="284"/>
        <v>91.325039342465743</v>
      </c>
      <c r="AU1276" s="3">
        <f t="shared" ca="1" si="281"/>
        <v>-91.325039342465743</v>
      </c>
      <c r="AV1276" s="3">
        <f t="shared" ca="1" si="282"/>
        <v>-91.325039342465743</v>
      </c>
    </row>
    <row r="1277" spans="43:48" x14ac:dyDescent="0.2">
      <c r="AQ1277" s="4">
        <f t="shared" ca="1" si="283"/>
        <v>45625</v>
      </c>
      <c r="AR1277" s="3">
        <f t="shared" ca="1" si="280"/>
        <v>766290.55999999994</v>
      </c>
      <c r="AS1277" s="63">
        <f ca="1">IF($AQ1277&lt;&gt;"", INDEX(Inputs!$B$3:$B$101, MATCH($AQ1277,Inputs!$A$3:$A$101,1)), "")</f>
        <v>4.3499999999999997E-2</v>
      </c>
      <c r="AT1277" s="48">
        <f t="shared" ca="1" si="284"/>
        <v>91.325039342465743</v>
      </c>
      <c r="AU1277" s="3">
        <f t="shared" ca="1" si="281"/>
        <v>-91.325039342465743</v>
      </c>
      <c r="AV1277" s="3">
        <f t="shared" ca="1" si="282"/>
        <v>-91.325039342465743</v>
      </c>
    </row>
    <row r="1278" spans="43:48" x14ac:dyDescent="0.2">
      <c r="AQ1278" s="4">
        <f t="shared" ca="1" si="283"/>
        <v>45626</v>
      </c>
      <c r="AR1278" s="3">
        <f t="shared" ca="1" si="280"/>
        <v>766290.55999999994</v>
      </c>
      <c r="AS1278" s="63">
        <f ca="1">IF($AQ1278&lt;&gt;"", INDEX(Inputs!$B$3:$B$101, MATCH($AQ1278,Inputs!$A$3:$A$101,1)), "")</f>
        <v>4.3499999999999997E-2</v>
      </c>
      <c r="AT1278" s="48">
        <f t="shared" ca="1" si="284"/>
        <v>91.325039342465743</v>
      </c>
      <c r="AU1278" s="3">
        <f t="shared" ca="1" si="281"/>
        <v>-91.325039342465743</v>
      </c>
      <c r="AV1278" s="3">
        <f t="shared" ca="1" si="282"/>
        <v>-91.325039342465743</v>
      </c>
    </row>
    <row r="1279" spans="43:48" x14ac:dyDescent="0.2">
      <c r="AQ1279" s="4">
        <f t="shared" ca="1" si="283"/>
        <v>45627</v>
      </c>
      <c r="AR1279" s="3">
        <f t="shared" ca="1" si="280"/>
        <v>766290.55999999994</v>
      </c>
      <c r="AS1279" s="63">
        <f ca="1">IF($AQ1279&lt;&gt;"", INDEX(Inputs!$B$3:$B$101, MATCH($AQ1279,Inputs!$A$3:$A$101,1)), "")</f>
        <v>4.3499999999999997E-2</v>
      </c>
      <c r="AT1279" s="48">
        <f t="shared" ca="1" si="284"/>
        <v>91.325039342465743</v>
      </c>
      <c r="AU1279" s="3">
        <f t="shared" ca="1" si="281"/>
        <v>6136.1549606575336</v>
      </c>
      <c r="AV1279" s="3">
        <f t="shared" ca="1" si="282"/>
        <v>6136.1549606575336</v>
      </c>
    </row>
    <row r="1280" spans="43:48" x14ac:dyDescent="0.2">
      <c r="AQ1280" s="4">
        <f t="shared" ca="1" si="283"/>
        <v>45628</v>
      </c>
      <c r="AR1280" s="3">
        <f t="shared" ca="1" si="280"/>
        <v>773817.16999999981</v>
      </c>
      <c r="AS1280" s="63">
        <f ca="1">IF($AQ1280&lt;&gt;"", INDEX(Inputs!$B$3:$B$101, MATCH($AQ1280,Inputs!$A$3:$A$101,1)), "")</f>
        <v>4.3499999999999997E-2</v>
      </c>
      <c r="AT1280" s="48">
        <f t="shared" ca="1" si="284"/>
        <v>92.222046287671205</v>
      </c>
      <c r="AU1280" s="3">
        <f t="shared" ca="1" si="281"/>
        <v>-18503.752046287671</v>
      </c>
      <c r="AV1280" s="3">
        <f t="shared" ca="1" si="282"/>
        <v>-18503.752046287671</v>
      </c>
    </row>
    <row r="1281" spans="43:48" x14ac:dyDescent="0.2">
      <c r="AQ1281" s="4">
        <f t="shared" ca="1" si="283"/>
        <v>45629</v>
      </c>
      <c r="AR1281" s="3">
        <f t="shared" ca="1" si="280"/>
        <v>773817.16999999981</v>
      </c>
      <c r="AS1281" s="63">
        <f ca="1">IF($AQ1281&lt;&gt;"", INDEX(Inputs!$B$3:$B$101, MATCH($AQ1281,Inputs!$A$3:$A$101,1)), "")</f>
        <v>4.3499999999999997E-2</v>
      </c>
      <c r="AT1281" s="48">
        <f t="shared" ca="1" si="284"/>
        <v>92.222046287671205</v>
      </c>
      <c r="AU1281" s="3">
        <f t="shared" ca="1" si="281"/>
        <v>-92.222046287671205</v>
      </c>
      <c r="AV1281" s="3">
        <f t="shared" ca="1" si="282"/>
        <v>-92.222046287671205</v>
      </c>
    </row>
    <row r="1282" spans="43:48" x14ac:dyDescent="0.2">
      <c r="AQ1282" s="4">
        <f t="shared" ca="1" si="283"/>
        <v>45630</v>
      </c>
      <c r="AR1282" s="3">
        <f t="shared" ca="1" si="280"/>
        <v>773817.16999999981</v>
      </c>
      <c r="AS1282" s="63">
        <f ca="1">IF($AQ1282&lt;&gt;"", INDEX(Inputs!$B$3:$B$101, MATCH($AQ1282,Inputs!$A$3:$A$101,1)), "")</f>
        <v>4.3499999999999997E-2</v>
      </c>
      <c r="AT1282" s="48">
        <f t="shared" ca="1" si="284"/>
        <v>92.222046287671205</v>
      </c>
      <c r="AU1282" s="3">
        <f t="shared" ca="1" si="281"/>
        <v>-92.222046287671205</v>
      </c>
      <c r="AV1282" s="3">
        <f t="shared" ca="1" si="282"/>
        <v>-92.222046287671205</v>
      </c>
    </row>
    <row r="1283" spans="43:48" x14ac:dyDescent="0.2">
      <c r="AQ1283" s="4">
        <f t="shared" ca="1" si="283"/>
        <v>45631</v>
      </c>
      <c r="AR1283" s="3">
        <f t="shared" ca="1" si="280"/>
        <v>773817.16999999981</v>
      </c>
      <c r="AS1283" s="63">
        <f ca="1">IF($AQ1283&lt;&gt;"", INDEX(Inputs!$B$3:$B$101, MATCH($AQ1283,Inputs!$A$3:$A$101,1)), "")</f>
        <v>4.3499999999999997E-2</v>
      </c>
      <c r="AT1283" s="48">
        <f t="shared" ca="1" si="284"/>
        <v>92.222046287671205</v>
      </c>
      <c r="AU1283" s="3">
        <f t="shared" ca="1" si="281"/>
        <v>-92.222046287671205</v>
      </c>
      <c r="AV1283" s="3">
        <f t="shared" ca="1" si="282"/>
        <v>-92.222046287671205</v>
      </c>
    </row>
    <row r="1284" spans="43:48" x14ac:dyDescent="0.2">
      <c r="AQ1284" s="4">
        <f t="shared" ca="1" si="283"/>
        <v>45632</v>
      </c>
      <c r="AR1284" s="3">
        <f t="shared" ca="1" si="280"/>
        <v>773817.16999999981</v>
      </c>
      <c r="AS1284" s="63">
        <f ca="1">IF($AQ1284&lt;&gt;"", INDEX(Inputs!$B$3:$B$101, MATCH($AQ1284,Inputs!$A$3:$A$101,1)), "")</f>
        <v>4.3499999999999997E-2</v>
      </c>
      <c r="AT1284" s="48">
        <f t="shared" ca="1" si="284"/>
        <v>92.222046287671205</v>
      </c>
      <c r="AU1284" s="3">
        <f t="shared" ca="1" si="281"/>
        <v>-92.222046287671205</v>
      </c>
      <c r="AV1284" s="3">
        <f t="shared" ca="1" si="282"/>
        <v>-92.222046287671205</v>
      </c>
    </row>
    <row r="1285" spans="43:48" x14ac:dyDescent="0.2">
      <c r="AQ1285" s="4">
        <f t="shared" ca="1" si="283"/>
        <v>45633</v>
      </c>
      <c r="AR1285" s="3">
        <f t="shared" ca="1" si="280"/>
        <v>773817.16999999981</v>
      </c>
      <c r="AS1285" s="63">
        <f ca="1">IF($AQ1285&lt;&gt;"", INDEX(Inputs!$B$3:$B$101, MATCH($AQ1285,Inputs!$A$3:$A$101,1)), "")</f>
        <v>4.3499999999999997E-2</v>
      </c>
      <c r="AT1285" s="48">
        <f t="shared" ca="1" si="284"/>
        <v>92.222046287671205</v>
      </c>
      <c r="AU1285" s="3">
        <f t="shared" ca="1" si="281"/>
        <v>-92.222046287671205</v>
      </c>
      <c r="AV1285" s="3">
        <f t="shared" ca="1" si="282"/>
        <v>-92.222046287671205</v>
      </c>
    </row>
    <row r="1286" spans="43:48" x14ac:dyDescent="0.2">
      <c r="AQ1286" s="4">
        <f t="shared" ca="1" si="283"/>
        <v>45634</v>
      </c>
      <c r="AR1286" s="3">
        <f t="shared" ca="1" si="280"/>
        <v>773817.16999999981</v>
      </c>
      <c r="AS1286" s="63">
        <f ca="1">IF($AQ1286&lt;&gt;"", INDEX(Inputs!$B$3:$B$101, MATCH($AQ1286,Inputs!$A$3:$A$101,1)), "")</f>
        <v>4.3499999999999997E-2</v>
      </c>
      <c r="AT1286" s="48">
        <f t="shared" ca="1" si="284"/>
        <v>92.222046287671205</v>
      </c>
      <c r="AU1286" s="3">
        <f t="shared" ca="1" si="281"/>
        <v>-92.222046287671205</v>
      </c>
      <c r="AV1286" s="3">
        <f t="shared" ca="1" si="282"/>
        <v>-92.222046287671205</v>
      </c>
    </row>
    <row r="1287" spans="43:48" x14ac:dyDescent="0.2">
      <c r="AQ1287" s="4">
        <f t="shared" ca="1" si="283"/>
        <v>45635</v>
      </c>
      <c r="AR1287" s="3">
        <f t="shared" ca="1" si="280"/>
        <v>773817.16999999981</v>
      </c>
      <c r="AS1287" s="63">
        <f ca="1">IF($AQ1287&lt;&gt;"", INDEX(Inputs!$B$3:$B$101, MATCH($AQ1287,Inputs!$A$3:$A$101,1)), "")</f>
        <v>4.3499999999999997E-2</v>
      </c>
      <c r="AT1287" s="48">
        <f t="shared" ca="1" si="284"/>
        <v>92.222046287671205</v>
      </c>
      <c r="AU1287" s="3">
        <f t="shared" ca="1" si="281"/>
        <v>-92.222046287671205</v>
      </c>
      <c r="AV1287" s="3">
        <f t="shared" ca="1" si="282"/>
        <v>-92.222046287671205</v>
      </c>
    </row>
    <row r="1288" spans="43:48" x14ac:dyDescent="0.2">
      <c r="AQ1288" s="4">
        <f t="shared" ca="1" si="283"/>
        <v>45636</v>
      </c>
      <c r="AR1288" s="3">
        <f t="shared" ca="1" si="280"/>
        <v>773817.16999999981</v>
      </c>
      <c r="AS1288" s="63">
        <f ca="1">IF($AQ1288&lt;&gt;"", INDEX(Inputs!$B$3:$B$101, MATCH($AQ1288,Inputs!$A$3:$A$101,1)), "")</f>
        <v>4.3499999999999997E-2</v>
      </c>
      <c r="AT1288" s="48">
        <f t="shared" ca="1" si="284"/>
        <v>92.222046287671205</v>
      </c>
      <c r="AU1288" s="3">
        <f t="shared" ca="1" si="281"/>
        <v>-92.222046287671205</v>
      </c>
      <c r="AV1288" s="3">
        <f t="shared" ca="1" si="282"/>
        <v>-92.222046287671205</v>
      </c>
    </row>
    <row r="1289" spans="43:48" x14ac:dyDescent="0.2">
      <c r="AQ1289" s="4">
        <f t="shared" ca="1" si="283"/>
        <v>45637</v>
      </c>
      <c r="AR1289" s="3">
        <f t="shared" ca="1" si="280"/>
        <v>773817.16999999981</v>
      </c>
      <c r="AS1289" s="63">
        <f ca="1">IF($AQ1289&lt;&gt;"", INDEX(Inputs!$B$3:$B$101, MATCH($AQ1289,Inputs!$A$3:$A$101,1)), "")</f>
        <v>4.3499999999999997E-2</v>
      </c>
      <c r="AT1289" s="48">
        <f t="shared" ca="1" si="284"/>
        <v>92.222046287671205</v>
      </c>
      <c r="AU1289" s="3">
        <f t="shared" ca="1" si="281"/>
        <v>-92.222046287671205</v>
      </c>
      <c r="AV1289" s="3">
        <f t="shared" ca="1" si="282"/>
        <v>-92.222046287671205</v>
      </c>
    </row>
    <row r="1290" spans="43:48" x14ac:dyDescent="0.2">
      <c r="AQ1290" s="4">
        <f t="shared" ca="1" si="283"/>
        <v>45638</v>
      </c>
      <c r="AR1290" s="3">
        <f t="shared" ca="1" si="280"/>
        <v>773817.16999999981</v>
      </c>
      <c r="AS1290" s="63">
        <f ca="1">IF($AQ1290&lt;&gt;"", INDEX(Inputs!$B$3:$B$101, MATCH($AQ1290,Inputs!$A$3:$A$101,1)), "")</f>
        <v>4.3499999999999997E-2</v>
      </c>
      <c r="AT1290" s="48">
        <f t="shared" ca="1" si="284"/>
        <v>92.222046287671205</v>
      </c>
      <c r="AU1290" s="3">
        <f t="shared" ca="1" si="281"/>
        <v>-92.222046287671205</v>
      </c>
      <c r="AV1290" s="3">
        <f t="shared" ca="1" si="282"/>
        <v>-92.222046287671205</v>
      </c>
    </row>
    <row r="1291" spans="43:48" x14ac:dyDescent="0.2">
      <c r="AQ1291" s="4">
        <f t="shared" ca="1" si="283"/>
        <v>45639</v>
      </c>
      <c r="AR1291" s="3">
        <f t="shared" ca="1" si="280"/>
        <v>773817.16999999981</v>
      </c>
      <c r="AS1291" s="63">
        <f ca="1">IF($AQ1291&lt;&gt;"", INDEX(Inputs!$B$3:$B$101, MATCH($AQ1291,Inputs!$A$3:$A$101,1)), "")</f>
        <v>4.3499999999999997E-2</v>
      </c>
      <c r="AT1291" s="48">
        <f t="shared" ca="1" si="284"/>
        <v>92.222046287671205</v>
      </c>
      <c r="AU1291" s="3">
        <f t="shared" ca="1" si="281"/>
        <v>-92.222046287671205</v>
      </c>
      <c r="AV1291" s="3">
        <f t="shared" ca="1" si="282"/>
        <v>-92.222046287671205</v>
      </c>
    </row>
    <row r="1292" spans="43:48" x14ac:dyDescent="0.2">
      <c r="AQ1292" s="4">
        <f t="shared" ca="1" si="283"/>
        <v>45640</v>
      </c>
      <c r="AR1292" s="3">
        <f t="shared" ca="1" si="280"/>
        <v>773817.16999999981</v>
      </c>
      <c r="AS1292" s="63">
        <f ca="1">IF($AQ1292&lt;&gt;"", INDEX(Inputs!$B$3:$B$101, MATCH($AQ1292,Inputs!$A$3:$A$101,1)), "")</f>
        <v>4.3499999999999997E-2</v>
      </c>
      <c r="AT1292" s="48">
        <f t="shared" ca="1" si="284"/>
        <v>92.222046287671205</v>
      </c>
      <c r="AU1292" s="3">
        <f t="shared" ca="1" si="281"/>
        <v>-92.222046287671205</v>
      </c>
      <c r="AV1292" s="3">
        <f t="shared" ca="1" si="282"/>
        <v>-92.222046287671205</v>
      </c>
    </row>
    <row r="1293" spans="43:48" x14ac:dyDescent="0.2">
      <c r="AQ1293" s="4">
        <f t="shared" ca="1" si="283"/>
        <v>45641</v>
      </c>
      <c r="AR1293" s="3">
        <f t="shared" ca="1" si="280"/>
        <v>773817.16999999981</v>
      </c>
      <c r="AS1293" s="63">
        <f ca="1">IF($AQ1293&lt;&gt;"", INDEX(Inputs!$B$3:$B$101, MATCH($AQ1293,Inputs!$A$3:$A$101,1)), "")</f>
        <v>4.3499999999999997E-2</v>
      </c>
      <c r="AT1293" s="48">
        <f t="shared" ca="1" si="284"/>
        <v>92.222046287671205</v>
      </c>
      <c r="AU1293" s="3">
        <f t="shared" ca="1" si="281"/>
        <v>-92.222046287671205</v>
      </c>
      <c r="AV1293" s="3">
        <f t="shared" ca="1" si="282"/>
        <v>-92.222046287671205</v>
      </c>
    </row>
    <row r="1294" spans="43:48" x14ac:dyDescent="0.2">
      <c r="AQ1294" s="4">
        <f t="shared" ca="1" si="283"/>
        <v>45642</v>
      </c>
      <c r="AR1294" s="3">
        <f t="shared" ca="1" si="280"/>
        <v>773817.16999999981</v>
      </c>
      <c r="AS1294" s="63">
        <f ca="1">IF($AQ1294&lt;&gt;"", INDEX(Inputs!$B$3:$B$101, MATCH($AQ1294,Inputs!$A$3:$A$101,1)), "")</f>
        <v>4.3499999999999997E-2</v>
      </c>
      <c r="AT1294" s="48">
        <f t="shared" ca="1" si="284"/>
        <v>92.222046287671205</v>
      </c>
      <c r="AU1294" s="3">
        <f t="shared" ca="1" si="281"/>
        <v>-92.222046287671205</v>
      </c>
      <c r="AV1294" s="3">
        <f t="shared" ca="1" si="282"/>
        <v>-92.222046287671205</v>
      </c>
    </row>
    <row r="1295" spans="43:48" x14ac:dyDescent="0.2">
      <c r="AQ1295" s="4">
        <f t="shared" ca="1" si="283"/>
        <v>45643</v>
      </c>
      <c r="AR1295" s="3">
        <f t="shared" ca="1" si="280"/>
        <v>773817.16999999981</v>
      </c>
      <c r="AS1295" s="63">
        <f ca="1">IF($AQ1295&lt;&gt;"", INDEX(Inputs!$B$3:$B$101, MATCH($AQ1295,Inputs!$A$3:$A$101,1)), "")</f>
        <v>4.3499999999999997E-2</v>
      </c>
      <c r="AT1295" s="48">
        <f t="shared" ca="1" si="284"/>
        <v>92.222046287671205</v>
      </c>
      <c r="AU1295" s="3">
        <f t="shared" ca="1" si="281"/>
        <v>-92.222046287671205</v>
      </c>
      <c r="AV1295" s="3">
        <f t="shared" ca="1" si="282"/>
        <v>-92.222046287671205</v>
      </c>
    </row>
    <row r="1296" spans="43:48" x14ac:dyDescent="0.2">
      <c r="AQ1296" s="4">
        <f t="shared" ca="1" si="283"/>
        <v>45644</v>
      </c>
      <c r="AR1296" s="3">
        <f t="shared" ca="1" si="280"/>
        <v>773817.16999999981</v>
      </c>
      <c r="AS1296" s="63">
        <f ca="1">IF($AQ1296&lt;&gt;"", INDEX(Inputs!$B$3:$B$101, MATCH($AQ1296,Inputs!$A$3:$A$101,1)), "")</f>
        <v>4.3499999999999997E-2</v>
      </c>
      <c r="AT1296" s="48">
        <f t="shared" ca="1" si="284"/>
        <v>92.222046287671205</v>
      </c>
      <c r="AU1296" s="3">
        <f t="shared" ca="1" si="281"/>
        <v>-92.222046287671205</v>
      </c>
      <c r="AV1296" s="3">
        <f t="shared" ca="1" si="282"/>
        <v>-92.222046287671205</v>
      </c>
    </row>
    <row r="1297" spans="43:48" x14ac:dyDescent="0.2">
      <c r="AQ1297" s="4">
        <f t="shared" ca="1" si="283"/>
        <v>45645</v>
      </c>
      <c r="AR1297" s="3">
        <f t="shared" ca="1" si="280"/>
        <v>773817.16999999981</v>
      </c>
      <c r="AS1297" s="63">
        <f ca="1">IF($AQ1297&lt;&gt;"", INDEX(Inputs!$B$3:$B$101, MATCH($AQ1297,Inputs!$A$3:$A$101,1)), "")</f>
        <v>4.3499999999999997E-2</v>
      </c>
      <c r="AT1297" s="48">
        <f t="shared" ca="1" si="284"/>
        <v>92.222046287671205</v>
      </c>
      <c r="AU1297" s="3">
        <f t="shared" ca="1" si="281"/>
        <v>-92.222046287671205</v>
      </c>
      <c r="AV1297" s="3">
        <f t="shared" ca="1" si="282"/>
        <v>-92.222046287671205</v>
      </c>
    </row>
    <row r="1298" spans="43:48" x14ac:dyDescent="0.2">
      <c r="AQ1298" s="4">
        <f t="shared" ca="1" si="283"/>
        <v>45646</v>
      </c>
      <c r="AR1298" s="3">
        <f t="shared" ca="1" si="280"/>
        <v>773817.16999999981</v>
      </c>
      <c r="AS1298" s="63">
        <f ca="1">IF($AQ1298&lt;&gt;"", INDEX(Inputs!$B$3:$B$101, MATCH($AQ1298,Inputs!$A$3:$A$101,1)), "")</f>
        <v>4.3499999999999997E-2</v>
      </c>
      <c r="AT1298" s="48">
        <f t="shared" ca="1" si="284"/>
        <v>92.222046287671205</v>
      </c>
      <c r="AU1298" s="3">
        <f t="shared" ca="1" si="281"/>
        <v>-92.222046287671205</v>
      </c>
      <c r="AV1298" s="3">
        <f t="shared" ca="1" si="282"/>
        <v>-92.222046287671205</v>
      </c>
    </row>
    <row r="1299" spans="43:48" x14ac:dyDescent="0.2">
      <c r="AQ1299" s="4">
        <f t="shared" ca="1" si="283"/>
        <v>45647</v>
      </c>
      <c r="AR1299" s="3">
        <f t="shared" ca="1" si="280"/>
        <v>773817.16999999981</v>
      </c>
      <c r="AS1299" s="63">
        <f ca="1">IF($AQ1299&lt;&gt;"", INDEX(Inputs!$B$3:$B$101, MATCH($AQ1299,Inputs!$A$3:$A$101,1)), "")</f>
        <v>4.3499999999999997E-2</v>
      </c>
      <c r="AT1299" s="48">
        <f t="shared" ca="1" si="284"/>
        <v>92.222046287671205</v>
      </c>
      <c r="AU1299" s="3">
        <f t="shared" ca="1" si="281"/>
        <v>-92.222046287671205</v>
      </c>
      <c r="AV1299" s="3">
        <f t="shared" ca="1" si="282"/>
        <v>-92.222046287671205</v>
      </c>
    </row>
    <row r="1300" spans="43:48" x14ac:dyDescent="0.2">
      <c r="AQ1300" s="4">
        <f t="shared" ca="1" si="283"/>
        <v>45648</v>
      </c>
      <c r="AR1300" s="3">
        <f t="shared" ca="1" si="280"/>
        <v>773817.16999999981</v>
      </c>
      <c r="AS1300" s="63">
        <f ca="1">IF($AQ1300&lt;&gt;"", INDEX(Inputs!$B$3:$B$101, MATCH($AQ1300,Inputs!$A$3:$A$101,1)), "")</f>
        <v>4.3499999999999997E-2</v>
      </c>
      <c r="AT1300" s="48">
        <f t="shared" ca="1" si="284"/>
        <v>92.222046287671205</v>
      </c>
      <c r="AU1300" s="3">
        <f t="shared" ca="1" si="281"/>
        <v>-92.222046287671205</v>
      </c>
      <c r="AV1300" s="3">
        <f t="shared" ca="1" si="282"/>
        <v>-92.222046287671205</v>
      </c>
    </row>
    <row r="1301" spans="43:48" x14ac:dyDescent="0.2">
      <c r="AQ1301" s="4">
        <f t="shared" ca="1" si="283"/>
        <v>45649</v>
      </c>
      <c r="AR1301" s="3">
        <f t="shared" ca="1" si="280"/>
        <v>773817.16999999981</v>
      </c>
      <c r="AS1301" s="63">
        <f ca="1">IF($AQ1301&lt;&gt;"", INDEX(Inputs!$B$3:$B$101, MATCH($AQ1301,Inputs!$A$3:$A$101,1)), "")</f>
        <v>4.3499999999999997E-2</v>
      </c>
      <c r="AT1301" s="48">
        <f t="shared" ca="1" si="284"/>
        <v>92.222046287671205</v>
      </c>
      <c r="AU1301" s="3">
        <f t="shared" ca="1" si="281"/>
        <v>-92.222046287671205</v>
      </c>
      <c r="AV1301" s="3">
        <f t="shared" ca="1" si="282"/>
        <v>-92.222046287671205</v>
      </c>
    </row>
    <row r="1302" spans="43:48" x14ac:dyDescent="0.2">
      <c r="AQ1302" s="4">
        <f t="shared" ca="1" si="283"/>
        <v>45650</v>
      </c>
      <c r="AR1302" s="3">
        <f t="shared" ca="1" si="280"/>
        <v>773817.16999999981</v>
      </c>
      <c r="AS1302" s="63">
        <f ca="1">IF($AQ1302&lt;&gt;"", INDEX(Inputs!$B$3:$B$101, MATCH($AQ1302,Inputs!$A$3:$A$101,1)), "")</f>
        <v>4.3499999999999997E-2</v>
      </c>
      <c r="AT1302" s="48">
        <f t="shared" ca="1" si="284"/>
        <v>92.222046287671205</v>
      </c>
      <c r="AU1302" s="3">
        <f t="shared" ca="1" si="281"/>
        <v>-92.222046287671205</v>
      </c>
      <c r="AV1302" s="3">
        <f t="shared" ca="1" si="282"/>
        <v>-92.222046287671205</v>
      </c>
    </row>
    <row r="1303" spans="43:48" x14ac:dyDescent="0.2">
      <c r="AQ1303" s="4">
        <f t="shared" ca="1" si="283"/>
        <v>45651</v>
      </c>
      <c r="AR1303" s="3">
        <f t="shared" ca="1" si="280"/>
        <v>773817.16999999981</v>
      </c>
      <c r="AS1303" s="63">
        <f ca="1">IF($AQ1303&lt;&gt;"", INDEX(Inputs!$B$3:$B$101, MATCH($AQ1303,Inputs!$A$3:$A$101,1)), "")</f>
        <v>4.3499999999999997E-2</v>
      </c>
      <c r="AT1303" s="48">
        <f t="shared" ca="1" si="284"/>
        <v>92.222046287671205</v>
      </c>
      <c r="AU1303" s="3">
        <f t="shared" ca="1" si="281"/>
        <v>-92.222046287671205</v>
      </c>
      <c r="AV1303" s="3">
        <f t="shared" ca="1" si="282"/>
        <v>-92.222046287671205</v>
      </c>
    </row>
    <row r="1304" spans="43:48" x14ac:dyDescent="0.2">
      <c r="AQ1304" s="4">
        <f t="shared" ca="1" si="283"/>
        <v>45652</v>
      </c>
      <c r="AR1304" s="3">
        <f t="shared" ca="1" si="280"/>
        <v>773817.16999999981</v>
      </c>
      <c r="AS1304" s="63">
        <f ca="1">IF($AQ1304&lt;&gt;"", INDEX(Inputs!$B$3:$B$101, MATCH($AQ1304,Inputs!$A$3:$A$101,1)), "")</f>
        <v>4.3499999999999997E-2</v>
      </c>
      <c r="AT1304" s="48">
        <f t="shared" ca="1" si="284"/>
        <v>92.222046287671205</v>
      </c>
      <c r="AU1304" s="3">
        <f t="shared" ca="1" si="281"/>
        <v>-92.222046287671205</v>
      </c>
      <c r="AV1304" s="3">
        <f t="shared" ca="1" si="282"/>
        <v>-92.222046287671205</v>
      </c>
    </row>
    <row r="1305" spans="43:48" x14ac:dyDescent="0.2">
      <c r="AQ1305" s="4">
        <f t="shared" ca="1" si="283"/>
        <v>45653</v>
      </c>
      <c r="AR1305" s="3">
        <f t="shared" ref="AR1305:AR1368" ca="1" si="285">IF($AQ1305&lt;&gt;"", INDEX($AC$3:$AC$1055, MATCH($AQ1305,$A$3:$A$1055,1)), "")</f>
        <v>773817.16999999981</v>
      </c>
      <c r="AS1305" s="63">
        <f ca="1">IF($AQ1305&lt;&gt;"", INDEX(Inputs!$B$3:$B$101, MATCH($AQ1305,Inputs!$A$3:$A$101,1)), "")</f>
        <v>4.3499999999999997E-2</v>
      </c>
      <c r="AT1305" s="48">
        <f t="shared" ca="1" si="284"/>
        <v>92.222046287671205</v>
      </c>
      <c r="AU1305" s="3">
        <f t="shared" ref="AU1305:AU1368" ca="1" si="286">IF($AQ1305&lt;&gt;"", SUMIFS($AL$3:$AL$1054, $A$3:$A$1054,$AQ1305) + SUMIFS($M$3:$M$1054, $A$3:$A$1054,$AQ1305)*IFERROR(AVERAGEIFS($L$3:$L$1054, $A$3:$A$1054,$AQ1305, $M$3:$M$1054,"&gt;0"),0) - AT1305, "")</f>
        <v>-92.222046287671205</v>
      </c>
      <c r="AV1305" s="3">
        <f t="shared" ca="1" si="282"/>
        <v>-92.222046287671205</v>
      </c>
    </row>
    <row r="1306" spans="43:48" x14ac:dyDescent="0.2">
      <c r="AQ1306" s="4">
        <f t="shared" ca="1" si="283"/>
        <v>45654</v>
      </c>
      <c r="AR1306" s="3">
        <f t="shared" ca="1" si="285"/>
        <v>773817.16999999981</v>
      </c>
      <c r="AS1306" s="63">
        <f ca="1">IF($AQ1306&lt;&gt;"", INDEX(Inputs!$B$3:$B$101, MATCH($AQ1306,Inputs!$A$3:$A$101,1)), "")</f>
        <v>4.3499999999999997E-2</v>
      </c>
      <c r="AT1306" s="48">
        <f t="shared" ca="1" si="284"/>
        <v>92.222046287671205</v>
      </c>
      <c r="AU1306" s="3">
        <f t="shared" ca="1" si="286"/>
        <v>-92.222046287671205</v>
      </c>
      <c r="AV1306" s="3">
        <f t="shared" ca="1" si="282"/>
        <v>-92.222046287671205</v>
      </c>
    </row>
    <row r="1307" spans="43:48" x14ac:dyDescent="0.2">
      <c r="AQ1307" s="4">
        <f t="shared" ca="1" si="283"/>
        <v>45655</v>
      </c>
      <c r="AR1307" s="3">
        <f t="shared" ca="1" si="285"/>
        <v>773817.16999999981</v>
      </c>
      <c r="AS1307" s="63">
        <f ca="1">IF($AQ1307&lt;&gt;"", INDEX(Inputs!$B$3:$B$101, MATCH($AQ1307,Inputs!$A$3:$A$101,1)), "")</f>
        <v>4.3499999999999997E-2</v>
      </c>
      <c r="AT1307" s="48">
        <f t="shared" ca="1" si="284"/>
        <v>92.222046287671205</v>
      </c>
      <c r="AU1307" s="3">
        <f t="shared" ca="1" si="286"/>
        <v>-92.222046287671205</v>
      </c>
      <c r="AV1307" s="3">
        <f t="shared" ca="1" si="282"/>
        <v>-92.222046287671205</v>
      </c>
    </row>
    <row r="1308" spans="43:48" x14ac:dyDescent="0.2">
      <c r="AQ1308" s="4">
        <f t="shared" ca="1" si="283"/>
        <v>45656</v>
      </c>
      <c r="AR1308" s="3">
        <f t="shared" ca="1" si="285"/>
        <v>773817.16999999981</v>
      </c>
      <c r="AS1308" s="63">
        <f ca="1">IF($AQ1308&lt;&gt;"", INDEX(Inputs!$B$3:$B$101, MATCH($AQ1308,Inputs!$A$3:$A$101,1)), "")</f>
        <v>4.3499999999999997E-2</v>
      </c>
      <c r="AT1308" s="48">
        <f t="shared" ca="1" si="284"/>
        <v>92.222046287671205</v>
      </c>
      <c r="AU1308" s="3">
        <f t="shared" ca="1" si="286"/>
        <v>-92.222046287671205</v>
      </c>
      <c r="AV1308" s="3">
        <f t="shared" ca="1" si="282"/>
        <v>-92.222046287671205</v>
      </c>
    </row>
    <row r="1309" spans="43:48" x14ac:dyDescent="0.2">
      <c r="AQ1309" s="4">
        <f t="shared" ca="1" si="283"/>
        <v>45657</v>
      </c>
      <c r="AR1309" s="3">
        <f t="shared" ca="1" si="285"/>
        <v>773817.16999999981</v>
      </c>
      <c r="AS1309" s="63">
        <f ca="1">IF($AQ1309&lt;&gt;"", INDEX(Inputs!$B$3:$B$101, MATCH($AQ1309,Inputs!$A$3:$A$101,1)), "")</f>
        <v>4.3499999999999997E-2</v>
      </c>
      <c r="AT1309" s="48">
        <f t="shared" ca="1" si="284"/>
        <v>92.222046287671205</v>
      </c>
      <c r="AU1309" s="3">
        <f t="shared" ca="1" si="286"/>
        <v>-92.222046287671205</v>
      </c>
      <c r="AV1309" s="3">
        <f t="shared" ca="1" si="282"/>
        <v>-92.222046287671205</v>
      </c>
    </row>
    <row r="1310" spans="43:48" x14ac:dyDescent="0.2">
      <c r="AQ1310" s="4">
        <f t="shared" ca="1" si="283"/>
        <v>45658</v>
      </c>
      <c r="AR1310" s="3">
        <f t="shared" ca="1" si="285"/>
        <v>773817.16999999981</v>
      </c>
      <c r="AS1310" s="63">
        <f ca="1">IF($AQ1310&lt;&gt;"", INDEX(Inputs!$B$3:$B$101, MATCH($AQ1310,Inputs!$A$3:$A$101,1)), "")</f>
        <v>4.3499999999999997E-2</v>
      </c>
      <c r="AT1310" s="48">
        <f t="shared" ca="1" si="284"/>
        <v>92.222046287671205</v>
      </c>
      <c r="AU1310" s="3">
        <f t="shared" ca="1" si="286"/>
        <v>-92.222046287671205</v>
      </c>
      <c r="AV1310" s="3">
        <f t="shared" ca="1" si="282"/>
        <v>-92.222046287671205</v>
      </c>
    </row>
    <row r="1311" spans="43:48" x14ac:dyDescent="0.2">
      <c r="AQ1311" s="4">
        <f t="shared" ca="1" si="283"/>
        <v>45659</v>
      </c>
      <c r="AR1311" s="3">
        <f t="shared" ca="1" si="285"/>
        <v>773817.16999999981</v>
      </c>
      <c r="AS1311" s="63">
        <f ca="1">IF($AQ1311&lt;&gt;"", INDEX(Inputs!$B$3:$B$101, MATCH($AQ1311,Inputs!$A$3:$A$101,1)), "")</f>
        <v>4.3499999999999997E-2</v>
      </c>
      <c r="AT1311" s="48">
        <f t="shared" ca="1" si="284"/>
        <v>92.222046287671205</v>
      </c>
      <c r="AU1311" s="3">
        <f t="shared" ca="1" si="286"/>
        <v>10068.20795371233</v>
      </c>
      <c r="AV1311" s="3">
        <f t="shared" ca="1" si="282"/>
        <v>10068.20795371233</v>
      </c>
    </row>
    <row r="1312" spans="43:48" x14ac:dyDescent="0.2">
      <c r="AQ1312" s="4">
        <f t="shared" ca="1" si="283"/>
        <v>45660</v>
      </c>
      <c r="AR1312" s="3">
        <f t="shared" ca="1" si="285"/>
        <v>780129.62999999966</v>
      </c>
      <c r="AS1312" s="63">
        <f ca="1">IF($AQ1312&lt;&gt;"", INDEX(Inputs!$B$3:$B$101, MATCH($AQ1312,Inputs!$A$3:$A$101,1)), "")</f>
        <v>4.3499999999999997E-2</v>
      </c>
      <c r="AT1312" s="48">
        <f t="shared" ca="1" si="284"/>
        <v>92.974353164383515</v>
      </c>
      <c r="AU1312" s="3">
        <f t="shared" ca="1" si="286"/>
        <v>-18504.504353164382</v>
      </c>
      <c r="AV1312" s="3">
        <f t="shared" ref="AV1312:AV1375" ca="1" si="287">IF(AQ1312&lt;&gt;"", AU1312*(1+$X$9/CompoundingRate)^-((AQ1312-AQ$3)/(365/CompoundingRate)), "")</f>
        <v>-18504.504353164382</v>
      </c>
    </row>
    <row r="1313" spans="43:48" x14ac:dyDescent="0.2">
      <c r="AQ1313" s="4">
        <f t="shared" ca="1" si="283"/>
        <v>45661</v>
      </c>
      <c r="AR1313" s="3">
        <f t="shared" ca="1" si="285"/>
        <v>780129.62999999966</v>
      </c>
      <c r="AS1313" s="63">
        <f ca="1">IF($AQ1313&lt;&gt;"", INDEX(Inputs!$B$3:$B$101, MATCH($AQ1313,Inputs!$A$3:$A$101,1)), "")</f>
        <v>4.3499999999999997E-2</v>
      </c>
      <c r="AT1313" s="48">
        <f t="shared" ca="1" si="284"/>
        <v>92.974353164383515</v>
      </c>
      <c r="AU1313" s="3">
        <f t="shared" ca="1" si="286"/>
        <v>-92.974353164383515</v>
      </c>
      <c r="AV1313" s="3">
        <f t="shared" ca="1" si="287"/>
        <v>-92.974353164383515</v>
      </c>
    </row>
    <row r="1314" spans="43:48" x14ac:dyDescent="0.2">
      <c r="AQ1314" s="4">
        <f t="shared" ca="1" si="283"/>
        <v>45662</v>
      </c>
      <c r="AR1314" s="3">
        <f t="shared" ca="1" si="285"/>
        <v>780129.62999999966</v>
      </c>
      <c r="AS1314" s="63">
        <f ca="1">IF($AQ1314&lt;&gt;"", INDEX(Inputs!$B$3:$B$101, MATCH($AQ1314,Inputs!$A$3:$A$101,1)), "")</f>
        <v>4.3499999999999997E-2</v>
      </c>
      <c r="AT1314" s="48">
        <f t="shared" ca="1" si="284"/>
        <v>92.974353164383515</v>
      </c>
      <c r="AU1314" s="3">
        <f t="shared" ca="1" si="286"/>
        <v>-92.974353164383515</v>
      </c>
      <c r="AV1314" s="3">
        <f t="shared" ca="1" si="287"/>
        <v>-92.974353164383515</v>
      </c>
    </row>
    <row r="1315" spans="43:48" x14ac:dyDescent="0.2">
      <c r="AQ1315" s="4">
        <f t="shared" ca="1" si="283"/>
        <v>45663</v>
      </c>
      <c r="AR1315" s="3">
        <f t="shared" ca="1" si="285"/>
        <v>780129.62999999966</v>
      </c>
      <c r="AS1315" s="63">
        <f ca="1">IF($AQ1315&lt;&gt;"", INDEX(Inputs!$B$3:$B$101, MATCH($AQ1315,Inputs!$A$3:$A$101,1)), "")</f>
        <v>4.3499999999999997E-2</v>
      </c>
      <c r="AT1315" s="48">
        <f t="shared" ca="1" si="284"/>
        <v>92.974353164383515</v>
      </c>
      <c r="AU1315" s="3">
        <f t="shared" ca="1" si="286"/>
        <v>-92.974353164383515</v>
      </c>
      <c r="AV1315" s="3">
        <f t="shared" ca="1" si="287"/>
        <v>-92.974353164383515</v>
      </c>
    </row>
    <row r="1316" spans="43:48" x14ac:dyDescent="0.2">
      <c r="AQ1316" s="4">
        <f t="shared" ca="1" si="283"/>
        <v>45664</v>
      </c>
      <c r="AR1316" s="3">
        <f t="shared" ca="1" si="285"/>
        <v>780129.62999999966</v>
      </c>
      <c r="AS1316" s="63">
        <f ca="1">IF($AQ1316&lt;&gt;"", INDEX(Inputs!$B$3:$B$101, MATCH($AQ1316,Inputs!$A$3:$A$101,1)), "")</f>
        <v>4.3499999999999997E-2</v>
      </c>
      <c r="AT1316" s="48">
        <f t="shared" ca="1" si="284"/>
        <v>92.974353164383515</v>
      </c>
      <c r="AU1316" s="3">
        <f t="shared" ca="1" si="286"/>
        <v>-92.974353164383515</v>
      </c>
      <c r="AV1316" s="3">
        <f t="shared" ca="1" si="287"/>
        <v>-92.974353164383515</v>
      </c>
    </row>
    <row r="1317" spans="43:48" x14ac:dyDescent="0.2">
      <c r="AQ1317" s="4">
        <f t="shared" ca="1" si="283"/>
        <v>45665</v>
      </c>
      <c r="AR1317" s="3">
        <f t="shared" ca="1" si="285"/>
        <v>780129.62999999966</v>
      </c>
      <c r="AS1317" s="63">
        <f ca="1">IF($AQ1317&lt;&gt;"", INDEX(Inputs!$B$3:$B$101, MATCH($AQ1317,Inputs!$A$3:$A$101,1)), "")</f>
        <v>4.3499999999999997E-2</v>
      </c>
      <c r="AT1317" s="48">
        <f t="shared" ca="1" si="284"/>
        <v>92.974353164383515</v>
      </c>
      <c r="AU1317" s="3">
        <f t="shared" ca="1" si="286"/>
        <v>-92.974353164383515</v>
      </c>
      <c r="AV1317" s="3">
        <f t="shared" ca="1" si="287"/>
        <v>-92.974353164383515</v>
      </c>
    </row>
    <row r="1318" spans="43:48" x14ac:dyDescent="0.2">
      <c r="AQ1318" s="4">
        <f t="shared" ca="1" si="283"/>
        <v>45666</v>
      </c>
      <c r="AR1318" s="3">
        <f t="shared" ca="1" si="285"/>
        <v>780129.62999999966</v>
      </c>
      <c r="AS1318" s="63">
        <f ca="1">IF($AQ1318&lt;&gt;"", INDEX(Inputs!$B$3:$B$101, MATCH($AQ1318,Inputs!$A$3:$A$101,1)), "")</f>
        <v>4.3499999999999997E-2</v>
      </c>
      <c r="AT1318" s="48">
        <f t="shared" ca="1" si="284"/>
        <v>92.974353164383515</v>
      </c>
      <c r="AU1318" s="3">
        <f t="shared" ca="1" si="286"/>
        <v>-92.974353164383515</v>
      </c>
      <c r="AV1318" s="3">
        <f t="shared" ca="1" si="287"/>
        <v>-92.974353164383515</v>
      </c>
    </row>
    <row r="1319" spans="43:48" x14ac:dyDescent="0.2">
      <c r="AQ1319" s="4">
        <f t="shared" ca="1" si="283"/>
        <v>45667</v>
      </c>
      <c r="AR1319" s="3">
        <f t="shared" ca="1" si="285"/>
        <v>780129.62999999966</v>
      </c>
      <c r="AS1319" s="63">
        <f ca="1">IF($AQ1319&lt;&gt;"", INDEX(Inputs!$B$3:$B$101, MATCH($AQ1319,Inputs!$A$3:$A$101,1)), "")</f>
        <v>4.3499999999999997E-2</v>
      </c>
      <c r="AT1319" s="48">
        <f t="shared" ca="1" si="284"/>
        <v>92.974353164383515</v>
      </c>
      <c r="AU1319" s="3">
        <f t="shared" ca="1" si="286"/>
        <v>-92.974353164383515</v>
      </c>
      <c r="AV1319" s="3">
        <f t="shared" ca="1" si="287"/>
        <v>-92.974353164383515</v>
      </c>
    </row>
    <row r="1320" spans="43:48" x14ac:dyDescent="0.2">
      <c r="AQ1320" s="4">
        <f t="shared" ca="1" si="283"/>
        <v>45668</v>
      </c>
      <c r="AR1320" s="3">
        <f t="shared" ca="1" si="285"/>
        <v>780129.62999999966</v>
      </c>
      <c r="AS1320" s="63">
        <f ca="1">IF($AQ1320&lt;&gt;"", INDEX(Inputs!$B$3:$B$101, MATCH($AQ1320,Inputs!$A$3:$A$101,1)), "")</f>
        <v>4.3499999999999997E-2</v>
      </c>
      <c r="AT1320" s="48">
        <f t="shared" ca="1" si="284"/>
        <v>92.974353164383515</v>
      </c>
      <c r="AU1320" s="3">
        <f t="shared" ca="1" si="286"/>
        <v>-92.974353164383515</v>
      </c>
      <c r="AV1320" s="3">
        <f t="shared" ca="1" si="287"/>
        <v>-92.974353164383515</v>
      </c>
    </row>
    <row r="1321" spans="43:48" x14ac:dyDescent="0.2">
      <c r="AQ1321" s="4">
        <f t="shared" ca="1" si="283"/>
        <v>45669</v>
      </c>
      <c r="AR1321" s="3">
        <f t="shared" ca="1" si="285"/>
        <v>780129.62999999966</v>
      </c>
      <c r="AS1321" s="63">
        <f ca="1">IF($AQ1321&lt;&gt;"", INDEX(Inputs!$B$3:$B$101, MATCH($AQ1321,Inputs!$A$3:$A$101,1)), "")</f>
        <v>4.3499999999999997E-2</v>
      </c>
      <c r="AT1321" s="48">
        <f t="shared" ca="1" si="284"/>
        <v>92.974353164383515</v>
      </c>
      <c r="AU1321" s="3">
        <f t="shared" ca="1" si="286"/>
        <v>-92.974353164383515</v>
      </c>
      <c r="AV1321" s="3">
        <f t="shared" ca="1" si="287"/>
        <v>-92.974353164383515</v>
      </c>
    </row>
    <row r="1322" spans="43:48" x14ac:dyDescent="0.2">
      <c r="AQ1322" s="4">
        <f t="shared" ca="1" si="283"/>
        <v>45670</v>
      </c>
      <c r="AR1322" s="3">
        <f t="shared" ca="1" si="285"/>
        <v>780129.62999999966</v>
      </c>
      <c r="AS1322" s="63">
        <f ca="1">IF($AQ1322&lt;&gt;"", INDEX(Inputs!$B$3:$B$101, MATCH($AQ1322,Inputs!$A$3:$A$101,1)), "")</f>
        <v>4.3499999999999997E-2</v>
      </c>
      <c r="AT1322" s="48">
        <f t="shared" ca="1" si="284"/>
        <v>92.974353164383515</v>
      </c>
      <c r="AU1322" s="3">
        <f t="shared" ca="1" si="286"/>
        <v>-92.974353164383515</v>
      </c>
      <c r="AV1322" s="3">
        <f t="shared" ca="1" si="287"/>
        <v>-92.974353164383515</v>
      </c>
    </row>
    <row r="1323" spans="43:48" x14ac:dyDescent="0.2">
      <c r="AQ1323" s="4">
        <f t="shared" ca="1" si="283"/>
        <v>45671</v>
      </c>
      <c r="AR1323" s="3">
        <f t="shared" ca="1" si="285"/>
        <v>780129.62999999966</v>
      </c>
      <c r="AS1323" s="63">
        <f ca="1">IF($AQ1323&lt;&gt;"", INDEX(Inputs!$B$3:$B$101, MATCH($AQ1323,Inputs!$A$3:$A$101,1)), "")</f>
        <v>4.3499999999999997E-2</v>
      </c>
      <c r="AT1323" s="48">
        <f t="shared" ca="1" si="284"/>
        <v>92.974353164383515</v>
      </c>
      <c r="AU1323" s="3">
        <f t="shared" ca="1" si="286"/>
        <v>-92.974353164383515</v>
      </c>
      <c r="AV1323" s="3">
        <f t="shared" ca="1" si="287"/>
        <v>-92.974353164383515</v>
      </c>
    </row>
    <row r="1324" spans="43:48" x14ac:dyDescent="0.2">
      <c r="AQ1324" s="4">
        <f t="shared" ca="1" si="283"/>
        <v>45672</v>
      </c>
      <c r="AR1324" s="3">
        <f t="shared" ca="1" si="285"/>
        <v>780129.62999999966</v>
      </c>
      <c r="AS1324" s="63">
        <f ca="1">IF($AQ1324&lt;&gt;"", INDEX(Inputs!$B$3:$B$101, MATCH($AQ1324,Inputs!$A$3:$A$101,1)), "")</f>
        <v>4.3499999999999997E-2</v>
      </c>
      <c r="AT1324" s="48">
        <f t="shared" ca="1" si="284"/>
        <v>92.974353164383515</v>
      </c>
      <c r="AU1324" s="3">
        <f t="shared" ca="1" si="286"/>
        <v>-92.974353164383515</v>
      </c>
      <c r="AV1324" s="3">
        <f t="shared" ca="1" si="287"/>
        <v>-92.974353164383515</v>
      </c>
    </row>
    <row r="1325" spans="43:48" x14ac:dyDescent="0.2">
      <c r="AQ1325" s="4">
        <f t="shared" ca="1" si="283"/>
        <v>45673</v>
      </c>
      <c r="AR1325" s="3">
        <f t="shared" ca="1" si="285"/>
        <v>780129.62999999966</v>
      </c>
      <c r="AS1325" s="63">
        <f ca="1">IF($AQ1325&lt;&gt;"", INDEX(Inputs!$B$3:$B$101, MATCH($AQ1325,Inputs!$A$3:$A$101,1)), "")</f>
        <v>4.3499999999999997E-2</v>
      </c>
      <c r="AT1325" s="48">
        <f t="shared" ca="1" si="284"/>
        <v>92.974353164383515</v>
      </c>
      <c r="AU1325" s="3">
        <f t="shared" ca="1" si="286"/>
        <v>-554.9743531643835</v>
      </c>
      <c r="AV1325" s="3">
        <f t="shared" ca="1" si="287"/>
        <v>-554.9743531643835</v>
      </c>
    </row>
    <row r="1326" spans="43:48" x14ac:dyDescent="0.2">
      <c r="AQ1326" s="4">
        <f t="shared" ca="1" si="283"/>
        <v>45674</v>
      </c>
      <c r="AR1326" s="3">
        <f t="shared" ca="1" si="285"/>
        <v>780129.62999999966</v>
      </c>
      <c r="AS1326" s="63">
        <f ca="1">IF($AQ1326&lt;&gt;"", INDEX(Inputs!$B$3:$B$101, MATCH($AQ1326,Inputs!$A$3:$A$101,1)), "")</f>
        <v>4.3499999999999997E-2</v>
      </c>
      <c r="AT1326" s="48">
        <f t="shared" ca="1" si="284"/>
        <v>92.974353164383515</v>
      </c>
      <c r="AU1326" s="3">
        <f t="shared" ca="1" si="286"/>
        <v>-92.974353164383515</v>
      </c>
      <c r="AV1326" s="3">
        <f t="shared" ca="1" si="287"/>
        <v>-92.974353164383515</v>
      </c>
    </row>
    <row r="1327" spans="43:48" x14ac:dyDescent="0.2">
      <c r="AQ1327" s="4">
        <f t="shared" ca="1" si="283"/>
        <v>45675</v>
      </c>
      <c r="AR1327" s="3">
        <f t="shared" ca="1" si="285"/>
        <v>780129.62999999966</v>
      </c>
      <c r="AS1327" s="63">
        <f ca="1">IF($AQ1327&lt;&gt;"", INDEX(Inputs!$B$3:$B$101, MATCH($AQ1327,Inputs!$A$3:$A$101,1)), "")</f>
        <v>4.3499999999999997E-2</v>
      </c>
      <c r="AT1327" s="48">
        <f t="shared" ca="1" si="284"/>
        <v>92.974353164383515</v>
      </c>
      <c r="AU1327" s="3">
        <f t="shared" ca="1" si="286"/>
        <v>-92.974353164383515</v>
      </c>
      <c r="AV1327" s="3">
        <f t="shared" ca="1" si="287"/>
        <v>-92.974353164383515</v>
      </c>
    </row>
    <row r="1328" spans="43:48" x14ac:dyDescent="0.2">
      <c r="AQ1328" s="4">
        <f t="shared" ca="1" si="283"/>
        <v>45676</v>
      </c>
      <c r="AR1328" s="3">
        <f t="shared" ca="1" si="285"/>
        <v>780129.62999999966</v>
      </c>
      <c r="AS1328" s="63">
        <f ca="1">IF($AQ1328&lt;&gt;"", INDEX(Inputs!$B$3:$B$101, MATCH($AQ1328,Inputs!$A$3:$A$101,1)), "")</f>
        <v>4.3499999999999997E-2</v>
      </c>
      <c r="AT1328" s="48">
        <f t="shared" ca="1" si="284"/>
        <v>92.974353164383515</v>
      </c>
      <c r="AU1328" s="3">
        <f t="shared" ca="1" si="286"/>
        <v>-92.974353164383515</v>
      </c>
      <c r="AV1328" s="3">
        <f t="shared" ca="1" si="287"/>
        <v>-92.974353164383515</v>
      </c>
    </row>
    <row r="1329" spans="43:48" x14ac:dyDescent="0.2">
      <c r="AQ1329" s="4">
        <f t="shared" ca="1" si="283"/>
        <v>45677</v>
      </c>
      <c r="AR1329" s="3">
        <f t="shared" ca="1" si="285"/>
        <v>780129.62999999966</v>
      </c>
      <c r="AS1329" s="63">
        <f ca="1">IF($AQ1329&lt;&gt;"", INDEX(Inputs!$B$3:$B$101, MATCH($AQ1329,Inputs!$A$3:$A$101,1)), "")</f>
        <v>4.3499999999999997E-2</v>
      </c>
      <c r="AT1329" s="48">
        <f t="shared" ca="1" si="284"/>
        <v>92.974353164383515</v>
      </c>
      <c r="AU1329" s="3">
        <f t="shared" ca="1" si="286"/>
        <v>-92.974353164383515</v>
      </c>
      <c r="AV1329" s="3">
        <f t="shared" ca="1" si="287"/>
        <v>-92.974353164383515</v>
      </c>
    </row>
    <row r="1330" spans="43:48" x14ac:dyDescent="0.2">
      <c r="AQ1330" s="4">
        <f t="shared" ca="1" si="283"/>
        <v>45678</v>
      </c>
      <c r="AR1330" s="3">
        <f t="shared" ca="1" si="285"/>
        <v>780129.62999999966</v>
      </c>
      <c r="AS1330" s="63">
        <f ca="1">IF($AQ1330&lt;&gt;"", INDEX(Inputs!$B$3:$B$101, MATCH($AQ1330,Inputs!$A$3:$A$101,1)), "")</f>
        <v>4.3499999999999997E-2</v>
      </c>
      <c r="AT1330" s="48">
        <f t="shared" ca="1" si="284"/>
        <v>92.974353164383515</v>
      </c>
      <c r="AU1330" s="3">
        <f t="shared" ca="1" si="286"/>
        <v>-92.974353164383515</v>
      </c>
      <c r="AV1330" s="3">
        <f t="shared" ca="1" si="287"/>
        <v>-92.974353164383515</v>
      </c>
    </row>
    <row r="1331" spans="43:48" x14ac:dyDescent="0.2">
      <c r="AQ1331" s="4">
        <f t="shared" ca="1" si="283"/>
        <v>45679</v>
      </c>
      <c r="AR1331" s="3">
        <f t="shared" ca="1" si="285"/>
        <v>780129.62999999966</v>
      </c>
      <c r="AS1331" s="63">
        <f ca="1">IF($AQ1331&lt;&gt;"", INDEX(Inputs!$B$3:$B$101, MATCH($AQ1331,Inputs!$A$3:$A$101,1)), "")</f>
        <v>4.3499999999999997E-2</v>
      </c>
      <c r="AT1331" s="48">
        <f t="shared" ca="1" si="284"/>
        <v>92.974353164383515</v>
      </c>
      <c r="AU1331" s="3">
        <f t="shared" ca="1" si="286"/>
        <v>-92.974353164383515</v>
      </c>
      <c r="AV1331" s="3">
        <f t="shared" ca="1" si="287"/>
        <v>-92.974353164383515</v>
      </c>
    </row>
    <row r="1332" spans="43:48" x14ac:dyDescent="0.2">
      <c r="AQ1332" s="4">
        <f t="shared" ca="1" si="283"/>
        <v>45680</v>
      </c>
      <c r="AR1332" s="3">
        <f t="shared" ca="1" si="285"/>
        <v>780129.62999999966</v>
      </c>
      <c r="AS1332" s="63">
        <f ca="1">IF($AQ1332&lt;&gt;"", INDEX(Inputs!$B$3:$B$101, MATCH($AQ1332,Inputs!$A$3:$A$101,1)), "")</f>
        <v>4.3499999999999997E-2</v>
      </c>
      <c r="AT1332" s="48">
        <f t="shared" ca="1" si="284"/>
        <v>92.974353164383515</v>
      </c>
      <c r="AU1332" s="3">
        <f t="shared" ca="1" si="286"/>
        <v>-92.974353164383515</v>
      </c>
      <c r="AV1332" s="3">
        <f t="shared" ca="1" si="287"/>
        <v>-92.974353164383515</v>
      </c>
    </row>
    <row r="1333" spans="43:48" x14ac:dyDescent="0.2">
      <c r="AQ1333" s="4">
        <f t="shared" ca="1" si="283"/>
        <v>45681</v>
      </c>
      <c r="AR1333" s="3">
        <f t="shared" ca="1" si="285"/>
        <v>780129.62999999966</v>
      </c>
      <c r="AS1333" s="63">
        <f ca="1">IF($AQ1333&lt;&gt;"", INDEX(Inputs!$B$3:$B$101, MATCH($AQ1333,Inputs!$A$3:$A$101,1)), "")</f>
        <v>4.3499999999999997E-2</v>
      </c>
      <c r="AT1333" s="48">
        <f t="shared" ca="1" si="284"/>
        <v>92.974353164383515</v>
      </c>
      <c r="AU1333" s="3">
        <f t="shared" ca="1" si="286"/>
        <v>-92.974353164383515</v>
      </c>
      <c r="AV1333" s="3">
        <f t="shared" ca="1" si="287"/>
        <v>-92.974353164383515</v>
      </c>
    </row>
    <row r="1334" spans="43:48" x14ac:dyDescent="0.2">
      <c r="AQ1334" s="4">
        <f t="shared" ca="1" si="283"/>
        <v>45682</v>
      </c>
      <c r="AR1334" s="3">
        <f t="shared" ca="1" si="285"/>
        <v>780129.62999999966</v>
      </c>
      <c r="AS1334" s="63">
        <f ca="1">IF($AQ1334&lt;&gt;"", INDEX(Inputs!$B$3:$B$101, MATCH($AQ1334,Inputs!$A$3:$A$101,1)), "")</f>
        <v>4.3499999999999997E-2</v>
      </c>
      <c r="AT1334" s="48">
        <f t="shared" ca="1" si="284"/>
        <v>92.974353164383515</v>
      </c>
      <c r="AU1334" s="3">
        <f t="shared" ca="1" si="286"/>
        <v>-92.974353164383515</v>
      </c>
      <c r="AV1334" s="3">
        <f t="shared" ca="1" si="287"/>
        <v>-92.974353164383515</v>
      </c>
    </row>
    <row r="1335" spans="43:48" x14ac:dyDescent="0.2">
      <c r="AQ1335" s="4">
        <f t="shared" ca="1" si="283"/>
        <v>45683</v>
      </c>
      <c r="AR1335" s="3">
        <f t="shared" ca="1" si="285"/>
        <v>780129.62999999966</v>
      </c>
      <c r="AS1335" s="63">
        <f ca="1">IF($AQ1335&lt;&gt;"", INDEX(Inputs!$B$3:$B$101, MATCH($AQ1335,Inputs!$A$3:$A$101,1)), "")</f>
        <v>4.3499999999999997E-2</v>
      </c>
      <c r="AT1335" s="48">
        <f t="shared" ca="1" si="284"/>
        <v>92.974353164383515</v>
      </c>
      <c r="AU1335" s="3">
        <f t="shared" ca="1" si="286"/>
        <v>-92.974353164383515</v>
      </c>
      <c r="AV1335" s="3">
        <f t="shared" ca="1" si="287"/>
        <v>-92.974353164383515</v>
      </c>
    </row>
    <row r="1336" spans="43:48" x14ac:dyDescent="0.2">
      <c r="AQ1336" s="4">
        <f t="shared" ca="1" si="283"/>
        <v>45684</v>
      </c>
      <c r="AR1336" s="3">
        <f t="shared" ca="1" si="285"/>
        <v>780129.62999999966</v>
      </c>
      <c r="AS1336" s="63">
        <f ca="1">IF($AQ1336&lt;&gt;"", INDEX(Inputs!$B$3:$B$101, MATCH($AQ1336,Inputs!$A$3:$A$101,1)), "")</f>
        <v>4.3499999999999997E-2</v>
      </c>
      <c r="AT1336" s="48">
        <f t="shared" ca="1" si="284"/>
        <v>92.974353164383515</v>
      </c>
      <c r="AU1336" s="3">
        <f t="shared" ca="1" si="286"/>
        <v>-92.974353164383515</v>
      </c>
      <c r="AV1336" s="3">
        <f t="shared" ca="1" si="287"/>
        <v>-92.974353164383515</v>
      </c>
    </row>
    <row r="1337" spans="43:48" x14ac:dyDescent="0.2">
      <c r="AQ1337" s="4">
        <f t="shared" ref="AQ1337:AQ1400" ca="1" si="288">IF(AQ1336&lt;$AP$3,AQ1336+1,"")</f>
        <v>45685</v>
      </c>
      <c r="AR1337" s="3">
        <f t="shared" ca="1" si="285"/>
        <v>780129.62999999966</v>
      </c>
      <c r="AS1337" s="63">
        <f ca="1">IF($AQ1337&lt;&gt;"", INDEX(Inputs!$B$3:$B$101, MATCH($AQ1337,Inputs!$A$3:$A$101,1)), "")</f>
        <v>4.3499999999999997E-2</v>
      </c>
      <c r="AT1337" s="48">
        <f t="shared" ref="AT1337:AT1400" ca="1" si="289">IF($AQ1337&lt;&gt;"", AR1337*AS1337/365, "")</f>
        <v>92.974353164383515</v>
      </c>
      <c r="AU1337" s="3">
        <f t="shared" ca="1" si="286"/>
        <v>-92.974353164383515</v>
      </c>
      <c r="AV1337" s="3">
        <f t="shared" ca="1" si="287"/>
        <v>-92.974353164383515</v>
      </c>
    </row>
    <row r="1338" spans="43:48" x14ac:dyDescent="0.2">
      <c r="AQ1338" s="4">
        <f t="shared" ca="1" si="288"/>
        <v>45686</v>
      </c>
      <c r="AR1338" s="3">
        <f t="shared" ca="1" si="285"/>
        <v>780129.62999999966</v>
      </c>
      <c r="AS1338" s="63">
        <f ca="1">IF($AQ1338&lt;&gt;"", INDEX(Inputs!$B$3:$B$101, MATCH($AQ1338,Inputs!$A$3:$A$101,1)), "")</f>
        <v>4.3499999999999997E-2</v>
      </c>
      <c r="AT1338" s="48">
        <f t="shared" ca="1" si="289"/>
        <v>92.974353164383515</v>
      </c>
      <c r="AU1338" s="3">
        <f t="shared" ca="1" si="286"/>
        <v>-92.974353164383515</v>
      </c>
      <c r="AV1338" s="3">
        <f t="shared" ca="1" si="287"/>
        <v>-92.974353164383515</v>
      </c>
    </row>
    <row r="1339" spans="43:48" x14ac:dyDescent="0.2">
      <c r="AQ1339" s="4">
        <f t="shared" ca="1" si="288"/>
        <v>45687</v>
      </c>
      <c r="AR1339" s="3">
        <f t="shared" ca="1" si="285"/>
        <v>780129.62999999966</v>
      </c>
      <c r="AS1339" s="63">
        <f ca="1">IF($AQ1339&lt;&gt;"", INDEX(Inputs!$B$3:$B$101, MATCH($AQ1339,Inputs!$A$3:$A$101,1)), "")</f>
        <v>4.3499999999999997E-2</v>
      </c>
      <c r="AT1339" s="48">
        <f t="shared" ca="1" si="289"/>
        <v>92.974353164383515</v>
      </c>
      <c r="AU1339" s="3">
        <f t="shared" ca="1" si="286"/>
        <v>-92.974353164383515</v>
      </c>
      <c r="AV1339" s="3">
        <f t="shared" ca="1" si="287"/>
        <v>-92.974353164383515</v>
      </c>
    </row>
    <row r="1340" spans="43:48" x14ac:dyDescent="0.2">
      <c r="AQ1340" s="4">
        <f t="shared" ca="1" si="288"/>
        <v>45688</v>
      </c>
      <c r="AR1340" s="3">
        <f t="shared" ca="1" si="285"/>
        <v>780129.62999999966</v>
      </c>
      <c r="AS1340" s="63">
        <f ca="1">IF($AQ1340&lt;&gt;"", INDEX(Inputs!$B$3:$B$101, MATCH($AQ1340,Inputs!$A$3:$A$101,1)), "")</f>
        <v>4.3499999999999997E-2</v>
      </c>
      <c r="AT1340" s="48">
        <f t="shared" ca="1" si="289"/>
        <v>92.974353164383515</v>
      </c>
      <c r="AU1340" s="3">
        <f t="shared" ca="1" si="286"/>
        <v>-92.974353164383515</v>
      </c>
      <c r="AV1340" s="3">
        <f t="shared" ca="1" si="287"/>
        <v>-92.974353164383515</v>
      </c>
    </row>
    <row r="1341" spans="43:48" x14ac:dyDescent="0.2">
      <c r="AQ1341" s="4">
        <f t="shared" ca="1" si="288"/>
        <v>45689</v>
      </c>
      <c r="AR1341" s="3">
        <f t="shared" ca="1" si="285"/>
        <v>780129.62999999966</v>
      </c>
      <c r="AS1341" s="63">
        <f ca="1">IF($AQ1341&lt;&gt;"", INDEX(Inputs!$B$3:$B$101, MATCH($AQ1341,Inputs!$A$3:$A$101,1)), "")</f>
        <v>4.3499999999999997E-2</v>
      </c>
      <c r="AT1341" s="48">
        <f t="shared" ca="1" si="289"/>
        <v>92.974353164383515</v>
      </c>
      <c r="AU1341" s="3">
        <f t="shared" ca="1" si="286"/>
        <v>-4265.4943531643839</v>
      </c>
      <c r="AV1341" s="3">
        <f t="shared" ca="1" si="287"/>
        <v>-4265.4943531643839</v>
      </c>
    </row>
    <row r="1342" spans="43:48" x14ac:dyDescent="0.2">
      <c r="AQ1342" s="4">
        <f t="shared" ca="1" si="288"/>
        <v>45690</v>
      </c>
      <c r="AR1342" s="3">
        <f t="shared" ca="1" si="285"/>
        <v>780129.62999999966</v>
      </c>
      <c r="AS1342" s="63">
        <f ca="1">IF($AQ1342&lt;&gt;"", INDEX(Inputs!$B$3:$B$101, MATCH($AQ1342,Inputs!$A$3:$A$101,1)), "")</f>
        <v>4.3499999999999997E-2</v>
      </c>
      <c r="AT1342" s="48">
        <f t="shared" ca="1" si="289"/>
        <v>92.974353164383515</v>
      </c>
      <c r="AU1342" s="3">
        <f t="shared" ca="1" si="286"/>
        <v>-92.974353164383515</v>
      </c>
      <c r="AV1342" s="3">
        <f t="shared" ca="1" si="287"/>
        <v>-92.974353164383515</v>
      </c>
    </row>
    <row r="1343" spans="43:48" x14ac:dyDescent="0.2">
      <c r="AQ1343" s="4">
        <f t="shared" ca="1" si="288"/>
        <v>45691</v>
      </c>
      <c r="AR1343" s="3">
        <f t="shared" ca="1" si="285"/>
        <v>783788.64999999956</v>
      </c>
      <c r="AS1343" s="63">
        <f ca="1">IF($AQ1343&lt;&gt;"", INDEX(Inputs!$B$3:$B$101, MATCH($AQ1343,Inputs!$A$3:$A$101,1)), "")</f>
        <v>4.3499999999999997E-2</v>
      </c>
      <c r="AT1343" s="48">
        <f t="shared" ca="1" si="289"/>
        <v>93.410428150684879</v>
      </c>
      <c r="AU1343" s="3">
        <f t="shared" ca="1" si="286"/>
        <v>-8104.9404281506841</v>
      </c>
      <c r="AV1343" s="3">
        <f t="shared" ca="1" si="287"/>
        <v>-8104.9404281506841</v>
      </c>
    </row>
    <row r="1344" spans="43:48" x14ac:dyDescent="0.2">
      <c r="AQ1344" s="4">
        <f t="shared" ca="1" si="288"/>
        <v>45692</v>
      </c>
      <c r="AR1344" s="3">
        <f t="shared" ca="1" si="285"/>
        <v>783788.64999999956</v>
      </c>
      <c r="AS1344" s="63">
        <f ca="1">IF($AQ1344&lt;&gt;"", INDEX(Inputs!$B$3:$B$101, MATCH($AQ1344,Inputs!$A$3:$A$101,1)), "")</f>
        <v>4.3499999999999997E-2</v>
      </c>
      <c r="AT1344" s="48">
        <f t="shared" ca="1" si="289"/>
        <v>93.410428150684879</v>
      </c>
      <c r="AU1344" s="3">
        <f t="shared" ca="1" si="286"/>
        <v>-93.410428150684879</v>
      </c>
      <c r="AV1344" s="3">
        <f t="shared" ca="1" si="287"/>
        <v>-93.410428150684879</v>
      </c>
    </row>
    <row r="1345" spans="43:48" x14ac:dyDescent="0.2">
      <c r="AQ1345" s="4">
        <f t="shared" ca="1" si="288"/>
        <v>45693</v>
      </c>
      <c r="AR1345" s="3">
        <f t="shared" ca="1" si="285"/>
        <v>783788.64999999956</v>
      </c>
      <c r="AS1345" s="63">
        <f ca="1">IF($AQ1345&lt;&gt;"", INDEX(Inputs!$B$3:$B$101, MATCH($AQ1345,Inputs!$A$3:$A$101,1)), "")</f>
        <v>4.3499999999999997E-2</v>
      </c>
      <c r="AT1345" s="48">
        <f t="shared" ca="1" si="289"/>
        <v>93.410428150684879</v>
      </c>
      <c r="AU1345" s="3">
        <f t="shared" ca="1" si="286"/>
        <v>-93.410428150684879</v>
      </c>
      <c r="AV1345" s="3">
        <f t="shared" ca="1" si="287"/>
        <v>-93.410428150684879</v>
      </c>
    </row>
    <row r="1346" spans="43:48" x14ac:dyDescent="0.2">
      <c r="AQ1346" s="4">
        <f t="shared" ca="1" si="288"/>
        <v>45694</v>
      </c>
      <c r="AR1346" s="3">
        <f t="shared" ca="1" si="285"/>
        <v>783788.64999999956</v>
      </c>
      <c r="AS1346" s="63">
        <f ca="1">IF($AQ1346&lt;&gt;"", INDEX(Inputs!$B$3:$B$101, MATCH($AQ1346,Inputs!$A$3:$A$101,1)), "")</f>
        <v>4.3499999999999997E-2</v>
      </c>
      <c r="AT1346" s="48">
        <f t="shared" ca="1" si="289"/>
        <v>93.410428150684879</v>
      </c>
      <c r="AU1346" s="3">
        <f t="shared" ca="1" si="286"/>
        <v>-93.410428150684879</v>
      </c>
      <c r="AV1346" s="3">
        <f t="shared" ca="1" si="287"/>
        <v>-93.410428150684879</v>
      </c>
    </row>
    <row r="1347" spans="43:48" x14ac:dyDescent="0.2">
      <c r="AQ1347" s="4">
        <f t="shared" ca="1" si="288"/>
        <v>45695</v>
      </c>
      <c r="AR1347" s="3">
        <f t="shared" ca="1" si="285"/>
        <v>783788.64999999956</v>
      </c>
      <c r="AS1347" s="63">
        <f ca="1">IF($AQ1347&lt;&gt;"", INDEX(Inputs!$B$3:$B$101, MATCH($AQ1347,Inputs!$A$3:$A$101,1)), "")</f>
        <v>4.3499999999999997E-2</v>
      </c>
      <c r="AT1347" s="48">
        <f t="shared" ca="1" si="289"/>
        <v>93.410428150684879</v>
      </c>
      <c r="AU1347" s="3">
        <f t="shared" ca="1" si="286"/>
        <v>-93.410428150684879</v>
      </c>
      <c r="AV1347" s="3">
        <f t="shared" ca="1" si="287"/>
        <v>-93.410428150684879</v>
      </c>
    </row>
    <row r="1348" spans="43:48" x14ac:dyDescent="0.2">
      <c r="AQ1348" s="4">
        <f t="shared" ca="1" si="288"/>
        <v>45696</v>
      </c>
      <c r="AR1348" s="3">
        <f t="shared" ca="1" si="285"/>
        <v>783788.64999999956</v>
      </c>
      <c r="AS1348" s="63">
        <f ca="1">IF($AQ1348&lt;&gt;"", INDEX(Inputs!$B$3:$B$101, MATCH($AQ1348,Inputs!$A$3:$A$101,1)), "")</f>
        <v>4.3499999999999997E-2</v>
      </c>
      <c r="AT1348" s="48">
        <f t="shared" ca="1" si="289"/>
        <v>93.410428150684879</v>
      </c>
      <c r="AU1348" s="3">
        <f t="shared" ca="1" si="286"/>
        <v>-93.410428150684879</v>
      </c>
      <c r="AV1348" s="3">
        <f t="shared" ca="1" si="287"/>
        <v>-93.410428150684879</v>
      </c>
    </row>
    <row r="1349" spans="43:48" x14ac:dyDescent="0.2">
      <c r="AQ1349" s="4">
        <f t="shared" ca="1" si="288"/>
        <v>45697</v>
      </c>
      <c r="AR1349" s="3">
        <f t="shared" ca="1" si="285"/>
        <v>783788.64999999956</v>
      </c>
      <c r="AS1349" s="63">
        <f ca="1">IF($AQ1349&lt;&gt;"", INDEX(Inputs!$B$3:$B$101, MATCH($AQ1349,Inputs!$A$3:$A$101,1)), "")</f>
        <v>4.3499999999999997E-2</v>
      </c>
      <c r="AT1349" s="48">
        <f t="shared" ca="1" si="289"/>
        <v>93.410428150684879</v>
      </c>
      <c r="AU1349" s="3">
        <f t="shared" ca="1" si="286"/>
        <v>-93.410428150684879</v>
      </c>
      <c r="AV1349" s="3">
        <f t="shared" ca="1" si="287"/>
        <v>-93.410428150684879</v>
      </c>
    </row>
    <row r="1350" spans="43:48" x14ac:dyDescent="0.2">
      <c r="AQ1350" s="4">
        <f t="shared" ca="1" si="288"/>
        <v>45698</v>
      </c>
      <c r="AR1350" s="3">
        <f t="shared" ca="1" si="285"/>
        <v>783788.64999999956</v>
      </c>
      <c r="AS1350" s="63">
        <f ca="1">IF($AQ1350&lt;&gt;"", INDEX(Inputs!$B$3:$B$101, MATCH($AQ1350,Inputs!$A$3:$A$101,1)), "")</f>
        <v>4.3499999999999997E-2</v>
      </c>
      <c r="AT1350" s="48">
        <f t="shared" ca="1" si="289"/>
        <v>93.410428150684879</v>
      </c>
      <c r="AU1350" s="3">
        <f t="shared" ca="1" si="286"/>
        <v>-93.410428150684879</v>
      </c>
      <c r="AV1350" s="3">
        <f t="shared" ca="1" si="287"/>
        <v>-93.410428150684879</v>
      </c>
    </row>
    <row r="1351" spans="43:48" x14ac:dyDescent="0.2">
      <c r="AQ1351" s="4">
        <f t="shared" ca="1" si="288"/>
        <v>45699</v>
      </c>
      <c r="AR1351" s="3">
        <f t="shared" ca="1" si="285"/>
        <v>783788.64999999956</v>
      </c>
      <c r="AS1351" s="63">
        <f ca="1">IF($AQ1351&lt;&gt;"", INDEX(Inputs!$B$3:$B$101, MATCH($AQ1351,Inputs!$A$3:$A$101,1)), "")</f>
        <v>4.3499999999999997E-2</v>
      </c>
      <c r="AT1351" s="48">
        <f t="shared" ca="1" si="289"/>
        <v>93.410428150684879</v>
      </c>
      <c r="AU1351" s="3">
        <f t="shared" ca="1" si="286"/>
        <v>-93.410428150684879</v>
      </c>
      <c r="AV1351" s="3">
        <f t="shared" ca="1" si="287"/>
        <v>-93.410428150684879</v>
      </c>
    </row>
    <row r="1352" spans="43:48" x14ac:dyDescent="0.2">
      <c r="AQ1352" s="4">
        <f t="shared" ca="1" si="288"/>
        <v>45700</v>
      </c>
      <c r="AR1352" s="3">
        <f t="shared" ca="1" si="285"/>
        <v>191159.61999999953</v>
      </c>
      <c r="AS1352" s="63">
        <f ca="1">IF($AQ1352&lt;&gt;"", INDEX(Inputs!$B$3:$B$101, MATCH($AQ1352,Inputs!$A$3:$A$101,1)), "")</f>
        <v>4.3499999999999997E-2</v>
      </c>
      <c r="AT1352" s="48">
        <f t="shared" ca="1" si="289"/>
        <v>22.782036904109528</v>
      </c>
      <c r="AU1352" s="3">
        <f t="shared" ca="1" si="286"/>
        <v>542588.64796309592</v>
      </c>
      <c r="AV1352" s="3">
        <f t="shared" ca="1" si="287"/>
        <v>542588.64796309592</v>
      </c>
    </row>
    <row r="1353" spans="43:48" x14ac:dyDescent="0.2">
      <c r="AQ1353" s="4">
        <f t="shared" ca="1" si="288"/>
        <v>45701</v>
      </c>
      <c r="AR1353" s="3">
        <f t="shared" ca="1" si="285"/>
        <v>191159.61999999953</v>
      </c>
      <c r="AS1353" s="63">
        <f ca="1">IF($AQ1353&lt;&gt;"", INDEX(Inputs!$B$3:$B$101, MATCH($AQ1353,Inputs!$A$3:$A$101,1)), "")</f>
        <v>4.3499999999999997E-2</v>
      </c>
      <c r="AT1353" s="48">
        <f t="shared" ca="1" si="289"/>
        <v>22.782036904109528</v>
      </c>
      <c r="AU1353" s="3">
        <f t="shared" ca="1" si="286"/>
        <v>-22.782036904109528</v>
      </c>
      <c r="AV1353" s="3">
        <f t="shared" ca="1" si="287"/>
        <v>-22.782036904109528</v>
      </c>
    </row>
    <row r="1354" spans="43:48" x14ac:dyDescent="0.2">
      <c r="AQ1354" s="4">
        <f t="shared" ca="1" si="288"/>
        <v>45702</v>
      </c>
      <c r="AR1354" s="3">
        <f t="shared" ca="1" si="285"/>
        <v>191159.61999999953</v>
      </c>
      <c r="AS1354" s="63">
        <f ca="1">IF($AQ1354&lt;&gt;"", INDEX(Inputs!$B$3:$B$101, MATCH($AQ1354,Inputs!$A$3:$A$101,1)), "")</f>
        <v>4.3499999999999997E-2</v>
      </c>
      <c r="AT1354" s="48">
        <f t="shared" ca="1" si="289"/>
        <v>22.782036904109528</v>
      </c>
      <c r="AU1354" s="3">
        <f t="shared" ca="1" si="286"/>
        <v>-22.782036904109528</v>
      </c>
      <c r="AV1354" s="3">
        <f t="shared" ca="1" si="287"/>
        <v>-22.782036904109528</v>
      </c>
    </row>
    <row r="1355" spans="43:48" x14ac:dyDescent="0.2">
      <c r="AQ1355" s="4">
        <f t="shared" ca="1" si="288"/>
        <v>45703</v>
      </c>
      <c r="AR1355" s="3">
        <f t="shared" ca="1" si="285"/>
        <v>191159.61999999953</v>
      </c>
      <c r="AS1355" s="63">
        <f ca="1">IF($AQ1355&lt;&gt;"", INDEX(Inputs!$B$3:$B$101, MATCH($AQ1355,Inputs!$A$3:$A$101,1)), "")</f>
        <v>4.3499999999999997E-2</v>
      </c>
      <c r="AT1355" s="48">
        <f t="shared" ca="1" si="289"/>
        <v>22.782036904109528</v>
      </c>
      <c r="AU1355" s="3">
        <f t="shared" ca="1" si="286"/>
        <v>-22.782036904109528</v>
      </c>
      <c r="AV1355" s="3">
        <f t="shared" ca="1" si="287"/>
        <v>-22.782036904109528</v>
      </c>
    </row>
    <row r="1356" spans="43:48" x14ac:dyDescent="0.2">
      <c r="AQ1356" s="4">
        <f t="shared" ca="1" si="288"/>
        <v>45704</v>
      </c>
      <c r="AR1356" s="3">
        <f t="shared" ca="1" si="285"/>
        <v>191159.61999999953</v>
      </c>
      <c r="AS1356" s="63">
        <f ca="1">IF($AQ1356&lt;&gt;"", INDEX(Inputs!$B$3:$B$101, MATCH($AQ1356,Inputs!$A$3:$A$101,1)), "")</f>
        <v>4.3499999999999997E-2</v>
      </c>
      <c r="AT1356" s="48">
        <f t="shared" ca="1" si="289"/>
        <v>22.782036904109528</v>
      </c>
      <c r="AU1356" s="3">
        <f t="shared" ca="1" si="286"/>
        <v>-22.782036904109528</v>
      </c>
      <c r="AV1356" s="3">
        <f t="shared" ca="1" si="287"/>
        <v>-22.782036904109528</v>
      </c>
    </row>
    <row r="1357" spans="43:48" x14ac:dyDescent="0.2">
      <c r="AQ1357" s="4">
        <f t="shared" ca="1" si="288"/>
        <v>45705</v>
      </c>
      <c r="AR1357" s="3">
        <f t="shared" ca="1" si="285"/>
        <v>191159.61999999953</v>
      </c>
      <c r="AS1357" s="63">
        <f ca="1">IF($AQ1357&lt;&gt;"", INDEX(Inputs!$B$3:$B$101, MATCH($AQ1357,Inputs!$A$3:$A$101,1)), "")</f>
        <v>4.3499999999999997E-2</v>
      </c>
      <c r="AT1357" s="48">
        <f t="shared" ca="1" si="289"/>
        <v>22.782036904109528</v>
      </c>
      <c r="AU1357" s="3">
        <f t="shared" ca="1" si="286"/>
        <v>-22.782036904109528</v>
      </c>
      <c r="AV1357" s="3">
        <f t="shared" ca="1" si="287"/>
        <v>-22.782036904109528</v>
      </c>
    </row>
    <row r="1358" spans="43:48" x14ac:dyDescent="0.2">
      <c r="AQ1358" s="4">
        <f t="shared" ca="1" si="288"/>
        <v>45706</v>
      </c>
      <c r="AR1358" s="3">
        <f t="shared" ca="1" si="285"/>
        <v>191159.61999999953</v>
      </c>
      <c r="AS1358" s="63">
        <f ca="1">IF($AQ1358&lt;&gt;"", INDEX(Inputs!$B$3:$B$101, MATCH($AQ1358,Inputs!$A$3:$A$101,1)), "")</f>
        <v>4.3499999999999997E-2</v>
      </c>
      <c r="AT1358" s="48">
        <f t="shared" ca="1" si="289"/>
        <v>22.782036904109528</v>
      </c>
      <c r="AU1358" s="3">
        <f t="shared" ca="1" si="286"/>
        <v>-22.782036904109528</v>
      </c>
      <c r="AV1358" s="3">
        <f t="shared" ca="1" si="287"/>
        <v>-22.782036904109528</v>
      </c>
    </row>
    <row r="1359" spans="43:48" x14ac:dyDescent="0.2">
      <c r="AQ1359" s="4">
        <f t="shared" ca="1" si="288"/>
        <v>45707</v>
      </c>
      <c r="AR1359" s="3">
        <f t="shared" ca="1" si="285"/>
        <v>191159.61999999953</v>
      </c>
      <c r="AS1359" s="63">
        <f ca="1">IF($AQ1359&lt;&gt;"", INDEX(Inputs!$B$3:$B$101, MATCH($AQ1359,Inputs!$A$3:$A$101,1)), "")</f>
        <v>4.1000000000000002E-2</v>
      </c>
      <c r="AT1359" s="48">
        <f t="shared" ca="1" si="289"/>
        <v>21.472724438356114</v>
      </c>
      <c r="AU1359" s="3">
        <f t="shared" ca="1" si="286"/>
        <v>-21.472724438356114</v>
      </c>
      <c r="AV1359" s="3">
        <f t="shared" ca="1" si="287"/>
        <v>-21.472724438356114</v>
      </c>
    </row>
    <row r="1360" spans="43:48" x14ac:dyDescent="0.2">
      <c r="AQ1360" s="4">
        <f t="shared" ca="1" si="288"/>
        <v>45708</v>
      </c>
      <c r="AR1360" s="3">
        <f t="shared" ca="1" si="285"/>
        <v>191159.61999999953</v>
      </c>
      <c r="AS1360" s="63">
        <f ca="1">IF($AQ1360&lt;&gt;"", INDEX(Inputs!$B$3:$B$101, MATCH($AQ1360,Inputs!$A$3:$A$101,1)), "")</f>
        <v>4.1000000000000002E-2</v>
      </c>
      <c r="AT1360" s="48">
        <f t="shared" ca="1" si="289"/>
        <v>21.472724438356114</v>
      </c>
      <c r="AU1360" s="3">
        <f t="shared" ca="1" si="286"/>
        <v>-21.472724438356114</v>
      </c>
      <c r="AV1360" s="3">
        <f t="shared" ca="1" si="287"/>
        <v>-21.472724438356114</v>
      </c>
    </row>
    <row r="1361" spans="43:48" x14ac:dyDescent="0.2">
      <c r="AQ1361" s="4">
        <f t="shared" ca="1" si="288"/>
        <v>45709</v>
      </c>
      <c r="AR1361" s="3">
        <f t="shared" ca="1" si="285"/>
        <v>191159.61999999953</v>
      </c>
      <c r="AS1361" s="63">
        <f ca="1">IF($AQ1361&lt;&gt;"", INDEX(Inputs!$B$3:$B$101, MATCH($AQ1361,Inputs!$A$3:$A$101,1)), "")</f>
        <v>4.1000000000000002E-2</v>
      </c>
      <c r="AT1361" s="48">
        <f t="shared" ca="1" si="289"/>
        <v>21.472724438356114</v>
      </c>
      <c r="AU1361" s="3">
        <f t="shared" ca="1" si="286"/>
        <v>-21.472724438356114</v>
      </c>
      <c r="AV1361" s="3">
        <f t="shared" ca="1" si="287"/>
        <v>-21.472724438356114</v>
      </c>
    </row>
    <row r="1362" spans="43:48" x14ac:dyDescent="0.2">
      <c r="AQ1362" s="4">
        <f t="shared" ca="1" si="288"/>
        <v>45710</v>
      </c>
      <c r="AR1362" s="3">
        <f t="shared" ca="1" si="285"/>
        <v>191159.61999999953</v>
      </c>
      <c r="AS1362" s="63">
        <f ca="1">IF($AQ1362&lt;&gt;"", INDEX(Inputs!$B$3:$B$101, MATCH($AQ1362,Inputs!$A$3:$A$101,1)), "")</f>
        <v>4.1000000000000002E-2</v>
      </c>
      <c r="AT1362" s="48">
        <f t="shared" ca="1" si="289"/>
        <v>21.472724438356114</v>
      </c>
      <c r="AU1362" s="3">
        <f t="shared" ca="1" si="286"/>
        <v>-21.472724438356114</v>
      </c>
      <c r="AV1362" s="3">
        <f t="shared" ca="1" si="287"/>
        <v>-21.472724438356114</v>
      </c>
    </row>
    <row r="1363" spans="43:48" x14ac:dyDescent="0.2">
      <c r="AQ1363" s="4">
        <f t="shared" ca="1" si="288"/>
        <v>45711</v>
      </c>
      <c r="AR1363" s="3">
        <f t="shared" ca="1" si="285"/>
        <v>191159.61999999953</v>
      </c>
      <c r="AS1363" s="63">
        <f ca="1">IF($AQ1363&lt;&gt;"", INDEX(Inputs!$B$3:$B$101, MATCH($AQ1363,Inputs!$A$3:$A$101,1)), "")</f>
        <v>4.1000000000000002E-2</v>
      </c>
      <c r="AT1363" s="48">
        <f t="shared" ca="1" si="289"/>
        <v>21.472724438356114</v>
      </c>
      <c r="AU1363" s="3">
        <f t="shared" ca="1" si="286"/>
        <v>-21.472724438356114</v>
      </c>
      <c r="AV1363" s="3">
        <f t="shared" ca="1" si="287"/>
        <v>-21.472724438356114</v>
      </c>
    </row>
    <row r="1364" spans="43:48" x14ac:dyDescent="0.2">
      <c r="AQ1364" s="4">
        <f t="shared" ca="1" si="288"/>
        <v>45712</v>
      </c>
      <c r="AR1364" s="3">
        <f t="shared" ca="1" si="285"/>
        <v>191159.61999999953</v>
      </c>
      <c r="AS1364" s="63">
        <f ca="1">IF($AQ1364&lt;&gt;"", INDEX(Inputs!$B$3:$B$101, MATCH($AQ1364,Inputs!$A$3:$A$101,1)), "")</f>
        <v>4.1000000000000002E-2</v>
      </c>
      <c r="AT1364" s="48">
        <f t="shared" ca="1" si="289"/>
        <v>21.472724438356114</v>
      </c>
      <c r="AU1364" s="3">
        <f t="shared" ca="1" si="286"/>
        <v>-21.472724438356114</v>
      </c>
      <c r="AV1364" s="3">
        <f t="shared" ca="1" si="287"/>
        <v>-21.472724438356114</v>
      </c>
    </row>
    <row r="1365" spans="43:48" x14ac:dyDescent="0.2">
      <c r="AQ1365" s="4">
        <f t="shared" ca="1" si="288"/>
        <v>45713</v>
      </c>
      <c r="AR1365" s="3">
        <f t="shared" ca="1" si="285"/>
        <v>191159.61999999953</v>
      </c>
      <c r="AS1365" s="63">
        <f ca="1">IF($AQ1365&lt;&gt;"", INDEX(Inputs!$B$3:$B$101, MATCH($AQ1365,Inputs!$A$3:$A$101,1)), "")</f>
        <v>4.1000000000000002E-2</v>
      </c>
      <c r="AT1365" s="48">
        <f t="shared" ca="1" si="289"/>
        <v>21.472724438356114</v>
      </c>
      <c r="AU1365" s="3">
        <f t="shared" ca="1" si="286"/>
        <v>-21.472724438356114</v>
      </c>
      <c r="AV1365" s="3">
        <f t="shared" ca="1" si="287"/>
        <v>-21.472724438356114</v>
      </c>
    </row>
    <row r="1366" spans="43:48" x14ac:dyDescent="0.2">
      <c r="AQ1366" s="4">
        <f t="shared" ca="1" si="288"/>
        <v>45714</v>
      </c>
      <c r="AR1366" s="3">
        <f t="shared" ca="1" si="285"/>
        <v>191159.61999999953</v>
      </c>
      <c r="AS1366" s="63">
        <f ca="1">IF($AQ1366&lt;&gt;"", INDEX(Inputs!$B$3:$B$101, MATCH($AQ1366,Inputs!$A$3:$A$101,1)), "")</f>
        <v>4.1000000000000002E-2</v>
      </c>
      <c r="AT1366" s="48">
        <f t="shared" ca="1" si="289"/>
        <v>21.472724438356114</v>
      </c>
      <c r="AU1366" s="3">
        <f t="shared" ca="1" si="286"/>
        <v>-21.472724438356114</v>
      </c>
      <c r="AV1366" s="3">
        <f t="shared" ca="1" si="287"/>
        <v>-21.472724438356114</v>
      </c>
    </row>
    <row r="1367" spans="43:48" x14ac:dyDescent="0.2">
      <c r="AQ1367" s="4">
        <f t="shared" ca="1" si="288"/>
        <v>45715</v>
      </c>
      <c r="AR1367" s="3">
        <f t="shared" ca="1" si="285"/>
        <v>191159.61999999953</v>
      </c>
      <c r="AS1367" s="63">
        <f ca="1">IF($AQ1367&lt;&gt;"", INDEX(Inputs!$B$3:$B$101, MATCH($AQ1367,Inputs!$A$3:$A$101,1)), "")</f>
        <v>4.1000000000000002E-2</v>
      </c>
      <c r="AT1367" s="48">
        <f t="shared" ca="1" si="289"/>
        <v>21.472724438356114</v>
      </c>
      <c r="AU1367" s="3">
        <f t="shared" ca="1" si="286"/>
        <v>-21.472724438356114</v>
      </c>
      <c r="AV1367" s="3">
        <f t="shared" ca="1" si="287"/>
        <v>-21.472724438356114</v>
      </c>
    </row>
    <row r="1368" spans="43:48" x14ac:dyDescent="0.2">
      <c r="AQ1368" s="4">
        <f t="shared" ca="1" si="288"/>
        <v>45716</v>
      </c>
      <c r="AR1368" s="3">
        <f t="shared" ca="1" si="285"/>
        <v>191159.61999999953</v>
      </c>
      <c r="AS1368" s="63">
        <f ca="1">IF($AQ1368&lt;&gt;"", INDEX(Inputs!$B$3:$B$101, MATCH($AQ1368,Inputs!$A$3:$A$101,1)), "")</f>
        <v>4.1000000000000002E-2</v>
      </c>
      <c r="AT1368" s="48">
        <f t="shared" ca="1" si="289"/>
        <v>21.472724438356114</v>
      </c>
      <c r="AU1368" s="3">
        <f t="shared" ca="1" si="286"/>
        <v>-21.472724438356114</v>
      </c>
      <c r="AV1368" s="3">
        <f t="shared" ca="1" si="287"/>
        <v>-21.472724438356114</v>
      </c>
    </row>
    <row r="1369" spans="43:48" x14ac:dyDescent="0.2">
      <c r="AQ1369" s="4">
        <f t="shared" ca="1" si="288"/>
        <v>45717</v>
      </c>
      <c r="AR1369" s="3">
        <f t="shared" ref="AR1369:AR1432" ca="1" si="290">IF($AQ1369&lt;&gt;"", INDEX($AC$3:$AC$1055, MATCH($AQ1369,$A$3:$A$1055,1)), "")</f>
        <v>191159.61999999953</v>
      </c>
      <c r="AS1369" s="63">
        <f ca="1">IF($AQ1369&lt;&gt;"", INDEX(Inputs!$B$3:$B$101, MATCH($AQ1369,Inputs!$A$3:$A$101,1)), "")</f>
        <v>4.1000000000000002E-2</v>
      </c>
      <c r="AT1369" s="48">
        <f t="shared" ca="1" si="289"/>
        <v>21.472724438356114</v>
      </c>
      <c r="AU1369" s="3">
        <f t="shared" ref="AU1369:AU1432" ca="1" si="291">IF($AQ1369&lt;&gt;"", SUMIFS($AL$3:$AL$1054, $A$3:$A$1054,$AQ1369) + SUMIFS($M$3:$M$1054, $A$3:$A$1054,$AQ1369)*IFERROR(AVERAGEIFS($L$3:$L$1054, $A$3:$A$1054,$AQ1369, $M$3:$M$1054,"&gt;0"),0) - AT1369, "")</f>
        <v>-21.472724438356114</v>
      </c>
      <c r="AV1369" s="3">
        <f t="shared" ca="1" si="287"/>
        <v>-21.472724438356114</v>
      </c>
    </row>
    <row r="1370" spans="43:48" x14ac:dyDescent="0.2">
      <c r="AQ1370" s="4">
        <f t="shared" ca="1" si="288"/>
        <v>45718</v>
      </c>
      <c r="AR1370" s="3">
        <f t="shared" ca="1" si="290"/>
        <v>191159.61999999953</v>
      </c>
      <c r="AS1370" s="63">
        <f ca="1">IF($AQ1370&lt;&gt;"", INDEX(Inputs!$B$3:$B$101, MATCH($AQ1370,Inputs!$A$3:$A$101,1)), "")</f>
        <v>4.1000000000000002E-2</v>
      </c>
      <c r="AT1370" s="48">
        <f t="shared" ca="1" si="289"/>
        <v>21.472724438356114</v>
      </c>
      <c r="AU1370" s="3">
        <f t="shared" ca="1" si="291"/>
        <v>-21.472724438356114</v>
      </c>
      <c r="AV1370" s="3">
        <f t="shared" ca="1" si="287"/>
        <v>-21.472724438356114</v>
      </c>
    </row>
    <row r="1371" spans="43:48" x14ac:dyDescent="0.2">
      <c r="AQ1371" s="4">
        <f t="shared" ca="1" si="288"/>
        <v>45719</v>
      </c>
      <c r="AR1371" s="3">
        <f t="shared" ca="1" si="290"/>
        <v>197004.73999999953</v>
      </c>
      <c r="AS1371" s="63">
        <f ca="1">IF($AQ1371&lt;&gt;"", INDEX(Inputs!$B$3:$B$101, MATCH($AQ1371,Inputs!$A$3:$A$101,1)), "")</f>
        <v>4.1000000000000002E-2</v>
      </c>
      <c r="AT1371" s="48">
        <f t="shared" ca="1" si="289"/>
        <v>22.129299561643784</v>
      </c>
      <c r="AU1371" s="3">
        <f t="shared" ca="1" si="291"/>
        <v>-8495.6592995616429</v>
      </c>
      <c r="AV1371" s="3">
        <f t="shared" ca="1" si="287"/>
        <v>-8495.6592995616429</v>
      </c>
    </row>
    <row r="1372" spans="43:48" x14ac:dyDescent="0.2">
      <c r="AQ1372" s="4">
        <f t="shared" ca="1" si="288"/>
        <v>45720</v>
      </c>
      <c r="AR1372" s="3">
        <f t="shared" ca="1" si="290"/>
        <v>197004.60999999952</v>
      </c>
      <c r="AS1372" s="63">
        <f ca="1">IF($AQ1372&lt;&gt;"", INDEX(Inputs!$B$3:$B$101, MATCH($AQ1372,Inputs!$A$3:$A$101,1)), "")</f>
        <v>4.1000000000000002E-2</v>
      </c>
      <c r="AT1372" s="48">
        <f t="shared" ca="1" si="289"/>
        <v>22.129284958904059</v>
      </c>
      <c r="AU1372" s="3">
        <f t="shared" ca="1" si="291"/>
        <v>-22.129284958904059</v>
      </c>
      <c r="AV1372" s="3">
        <f t="shared" ca="1" si="287"/>
        <v>-22.129284958904059</v>
      </c>
    </row>
    <row r="1373" spans="43:48" x14ac:dyDescent="0.2">
      <c r="AQ1373" s="4">
        <f t="shared" ca="1" si="288"/>
        <v>45721</v>
      </c>
      <c r="AR1373" s="3">
        <f t="shared" ca="1" si="290"/>
        <v>197004.60999999952</v>
      </c>
      <c r="AS1373" s="63">
        <f ca="1">IF($AQ1373&lt;&gt;"", INDEX(Inputs!$B$3:$B$101, MATCH($AQ1373,Inputs!$A$3:$A$101,1)), "")</f>
        <v>4.1000000000000002E-2</v>
      </c>
      <c r="AT1373" s="48">
        <f t="shared" ca="1" si="289"/>
        <v>22.129284958904059</v>
      </c>
      <c r="AU1373" s="3">
        <f t="shared" ca="1" si="291"/>
        <v>-22.129284958904059</v>
      </c>
      <c r="AV1373" s="3">
        <f t="shared" ca="1" si="287"/>
        <v>-22.129284958904059</v>
      </c>
    </row>
    <row r="1374" spans="43:48" x14ac:dyDescent="0.2">
      <c r="AQ1374" s="4">
        <f t="shared" ca="1" si="288"/>
        <v>45722</v>
      </c>
      <c r="AR1374" s="3">
        <f t="shared" ca="1" si="290"/>
        <v>197004.60999999952</v>
      </c>
      <c r="AS1374" s="63">
        <f ca="1">IF($AQ1374&lt;&gt;"", INDEX(Inputs!$B$3:$B$101, MATCH($AQ1374,Inputs!$A$3:$A$101,1)), "")</f>
        <v>4.1000000000000002E-2</v>
      </c>
      <c r="AT1374" s="48">
        <f t="shared" ca="1" si="289"/>
        <v>22.129284958904059</v>
      </c>
      <c r="AU1374" s="3">
        <f t="shared" ca="1" si="291"/>
        <v>-22.129284958904059</v>
      </c>
      <c r="AV1374" s="3">
        <f t="shared" ca="1" si="287"/>
        <v>-22.129284958904059</v>
      </c>
    </row>
    <row r="1375" spans="43:48" x14ac:dyDescent="0.2">
      <c r="AQ1375" s="4">
        <f t="shared" ca="1" si="288"/>
        <v>45723</v>
      </c>
      <c r="AR1375" s="3">
        <f t="shared" ca="1" si="290"/>
        <v>197004.60999999952</v>
      </c>
      <c r="AS1375" s="63">
        <f ca="1">IF($AQ1375&lt;&gt;"", INDEX(Inputs!$B$3:$B$101, MATCH($AQ1375,Inputs!$A$3:$A$101,1)), "")</f>
        <v>4.1000000000000002E-2</v>
      </c>
      <c r="AT1375" s="48">
        <f t="shared" ca="1" si="289"/>
        <v>22.129284958904059</v>
      </c>
      <c r="AU1375" s="3">
        <f t="shared" ca="1" si="291"/>
        <v>-22.129284958904059</v>
      </c>
      <c r="AV1375" s="3">
        <f t="shared" ca="1" si="287"/>
        <v>-22.129284958904059</v>
      </c>
    </row>
    <row r="1376" spans="43:48" x14ac:dyDescent="0.2">
      <c r="AQ1376" s="4">
        <f t="shared" ca="1" si="288"/>
        <v>45724</v>
      </c>
      <c r="AR1376" s="3">
        <f t="shared" ca="1" si="290"/>
        <v>197004.60999999952</v>
      </c>
      <c r="AS1376" s="63">
        <f ca="1">IF($AQ1376&lt;&gt;"", INDEX(Inputs!$B$3:$B$101, MATCH($AQ1376,Inputs!$A$3:$A$101,1)), "")</f>
        <v>4.1000000000000002E-2</v>
      </c>
      <c r="AT1376" s="48">
        <f t="shared" ca="1" si="289"/>
        <v>22.129284958904059</v>
      </c>
      <c r="AU1376" s="3">
        <f t="shared" ca="1" si="291"/>
        <v>-22.129284958904059</v>
      </c>
      <c r="AV1376" s="3">
        <f t="shared" ref="AV1376:AV1439" ca="1" si="292">IF(AQ1376&lt;&gt;"", AU1376*(1+$X$9/CompoundingRate)^-((AQ1376-AQ$3)/(365/CompoundingRate)), "")</f>
        <v>-22.129284958904059</v>
      </c>
    </row>
    <row r="1377" spans="43:48" x14ac:dyDescent="0.2">
      <c r="AQ1377" s="4">
        <f t="shared" ca="1" si="288"/>
        <v>45725</v>
      </c>
      <c r="AR1377" s="3">
        <f t="shared" ca="1" si="290"/>
        <v>197004.60999999952</v>
      </c>
      <c r="AS1377" s="63">
        <f ca="1">IF($AQ1377&lt;&gt;"", INDEX(Inputs!$B$3:$B$101, MATCH($AQ1377,Inputs!$A$3:$A$101,1)), "")</f>
        <v>4.1000000000000002E-2</v>
      </c>
      <c r="AT1377" s="48">
        <f t="shared" ca="1" si="289"/>
        <v>22.129284958904059</v>
      </c>
      <c r="AU1377" s="3">
        <f t="shared" ca="1" si="291"/>
        <v>-22.129284958904059</v>
      </c>
      <c r="AV1377" s="3">
        <f t="shared" ca="1" si="292"/>
        <v>-22.129284958904059</v>
      </c>
    </row>
    <row r="1378" spans="43:48" x14ac:dyDescent="0.2">
      <c r="AQ1378" s="4">
        <f t="shared" ca="1" si="288"/>
        <v>45726</v>
      </c>
      <c r="AR1378" s="3">
        <f t="shared" ca="1" si="290"/>
        <v>197004.60999999952</v>
      </c>
      <c r="AS1378" s="63">
        <f ca="1">IF($AQ1378&lt;&gt;"", INDEX(Inputs!$B$3:$B$101, MATCH($AQ1378,Inputs!$A$3:$A$101,1)), "")</f>
        <v>4.1000000000000002E-2</v>
      </c>
      <c r="AT1378" s="48">
        <f t="shared" ca="1" si="289"/>
        <v>22.129284958904059</v>
      </c>
      <c r="AU1378" s="3">
        <f t="shared" ca="1" si="291"/>
        <v>-22.129284958904059</v>
      </c>
      <c r="AV1378" s="3">
        <f t="shared" ca="1" si="292"/>
        <v>-22.129284958904059</v>
      </c>
    </row>
    <row r="1379" spans="43:48" x14ac:dyDescent="0.2">
      <c r="AQ1379" s="4">
        <f t="shared" ca="1" si="288"/>
        <v>45727</v>
      </c>
      <c r="AR1379" s="3">
        <f t="shared" ca="1" si="290"/>
        <v>197004.60999999952</v>
      </c>
      <c r="AS1379" s="63">
        <f ca="1">IF($AQ1379&lt;&gt;"", INDEX(Inputs!$B$3:$B$101, MATCH($AQ1379,Inputs!$A$3:$A$101,1)), "")</f>
        <v>4.1000000000000002E-2</v>
      </c>
      <c r="AT1379" s="48">
        <f t="shared" ca="1" si="289"/>
        <v>22.129284958904059</v>
      </c>
      <c r="AU1379" s="3">
        <f t="shared" ca="1" si="291"/>
        <v>-22.129284958904059</v>
      </c>
      <c r="AV1379" s="3">
        <f t="shared" ca="1" si="292"/>
        <v>-22.129284958904059</v>
      </c>
    </row>
    <row r="1380" spans="43:48" x14ac:dyDescent="0.2">
      <c r="AQ1380" s="4">
        <f t="shared" ca="1" si="288"/>
        <v>45728</v>
      </c>
      <c r="AR1380" s="3">
        <f t="shared" ca="1" si="290"/>
        <v>197767.14999999953</v>
      </c>
      <c r="AS1380" s="63">
        <f ca="1">IF($AQ1380&lt;&gt;"", INDEX(Inputs!$B$3:$B$101, MATCH($AQ1380,Inputs!$A$3:$A$101,1)), "")</f>
        <v>4.1000000000000002E-2</v>
      </c>
      <c r="AT1380" s="48">
        <f t="shared" ca="1" si="289"/>
        <v>22.21494013698625</v>
      </c>
      <c r="AU1380" s="3">
        <f t="shared" ca="1" si="291"/>
        <v>-3495.814940136986</v>
      </c>
      <c r="AV1380" s="3">
        <f t="shared" ca="1" si="292"/>
        <v>-3495.814940136986</v>
      </c>
    </row>
    <row r="1381" spans="43:48" x14ac:dyDescent="0.2">
      <c r="AQ1381" s="4">
        <f t="shared" ca="1" si="288"/>
        <v>45729</v>
      </c>
      <c r="AR1381" s="3">
        <f t="shared" ca="1" si="290"/>
        <v>197767.14999999953</v>
      </c>
      <c r="AS1381" s="63">
        <f ca="1">IF($AQ1381&lt;&gt;"", INDEX(Inputs!$B$3:$B$101, MATCH($AQ1381,Inputs!$A$3:$A$101,1)), "")</f>
        <v>4.1000000000000002E-2</v>
      </c>
      <c r="AT1381" s="48">
        <f t="shared" ca="1" si="289"/>
        <v>22.21494013698625</v>
      </c>
      <c r="AU1381" s="3">
        <f t="shared" ca="1" si="291"/>
        <v>-22.21494013698625</v>
      </c>
      <c r="AV1381" s="3">
        <f t="shared" ca="1" si="292"/>
        <v>-22.21494013698625</v>
      </c>
    </row>
    <row r="1382" spans="43:48" x14ac:dyDescent="0.2">
      <c r="AQ1382" s="4">
        <f t="shared" ca="1" si="288"/>
        <v>45730</v>
      </c>
      <c r="AR1382" s="3">
        <f t="shared" ca="1" si="290"/>
        <v>197767.14999999953</v>
      </c>
      <c r="AS1382" s="63">
        <f ca="1">IF($AQ1382&lt;&gt;"", INDEX(Inputs!$B$3:$B$101, MATCH($AQ1382,Inputs!$A$3:$A$101,1)), "")</f>
        <v>4.1000000000000002E-2</v>
      </c>
      <c r="AT1382" s="48">
        <f t="shared" ca="1" si="289"/>
        <v>22.21494013698625</v>
      </c>
      <c r="AU1382" s="3">
        <f t="shared" ca="1" si="291"/>
        <v>-22.21494013698625</v>
      </c>
      <c r="AV1382" s="3">
        <f t="shared" ca="1" si="292"/>
        <v>-22.21494013698625</v>
      </c>
    </row>
    <row r="1383" spans="43:48" x14ac:dyDescent="0.2">
      <c r="AQ1383" s="4">
        <f t="shared" ca="1" si="288"/>
        <v>45731</v>
      </c>
      <c r="AR1383" s="3">
        <f t="shared" ca="1" si="290"/>
        <v>197767.14999999953</v>
      </c>
      <c r="AS1383" s="63">
        <f ca="1">IF($AQ1383&lt;&gt;"", INDEX(Inputs!$B$3:$B$101, MATCH($AQ1383,Inputs!$A$3:$A$101,1)), "")</f>
        <v>4.1000000000000002E-2</v>
      </c>
      <c r="AT1383" s="48">
        <f t="shared" ca="1" si="289"/>
        <v>22.21494013698625</v>
      </c>
      <c r="AU1383" s="3">
        <f t="shared" ca="1" si="291"/>
        <v>-22.21494013698625</v>
      </c>
      <c r="AV1383" s="3">
        <f t="shared" ca="1" si="292"/>
        <v>-22.21494013698625</v>
      </c>
    </row>
    <row r="1384" spans="43:48" x14ac:dyDescent="0.2">
      <c r="AQ1384" s="4">
        <f t="shared" ca="1" si="288"/>
        <v>45732</v>
      </c>
      <c r="AR1384" s="3">
        <f t="shared" ca="1" si="290"/>
        <v>197767.14999999953</v>
      </c>
      <c r="AS1384" s="63">
        <f ca="1">IF($AQ1384&lt;&gt;"", INDEX(Inputs!$B$3:$B$101, MATCH($AQ1384,Inputs!$A$3:$A$101,1)), "")</f>
        <v>4.1000000000000002E-2</v>
      </c>
      <c r="AT1384" s="48">
        <f t="shared" ca="1" si="289"/>
        <v>22.21494013698625</v>
      </c>
      <c r="AU1384" s="3">
        <f t="shared" ca="1" si="291"/>
        <v>-22.21494013698625</v>
      </c>
      <c r="AV1384" s="3">
        <f t="shared" ca="1" si="292"/>
        <v>-22.21494013698625</v>
      </c>
    </row>
    <row r="1385" spans="43:48" x14ac:dyDescent="0.2">
      <c r="AQ1385" s="4">
        <f t="shared" ca="1" si="288"/>
        <v>45733</v>
      </c>
      <c r="AR1385" s="3">
        <f t="shared" ca="1" si="290"/>
        <v>197767.14999999953</v>
      </c>
      <c r="AS1385" s="63">
        <f ca="1">IF($AQ1385&lt;&gt;"", INDEX(Inputs!$B$3:$B$101, MATCH($AQ1385,Inputs!$A$3:$A$101,1)), "")</f>
        <v>4.1000000000000002E-2</v>
      </c>
      <c r="AT1385" s="48">
        <f t="shared" ca="1" si="289"/>
        <v>22.21494013698625</v>
      </c>
      <c r="AU1385" s="3">
        <f t="shared" ca="1" si="291"/>
        <v>-22.21494013698625</v>
      </c>
      <c r="AV1385" s="3">
        <f t="shared" ca="1" si="292"/>
        <v>-22.21494013698625</v>
      </c>
    </row>
    <row r="1386" spans="43:48" x14ac:dyDescent="0.2">
      <c r="AQ1386" s="4">
        <f t="shared" ca="1" si="288"/>
        <v>45734</v>
      </c>
      <c r="AR1386" s="3">
        <f t="shared" ca="1" si="290"/>
        <v>197767.14999999953</v>
      </c>
      <c r="AS1386" s="63">
        <f ca="1">IF($AQ1386&lt;&gt;"", INDEX(Inputs!$B$3:$B$101, MATCH($AQ1386,Inputs!$A$3:$A$101,1)), "")</f>
        <v>4.1000000000000002E-2</v>
      </c>
      <c r="AT1386" s="48">
        <f t="shared" ca="1" si="289"/>
        <v>22.21494013698625</v>
      </c>
      <c r="AU1386" s="3">
        <f t="shared" ca="1" si="291"/>
        <v>-22.21494013698625</v>
      </c>
      <c r="AV1386" s="3">
        <f t="shared" ca="1" si="292"/>
        <v>-22.21494013698625</v>
      </c>
    </row>
    <row r="1387" spans="43:48" x14ac:dyDescent="0.2">
      <c r="AQ1387" s="4">
        <f t="shared" ca="1" si="288"/>
        <v>45735</v>
      </c>
      <c r="AR1387" s="3">
        <f t="shared" ca="1" si="290"/>
        <v>197767.14999999953</v>
      </c>
      <c r="AS1387" s="63">
        <f ca="1">IF($AQ1387&lt;&gt;"", INDEX(Inputs!$B$3:$B$101, MATCH($AQ1387,Inputs!$A$3:$A$101,1)), "")</f>
        <v>4.1000000000000002E-2</v>
      </c>
      <c r="AT1387" s="48">
        <f t="shared" ca="1" si="289"/>
        <v>22.21494013698625</v>
      </c>
      <c r="AU1387" s="3">
        <f t="shared" ca="1" si="291"/>
        <v>-22.21494013698625</v>
      </c>
      <c r="AV1387" s="3">
        <f t="shared" ca="1" si="292"/>
        <v>-22.21494013698625</v>
      </c>
    </row>
    <row r="1388" spans="43:48" x14ac:dyDescent="0.2">
      <c r="AQ1388" s="4">
        <f t="shared" ca="1" si="288"/>
        <v>45736</v>
      </c>
      <c r="AR1388" s="3">
        <f t="shared" ca="1" si="290"/>
        <v>197767.14999999953</v>
      </c>
      <c r="AS1388" s="63">
        <f ca="1">IF($AQ1388&lt;&gt;"", INDEX(Inputs!$B$3:$B$101, MATCH($AQ1388,Inputs!$A$3:$A$101,1)), "")</f>
        <v>4.1000000000000002E-2</v>
      </c>
      <c r="AT1388" s="48">
        <f t="shared" ca="1" si="289"/>
        <v>22.21494013698625</v>
      </c>
      <c r="AU1388" s="3">
        <f t="shared" ca="1" si="291"/>
        <v>-22.21494013698625</v>
      </c>
      <c r="AV1388" s="3">
        <f t="shared" ca="1" si="292"/>
        <v>-22.21494013698625</v>
      </c>
    </row>
    <row r="1389" spans="43:48" x14ac:dyDescent="0.2">
      <c r="AQ1389" s="4">
        <f t="shared" ca="1" si="288"/>
        <v>45737</v>
      </c>
      <c r="AR1389" s="3">
        <f t="shared" ca="1" si="290"/>
        <v>197767.14999999953</v>
      </c>
      <c r="AS1389" s="63">
        <f ca="1">IF($AQ1389&lt;&gt;"", INDEX(Inputs!$B$3:$B$101, MATCH($AQ1389,Inputs!$A$3:$A$101,1)), "")</f>
        <v>4.1000000000000002E-2</v>
      </c>
      <c r="AT1389" s="48">
        <f t="shared" ca="1" si="289"/>
        <v>22.21494013698625</v>
      </c>
      <c r="AU1389" s="3">
        <f t="shared" ca="1" si="291"/>
        <v>-22.21494013698625</v>
      </c>
      <c r="AV1389" s="3">
        <f t="shared" ca="1" si="292"/>
        <v>-22.21494013698625</v>
      </c>
    </row>
    <row r="1390" spans="43:48" x14ac:dyDescent="0.2">
      <c r="AQ1390" s="4">
        <f t="shared" ca="1" si="288"/>
        <v>45738</v>
      </c>
      <c r="AR1390" s="3">
        <f t="shared" ca="1" si="290"/>
        <v>197767.14999999953</v>
      </c>
      <c r="AS1390" s="63">
        <f ca="1">IF($AQ1390&lt;&gt;"", INDEX(Inputs!$B$3:$B$101, MATCH($AQ1390,Inputs!$A$3:$A$101,1)), "")</f>
        <v>4.1000000000000002E-2</v>
      </c>
      <c r="AT1390" s="48">
        <f t="shared" ca="1" si="289"/>
        <v>22.21494013698625</v>
      </c>
      <c r="AU1390" s="3">
        <f t="shared" ca="1" si="291"/>
        <v>-22.21494013698625</v>
      </c>
      <c r="AV1390" s="3">
        <f t="shared" ca="1" si="292"/>
        <v>-22.21494013698625</v>
      </c>
    </row>
    <row r="1391" spans="43:48" x14ac:dyDescent="0.2">
      <c r="AQ1391" s="4">
        <f t="shared" ca="1" si="288"/>
        <v>45739</v>
      </c>
      <c r="AR1391" s="3">
        <f t="shared" ca="1" si="290"/>
        <v>197767.14999999953</v>
      </c>
      <c r="AS1391" s="63">
        <f ca="1">IF($AQ1391&lt;&gt;"", INDEX(Inputs!$B$3:$B$101, MATCH($AQ1391,Inputs!$A$3:$A$101,1)), "")</f>
        <v>4.1000000000000002E-2</v>
      </c>
      <c r="AT1391" s="48">
        <f t="shared" ca="1" si="289"/>
        <v>22.21494013698625</v>
      </c>
      <c r="AU1391" s="3">
        <f t="shared" ca="1" si="291"/>
        <v>-22.21494013698625</v>
      </c>
      <c r="AV1391" s="3">
        <f t="shared" ca="1" si="292"/>
        <v>-22.21494013698625</v>
      </c>
    </row>
    <row r="1392" spans="43:48" x14ac:dyDescent="0.2">
      <c r="AQ1392" s="4">
        <f t="shared" ca="1" si="288"/>
        <v>45740</v>
      </c>
      <c r="AR1392" s="3">
        <f t="shared" ca="1" si="290"/>
        <v>197767.14999999953</v>
      </c>
      <c r="AS1392" s="63">
        <f ca="1">IF($AQ1392&lt;&gt;"", INDEX(Inputs!$B$3:$B$101, MATCH($AQ1392,Inputs!$A$3:$A$101,1)), "")</f>
        <v>4.1000000000000002E-2</v>
      </c>
      <c r="AT1392" s="48">
        <f t="shared" ca="1" si="289"/>
        <v>22.21494013698625</v>
      </c>
      <c r="AU1392" s="3">
        <f t="shared" ca="1" si="291"/>
        <v>-22.21494013698625</v>
      </c>
      <c r="AV1392" s="3">
        <f t="shared" ca="1" si="292"/>
        <v>-22.21494013698625</v>
      </c>
    </row>
    <row r="1393" spans="43:48" x14ac:dyDescent="0.2">
      <c r="AQ1393" s="4">
        <f t="shared" ca="1" si="288"/>
        <v>45741</v>
      </c>
      <c r="AR1393" s="3">
        <f t="shared" ca="1" si="290"/>
        <v>197767.14999999953</v>
      </c>
      <c r="AS1393" s="63">
        <f ca="1">IF($AQ1393&lt;&gt;"", INDEX(Inputs!$B$3:$B$101, MATCH($AQ1393,Inputs!$A$3:$A$101,1)), "")</f>
        <v>4.1000000000000002E-2</v>
      </c>
      <c r="AT1393" s="48">
        <f t="shared" ca="1" si="289"/>
        <v>22.21494013698625</v>
      </c>
      <c r="AU1393" s="3">
        <f t="shared" ca="1" si="291"/>
        <v>-22.21494013698625</v>
      </c>
      <c r="AV1393" s="3">
        <f t="shared" ca="1" si="292"/>
        <v>-22.21494013698625</v>
      </c>
    </row>
    <row r="1394" spans="43:48" x14ac:dyDescent="0.2">
      <c r="AQ1394" s="4">
        <f t="shared" ca="1" si="288"/>
        <v>45742</v>
      </c>
      <c r="AR1394" s="3">
        <f t="shared" ca="1" si="290"/>
        <v>197767.14999999953</v>
      </c>
      <c r="AS1394" s="63">
        <f ca="1">IF($AQ1394&lt;&gt;"", INDEX(Inputs!$B$3:$B$101, MATCH($AQ1394,Inputs!$A$3:$A$101,1)), "")</f>
        <v>4.1000000000000002E-2</v>
      </c>
      <c r="AT1394" s="48">
        <f t="shared" ca="1" si="289"/>
        <v>22.21494013698625</v>
      </c>
      <c r="AU1394" s="3">
        <f t="shared" ca="1" si="291"/>
        <v>-22.21494013698625</v>
      </c>
      <c r="AV1394" s="3">
        <f t="shared" ca="1" si="292"/>
        <v>-22.21494013698625</v>
      </c>
    </row>
    <row r="1395" spans="43:48" x14ac:dyDescent="0.2">
      <c r="AQ1395" s="4">
        <f t="shared" ca="1" si="288"/>
        <v>45743</v>
      </c>
      <c r="AR1395" s="3">
        <f t="shared" ca="1" si="290"/>
        <v>197767.14999999953</v>
      </c>
      <c r="AS1395" s="63">
        <f ca="1">IF($AQ1395&lt;&gt;"", INDEX(Inputs!$B$3:$B$101, MATCH($AQ1395,Inputs!$A$3:$A$101,1)), "")</f>
        <v>4.1000000000000002E-2</v>
      </c>
      <c r="AT1395" s="48">
        <f t="shared" ca="1" si="289"/>
        <v>22.21494013698625</v>
      </c>
      <c r="AU1395" s="3">
        <f t="shared" ca="1" si="291"/>
        <v>-22.21494013698625</v>
      </c>
      <c r="AV1395" s="3">
        <f t="shared" ca="1" si="292"/>
        <v>-22.21494013698625</v>
      </c>
    </row>
    <row r="1396" spans="43:48" x14ac:dyDescent="0.2">
      <c r="AQ1396" s="4">
        <f t="shared" ca="1" si="288"/>
        <v>45744</v>
      </c>
      <c r="AR1396" s="3">
        <f t="shared" ca="1" si="290"/>
        <v>197767.14999999953</v>
      </c>
      <c r="AS1396" s="63">
        <f ca="1">IF($AQ1396&lt;&gt;"", INDEX(Inputs!$B$3:$B$101, MATCH($AQ1396,Inputs!$A$3:$A$101,1)), "")</f>
        <v>4.1000000000000002E-2</v>
      </c>
      <c r="AT1396" s="48">
        <f t="shared" ca="1" si="289"/>
        <v>22.21494013698625</v>
      </c>
      <c r="AU1396" s="3">
        <f t="shared" ca="1" si="291"/>
        <v>-246.25494013698625</v>
      </c>
      <c r="AV1396" s="3">
        <f t="shared" ca="1" si="292"/>
        <v>-246.25494013698625</v>
      </c>
    </row>
    <row r="1397" spans="43:48" x14ac:dyDescent="0.2">
      <c r="AQ1397" s="4">
        <f t="shared" ca="1" si="288"/>
        <v>45745</v>
      </c>
      <c r="AR1397" s="3">
        <f t="shared" ca="1" si="290"/>
        <v>197767.14999999953</v>
      </c>
      <c r="AS1397" s="63">
        <f ca="1">IF($AQ1397&lt;&gt;"", INDEX(Inputs!$B$3:$B$101, MATCH($AQ1397,Inputs!$A$3:$A$101,1)), "")</f>
        <v>4.1000000000000002E-2</v>
      </c>
      <c r="AT1397" s="48">
        <f t="shared" ca="1" si="289"/>
        <v>22.21494013698625</v>
      </c>
      <c r="AU1397" s="3">
        <f t="shared" ca="1" si="291"/>
        <v>-22.21494013698625</v>
      </c>
      <c r="AV1397" s="3">
        <f t="shared" ca="1" si="292"/>
        <v>-22.21494013698625</v>
      </c>
    </row>
    <row r="1398" spans="43:48" x14ac:dyDescent="0.2">
      <c r="AQ1398" s="4">
        <f t="shared" ca="1" si="288"/>
        <v>45746</v>
      </c>
      <c r="AR1398" s="3">
        <f t="shared" ca="1" si="290"/>
        <v>197767.14999999953</v>
      </c>
      <c r="AS1398" s="63">
        <f ca="1">IF($AQ1398&lt;&gt;"", INDEX(Inputs!$B$3:$B$101, MATCH($AQ1398,Inputs!$A$3:$A$101,1)), "")</f>
        <v>4.1000000000000002E-2</v>
      </c>
      <c r="AT1398" s="48">
        <f t="shared" ca="1" si="289"/>
        <v>22.21494013698625</v>
      </c>
      <c r="AU1398" s="3">
        <f t="shared" ca="1" si="291"/>
        <v>-22.21494013698625</v>
      </c>
      <c r="AV1398" s="3">
        <f t="shared" ca="1" si="292"/>
        <v>-22.21494013698625</v>
      </c>
    </row>
    <row r="1399" spans="43:48" x14ac:dyDescent="0.2">
      <c r="AQ1399" s="4">
        <f t="shared" ca="1" si="288"/>
        <v>45747</v>
      </c>
      <c r="AR1399" s="3">
        <f t="shared" ca="1" si="290"/>
        <v>197767.14999999953</v>
      </c>
      <c r="AS1399" s="63">
        <f ca="1">IF($AQ1399&lt;&gt;"", INDEX(Inputs!$B$3:$B$101, MATCH($AQ1399,Inputs!$A$3:$A$101,1)), "")</f>
        <v>4.1000000000000002E-2</v>
      </c>
      <c r="AT1399" s="48">
        <f t="shared" ca="1" si="289"/>
        <v>22.21494013698625</v>
      </c>
      <c r="AU1399" s="3">
        <f t="shared" ca="1" si="291"/>
        <v>-22.21494013698625</v>
      </c>
      <c r="AV1399" s="3">
        <f t="shared" ca="1" si="292"/>
        <v>-22.21494013698625</v>
      </c>
    </row>
    <row r="1400" spans="43:48" x14ac:dyDescent="0.2">
      <c r="AQ1400" s="4">
        <f t="shared" ca="1" si="288"/>
        <v>45748</v>
      </c>
      <c r="AR1400" s="3">
        <f t="shared" ca="1" si="290"/>
        <v>201885.40999999954</v>
      </c>
      <c r="AS1400" s="63">
        <f ca="1">IF($AQ1400&lt;&gt;"", INDEX(Inputs!$B$3:$B$101, MATCH($AQ1400,Inputs!$A$3:$A$101,1)), "")</f>
        <v>4.1000000000000002E-2</v>
      </c>
      <c r="AT1400" s="48">
        <f t="shared" ca="1" si="289"/>
        <v>22.677539205479398</v>
      </c>
      <c r="AU1400" s="3">
        <f t="shared" ca="1" si="291"/>
        <v>-7572.2075392054785</v>
      </c>
      <c r="AV1400" s="3">
        <f t="shared" ca="1" si="292"/>
        <v>-7572.2075392054785</v>
      </c>
    </row>
    <row r="1401" spans="43:48" x14ac:dyDescent="0.2">
      <c r="AQ1401" s="4">
        <f t="shared" ref="AQ1401:AQ1464" ca="1" si="293">IF(AQ1400&lt;$AP$3,AQ1400+1,"")</f>
        <v>45749</v>
      </c>
      <c r="AR1401" s="3">
        <f t="shared" ca="1" si="290"/>
        <v>201885.40999999954</v>
      </c>
      <c r="AS1401" s="63">
        <f ca="1">IF($AQ1401&lt;&gt;"", INDEX(Inputs!$B$3:$B$101, MATCH($AQ1401,Inputs!$A$3:$A$101,1)), "")</f>
        <v>4.1000000000000002E-2</v>
      </c>
      <c r="AT1401" s="48">
        <f t="shared" ref="AT1401:AT1464" ca="1" si="294">IF($AQ1401&lt;&gt;"", AR1401*AS1401/365, "")</f>
        <v>22.677539205479398</v>
      </c>
      <c r="AU1401" s="3">
        <f t="shared" ca="1" si="291"/>
        <v>-22.677539205479398</v>
      </c>
      <c r="AV1401" s="3">
        <f t="shared" ca="1" si="292"/>
        <v>-22.677539205479398</v>
      </c>
    </row>
    <row r="1402" spans="43:48" x14ac:dyDescent="0.2">
      <c r="AQ1402" s="4">
        <f t="shared" ca="1" si="293"/>
        <v>45750</v>
      </c>
      <c r="AR1402" s="3">
        <f t="shared" ca="1" si="290"/>
        <v>201885.40999999954</v>
      </c>
      <c r="AS1402" s="63">
        <f ca="1">IF($AQ1402&lt;&gt;"", INDEX(Inputs!$B$3:$B$101, MATCH($AQ1402,Inputs!$A$3:$A$101,1)), "")</f>
        <v>4.1000000000000002E-2</v>
      </c>
      <c r="AT1402" s="48">
        <f t="shared" ca="1" si="294"/>
        <v>22.677539205479398</v>
      </c>
      <c r="AU1402" s="3">
        <f t="shared" ca="1" si="291"/>
        <v>-22.677539205479398</v>
      </c>
      <c r="AV1402" s="3">
        <f t="shared" ca="1" si="292"/>
        <v>-22.677539205479398</v>
      </c>
    </row>
    <row r="1403" spans="43:48" x14ac:dyDescent="0.2">
      <c r="AQ1403" s="4">
        <f t="shared" ca="1" si="293"/>
        <v>45751</v>
      </c>
      <c r="AR1403" s="3">
        <f t="shared" ca="1" si="290"/>
        <v>201885.40999999954</v>
      </c>
      <c r="AS1403" s="63">
        <f ca="1">IF($AQ1403&lt;&gt;"", INDEX(Inputs!$B$3:$B$101, MATCH($AQ1403,Inputs!$A$3:$A$101,1)), "")</f>
        <v>4.1000000000000002E-2</v>
      </c>
      <c r="AT1403" s="48">
        <f t="shared" ca="1" si="294"/>
        <v>22.677539205479398</v>
      </c>
      <c r="AU1403" s="3">
        <f t="shared" ca="1" si="291"/>
        <v>-22.677539205479398</v>
      </c>
      <c r="AV1403" s="3">
        <f t="shared" ca="1" si="292"/>
        <v>-22.677539205479398</v>
      </c>
    </row>
    <row r="1404" spans="43:48" x14ac:dyDescent="0.2">
      <c r="AQ1404" s="4">
        <f t="shared" ca="1" si="293"/>
        <v>45752</v>
      </c>
      <c r="AR1404" s="3">
        <f t="shared" ca="1" si="290"/>
        <v>201885.40999999954</v>
      </c>
      <c r="AS1404" s="63">
        <f ca="1">IF($AQ1404&lt;&gt;"", INDEX(Inputs!$B$3:$B$101, MATCH($AQ1404,Inputs!$A$3:$A$101,1)), "")</f>
        <v>4.1000000000000002E-2</v>
      </c>
      <c r="AT1404" s="48">
        <f t="shared" ca="1" si="294"/>
        <v>22.677539205479398</v>
      </c>
      <c r="AU1404" s="3">
        <f t="shared" ca="1" si="291"/>
        <v>-22.677539205479398</v>
      </c>
      <c r="AV1404" s="3">
        <f t="shared" ca="1" si="292"/>
        <v>-22.677539205479398</v>
      </c>
    </row>
    <row r="1405" spans="43:48" x14ac:dyDescent="0.2">
      <c r="AQ1405" s="4">
        <f t="shared" ca="1" si="293"/>
        <v>45753</v>
      </c>
      <c r="AR1405" s="3">
        <f t="shared" ca="1" si="290"/>
        <v>201885.40999999954</v>
      </c>
      <c r="AS1405" s="63">
        <f ca="1">IF($AQ1405&lt;&gt;"", INDEX(Inputs!$B$3:$B$101, MATCH($AQ1405,Inputs!$A$3:$A$101,1)), "")</f>
        <v>4.1000000000000002E-2</v>
      </c>
      <c r="AT1405" s="48">
        <f t="shared" ca="1" si="294"/>
        <v>22.677539205479398</v>
      </c>
      <c r="AU1405" s="3">
        <f t="shared" ca="1" si="291"/>
        <v>-22.677539205479398</v>
      </c>
      <c r="AV1405" s="3">
        <f t="shared" ca="1" si="292"/>
        <v>-22.677539205479398</v>
      </c>
    </row>
    <row r="1406" spans="43:48" x14ac:dyDescent="0.2">
      <c r="AQ1406" s="4">
        <f t="shared" ca="1" si="293"/>
        <v>45754</v>
      </c>
      <c r="AR1406" s="3">
        <f t="shared" ca="1" si="290"/>
        <v>201885.40999999954</v>
      </c>
      <c r="AS1406" s="63">
        <f ca="1">IF($AQ1406&lt;&gt;"", INDEX(Inputs!$B$3:$B$101, MATCH($AQ1406,Inputs!$A$3:$A$101,1)), "")</f>
        <v>4.1000000000000002E-2</v>
      </c>
      <c r="AT1406" s="48">
        <f t="shared" ca="1" si="294"/>
        <v>22.677539205479398</v>
      </c>
      <c r="AU1406" s="3">
        <f t="shared" ca="1" si="291"/>
        <v>-22.677539205479398</v>
      </c>
      <c r="AV1406" s="3">
        <f t="shared" ca="1" si="292"/>
        <v>-22.677539205479398</v>
      </c>
    </row>
    <row r="1407" spans="43:48" x14ac:dyDescent="0.2">
      <c r="AQ1407" s="4">
        <f t="shared" ca="1" si="293"/>
        <v>45755</v>
      </c>
      <c r="AR1407" s="3">
        <f t="shared" ca="1" si="290"/>
        <v>201885.40999999954</v>
      </c>
      <c r="AS1407" s="63">
        <f ca="1">IF($AQ1407&lt;&gt;"", INDEX(Inputs!$B$3:$B$101, MATCH($AQ1407,Inputs!$A$3:$A$101,1)), "")</f>
        <v>4.1000000000000002E-2</v>
      </c>
      <c r="AT1407" s="48">
        <f t="shared" ca="1" si="294"/>
        <v>22.677539205479398</v>
      </c>
      <c r="AU1407" s="3">
        <f t="shared" ca="1" si="291"/>
        <v>-22.677539205479398</v>
      </c>
      <c r="AV1407" s="3">
        <f t="shared" ca="1" si="292"/>
        <v>-22.677539205479398</v>
      </c>
    </row>
    <row r="1408" spans="43:48" x14ac:dyDescent="0.2">
      <c r="AQ1408" s="4">
        <f t="shared" ca="1" si="293"/>
        <v>45756</v>
      </c>
      <c r="AR1408" s="3">
        <f t="shared" ca="1" si="290"/>
        <v>201885.40999999954</v>
      </c>
      <c r="AS1408" s="63">
        <f ca="1">IF($AQ1408&lt;&gt;"", INDEX(Inputs!$B$3:$B$101, MATCH($AQ1408,Inputs!$A$3:$A$101,1)), "")</f>
        <v>4.1000000000000002E-2</v>
      </c>
      <c r="AT1408" s="48">
        <f t="shared" ca="1" si="294"/>
        <v>22.677539205479398</v>
      </c>
      <c r="AU1408" s="3">
        <f t="shared" ca="1" si="291"/>
        <v>-22.677539205479398</v>
      </c>
      <c r="AV1408" s="3">
        <f t="shared" ca="1" si="292"/>
        <v>-22.677539205479398</v>
      </c>
    </row>
    <row r="1409" spans="43:48" x14ac:dyDescent="0.2">
      <c r="AQ1409" s="4">
        <f t="shared" ca="1" si="293"/>
        <v>45757</v>
      </c>
      <c r="AR1409" s="3">
        <f t="shared" ca="1" si="290"/>
        <v>201885.40999999954</v>
      </c>
      <c r="AS1409" s="63">
        <f ca="1">IF($AQ1409&lt;&gt;"", INDEX(Inputs!$B$3:$B$101, MATCH($AQ1409,Inputs!$A$3:$A$101,1)), "")</f>
        <v>4.1000000000000002E-2</v>
      </c>
      <c r="AT1409" s="48">
        <f t="shared" ca="1" si="294"/>
        <v>22.677539205479398</v>
      </c>
      <c r="AU1409" s="3">
        <f t="shared" ca="1" si="291"/>
        <v>-22.677539205479398</v>
      </c>
      <c r="AV1409" s="3">
        <f t="shared" ca="1" si="292"/>
        <v>-22.677539205479398</v>
      </c>
    </row>
    <row r="1410" spans="43:48" x14ac:dyDescent="0.2">
      <c r="AQ1410" s="4">
        <f t="shared" ca="1" si="293"/>
        <v>45758</v>
      </c>
      <c r="AR1410" s="3">
        <f t="shared" ca="1" si="290"/>
        <v>201885.40999999954</v>
      </c>
      <c r="AS1410" s="63">
        <f ca="1">IF($AQ1410&lt;&gt;"", INDEX(Inputs!$B$3:$B$101, MATCH($AQ1410,Inputs!$A$3:$A$101,1)), "")</f>
        <v>4.1000000000000002E-2</v>
      </c>
      <c r="AT1410" s="48">
        <f t="shared" ca="1" si="294"/>
        <v>22.677539205479398</v>
      </c>
      <c r="AU1410" s="3">
        <f t="shared" ca="1" si="291"/>
        <v>-22.677539205479398</v>
      </c>
      <c r="AV1410" s="3">
        <f t="shared" ca="1" si="292"/>
        <v>-22.677539205479398</v>
      </c>
    </row>
    <row r="1411" spans="43:48" x14ac:dyDescent="0.2">
      <c r="AQ1411" s="4">
        <f t="shared" ca="1" si="293"/>
        <v>45759</v>
      </c>
      <c r="AR1411" s="3">
        <f t="shared" ca="1" si="290"/>
        <v>201885.40999999954</v>
      </c>
      <c r="AS1411" s="63">
        <f ca="1">IF($AQ1411&lt;&gt;"", INDEX(Inputs!$B$3:$B$101, MATCH($AQ1411,Inputs!$A$3:$A$101,1)), "")</f>
        <v>4.1000000000000002E-2</v>
      </c>
      <c r="AT1411" s="48">
        <f t="shared" ca="1" si="294"/>
        <v>22.677539205479398</v>
      </c>
      <c r="AU1411" s="3">
        <f t="shared" ca="1" si="291"/>
        <v>-22.677539205479398</v>
      </c>
      <c r="AV1411" s="3">
        <f t="shared" ca="1" si="292"/>
        <v>-22.677539205479398</v>
      </c>
    </row>
    <row r="1412" spans="43:48" x14ac:dyDescent="0.2">
      <c r="AQ1412" s="4">
        <f t="shared" ca="1" si="293"/>
        <v>45760</v>
      </c>
      <c r="AR1412" s="3">
        <f t="shared" ca="1" si="290"/>
        <v>201885.40999999954</v>
      </c>
      <c r="AS1412" s="63">
        <f ca="1">IF($AQ1412&lt;&gt;"", INDEX(Inputs!$B$3:$B$101, MATCH($AQ1412,Inputs!$A$3:$A$101,1)), "")</f>
        <v>4.1000000000000002E-2</v>
      </c>
      <c r="AT1412" s="48">
        <f t="shared" ca="1" si="294"/>
        <v>22.677539205479398</v>
      </c>
      <c r="AU1412" s="3">
        <f t="shared" ca="1" si="291"/>
        <v>-22.677539205479398</v>
      </c>
      <c r="AV1412" s="3">
        <f t="shared" ca="1" si="292"/>
        <v>-22.677539205479398</v>
      </c>
    </row>
    <row r="1413" spans="43:48" x14ac:dyDescent="0.2">
      <c r="AQ1413" s="4">
        <f t="shared" ca="1" si="293"/>
        <v>45761</v>
      </c>
      <c r="AR1413" s="3">
        <f t="shared" ca="1" si="290"/>
        <v>202568.79999999955</v>
      </c>
      <c r="AS1413" s="63">
        <f ca="1">IF($AQ1413&lt;&gt;"", INDEX(Inputs!$B$3:$B$101, MATCH($AQ1413,Inputs!$A$3:$A$101,1)), "")</f>
        <v>4.1000000000000002E-2</v>
      </c>
      <c r="AT1413" s="48">
        <f t="shared" ca="1" si="294"/>
        <v>22.754303561643784</v>
      </c>
      <c r="AU1413" s="3">
        <f t="shared" ca="1" si="291"/>
        <v>-3496.3543035616435</v>
      </c>
      <c r="AV1413" s="3">
        <f t="shared" ca="1" si="292"/>
        <v>-3496.3543035616435</v>
      </c>
    </row>
    <row r="1414" spans="43:48" x14ac:dyDescent="0.2">
      <c r="AQ1414" s="4">
        <f t="shared" ca="1" si="293"/>
        <v>45762</v>
      </c>
      <c r="AR1414" s="3">
        <f t="shared" ca="1" si="290"/>
        <v>202568.79999999955</v>
      </c>
      <c r="AS1414" s="63">
        <f ca="1">IF($AQ1414&lt;&gt;"", INDEX(Inputs!$B$3:$B$101, MATCH($AQ1414,Inputs!$A$3:$A$101,1)), "")</f>
        <v>4.1000000000000002E-2</v>
      </c>
      <c r="AT1414" s="48">
        <f t="shared" ca="1" si="294"/>
        <v>22.754303561643784</v>
      </c>
      <c r="AU1414" s="3">
        <f t="shared" ca="1" si="291"/>
        <v>-22.754303561643784</v>
      </c>
      <c r="AV1414" s="3">
        <f t="shared" ca="1" si="292"/>
        <v>-22.754303561643784</v>
      </c>
    </row>
    <row r="1415" spans="43:48" x14ac:dyDescent="0.2">
      <c r="AQ1415" s="4">
        <f t="shared" ca="1" si="293"/>
        <v>45763</v>
      </c>
      <c r="AR1415" s="3">
        <f t="shared" ca="1" si="290"/>
        <v>202568.79999999955</v>
      </c>
      <c r="AS1415" s="63">
        <f ca="1">IF($AQ1415&lt;&gt;"", INDEX(Inputs!$B$3:$B$101, MATCH($AQ1415,Inputs!$A$3:$A$101,1)), "")</f>
        <v>4.1000000000000002E-2</v>
      </c>
      <c r="AT1415" s="48">
        <f t="shared" ca="1" si="294"/>
        <v>22.754303561643784</v>
      </c>
      <c r="AU1415" s="3">
        <f t="shared" ca="1" si="291"/>
        <v>-22.754303561643784</v>
      </c>
      <c r="AV1415" s="3">
        <f t="shared" ca="1" si="292"/>
        <v>-22.754303561643784</v>
      </c>
    </row>
    <row r="1416" spans="43:48" x14ac:dyDescent="0.2">
      <c r="AQ1416" s="4">
        <f t="shared" ca="1" si="293"/>
        <v>45764</v>
      </c>
      <c r="AR1416" s="3">
        <f t="shared" ca="1" si="290"/>
        <v>202568.79999999955</v>
      </c>
      <c r="AS1416" s="63">
        <f ca="1">IF($AQ1416&lt;&gt;"", INDEX(Inputs!$B$3:$B$101, MATCH($AQ1416,Inputs!$A$3:$A$101,1)), "")</f>
        <v>4.1000000000000002E-2</v>
      </c>
      <c r="AT1416" s="48">
        <f t="shared" ca="1" si="294"/>
        <v>22.754303561643784</v>
      </c>
      <c r="AU1416" s="3">
        <f t="shared" ca="1" si="291"/>
        <v>-22.754303561643784</v>
      </c>
      <c r="AV1416" s="3">
        <f t="shared" ca="1" si="292"/>
        <v>-22.754303561643784</v>
      </c>
    </row>
    <row r="1417" spans="43:48" x14ac:dyDescent="0.2">
      <c r="AQ1417" s="4">
        <f t="shared" ca="1" si="293"/>
        <v>45765</v>
      </c>
      <c r="AR1417" s="3">
        <f t="shared" ca="1" si="290"/>
        <v>202568.79999999955</v>
      </c>
      <c r="AS1417" s="63">
        <f ca="1">IF($AQ1417&lt;&gt;"", INDEX(Inputs!$B$3:$B$101, MATCH($AQ1417,Inputs!$A$3:$A$101,1)), "")</f>
        <v>4.1000000000000002E-2</v>
      </c>
      <c r="AT1417" s="48">
        <f t="shared" ca="1" si="294"/>
        <v>22.754303561643784</v>
      </c>
      <c r="AU1417" s="3">
        <f t="shared" ca="1" si="291"/>
        <v>-22.754303561643784</v>
      </c>
      <c r="AV1417" s="3">
        <f t="shared" ca="1" si="292"/>
        <v>-22.754303561643784</v>
      </c>
    </row>
    <row r="1418" spans="43:48" x14ac:dyDescent="0.2">
      <c r="AQ1418" s="4">
        <f t="shared" ca="1" si="293"/>
        <v>45766</v>
      </c>
      <c r="AR1418" s="3">
        <f t="shared" ca="1" si="290"/>
        <v>202568.79999999955</v>
      </c>
      <c r="AS1418" s="63">
        <f ca="1">IF($AQ1418&lt;&gt;"", INDEX(Inputs!$B$3:$B$101, MATCH($AQ1418,Inputs!$A$3:$A$101,1)), "")</f>
        <v>4.1000000000000002E-2</v>
      </c>
      <c r="AT1418" s="48">
        <f t="shared" ca="1" si="294"/>
        <v>22.754303561643784</v>
      </c>
      <c r="AU1418" s="3">
        <f t="shared" ca="1" si="291"/>
        <v>-22.754303561643784</v>
      </c>
      <c r="AV1418" s="3">
        <f t="shared" ca="1" si="292"/>
        <v>-22.754303561643784</v>
      </c>
    </row>
    <row r="1419" spans="43:48" x14ac:dyDescent="0.2">
      <c r="AQ1419" s="4">
        <f t="shared" ca="1" si="293"/>
        <v>45767</v>
      </c>
      <c r="AR1419" s="3">
        <f t="shared" ca="1" si="290"/>
        <v>202568.79999999955</v>
      </c>
      <c r="AS1419" s="63">
        <f ca="1">IF($AQ1419&lt;&gt;"", INDEX(Inputs!$B$3:$B$101, MATCH($AQ1419,Inputs!$A$3:$A$101,1)), "")</f>
        <v>4.1000000000000002E-2</v>
      </c>
      <c r="AT1419" s="48">
        <f t="shared" ca="1" si="294"/>
        <v>22.754303561643784</v>
      </c>
      <c r="AU1419" s="3">
        <f t="shared" ca="1" si="291"/>
        <v>-22.754303561643784</v>
      </c>
      <c r="AV1419" s="3">
        <f t="shared" ca="1" si="292"/>
        <v>-22.754303561643784</v>
      </c>
    </row>
    <row r="1420" spans="43:48" x14ac:dyDescent="0.2">
      <c r="AQ1420" s="4">
        <f t="shared" ca="1" si="293"/>
        <v>45768</v>
      </c>
      <c r="AR1420" s="3">
        <f t="shared" ca="1" si="290"/>
        <v>202568.79999999955</v>
      </c>
      <c r="AS1420" s="63">
        <f ca="1">IF($AQ1420&lt;&gt;"", INDEX(Inputs!$B$3:$B$101, MATCH($AQ1420,Inputs!$A$3:$A$101,1)), "")</f>
        <v>4.1000000000000002E-2</v>
      </c>
      <c r="AT1420" s="48">
        <f t="shared" ca="1" si="294"/>
        <v>22.754303561643784</v>
      </c>
      <c r="AU1420" s="3">
        <f t="shared" ca="1" si="291"/>
        <v>-22.754303561643784</v>
      </c>
      <c r="AV1420" s="3">
        <f t="shared" ca="1" si="292"/>
        <v>-22.754303561643784</v>
      </c>
    </row>
    <row r="1421" spans="43:48" x14ac:dyDescent="0.2">
      <c r="AQ1421" s="4">
        <f t="shared" ca="1" si="293"/>
        <v>45769</v>
      </c>
      <c r="AR1421" s="3">
        <f t="shared" ca="1" si="290"/>
        <v>202568.79999999955</v>
      </c>
      <c r="AS1421" s="63">
        <f ca="1">IF($AQ1421&lt;&gt;"", INDEX(Inputs!$B$3:$B$101, MATCH($AQ1421,Inputs!$A$3:$A$101,1)), "")</f>
        <v>4.1000000000000002E-2</v>
      </c>
      <c r="AT1421" s="48">
        <f t="shared" ca="1" si="294"/>
        <v>22.754303561643784</v>
      </c>
      <c r="AU1421" s="3">
        <f t="shared" ca="1" si="291"/>
        <v>-22.754303561643784</v>
      </c>
      <c r="AV1421" s="3">
        <f t="shared" ca="1" si="292"/>
        <v>-22.754303561643784</v>
      </c>
    </row>
    <row r="1422" spans="43:48" x14ac:dyDescent="0.2">
      <c r="AQ1422" s="4">
        <f t="shared" ca="1" si="293"/>
        <v>45770</v>
      </c>
      <c r="AR1422" s="3">
        <f t="shared" ca="1" si="290"/>
        <v>202568.79999999955</v>
      </c>
      <c r="AS1422" s="63">
        <f ca="1">IF($AQ1422&lt;&gt;"", INDEX(Inputs!$B$3:$B$101, MATCH($AQ1422,Inputs!$A$3:$A$101,1)), "")</f>
        <v>4.1000000000000002E-2</v>
      </c>
      <c r="AT1422" s="48">
        <f t="shared" ca="1" si="294"/>
        <v>22.754303561643784</v>
      </c>
      <c r="AU1422" s="3">
        <f t="shared" ca="1" si="291"/>
        <v>-22.754303561643784</v>
      </c>
      <c r="AV1422" s="3">
        <f t="shared" ca="1" si="292"/>
        <v>-22.754303561643784</v>
      </c>
    </row>
    <row r="1423" spans="43:48" x14ac:dyDescent="0.2">
      <c r="AQ1423" s="4">
        <f t="shared" ca="1" si="293"/>
        <v>45771</v>
      </c>
      <c r="AR1423" s="3">
        <f t="shared" ca="1" si="290"/>
        <v>202568.79999999955</v>
      </c>
      <c r="AS1423" s="63">
        <f ca="1">IF($AQ1423&lt;&gt;"", INDEX(Inputs!$B$3:$B$101, MATCH($AQ1423,Inputs!$A$3:$A$101,1)), "")</f>
        <v>4.1000000000000002E-2</v>
      </c>
      <c r="AT1423" s="48">
        <f t="shared" ca="1" si="294"/>
        <v>22.754303561643784</v>
      </c>
      <c r="AU1423" s="3">
        <f t="shared" ca="1" si="291"/>
        <v>-22.754303561643784</v>
      </c>
      <c r="AV1423" s="3">
        <f t="shared" ca="1" si="292"/>
        <v>-22.754303561643784</v>
      </c>
    </row>
    <row r="1424" spans="43:48" x14ac:dyDescent="0.2">
      <c r="AQ1424" s="4">
        <f t="shared" ca="1" si="293"/>
        <v>45772</v>
      </c>
      <c r="AR1424" s="3">
        <f t="shared" ca="1" si="290"/>
        <v>202568.79999999955</v>
      </c>
      <c r="AS1424" s="63">
        <f ca="1">IF($AQ1424&lt;&gt;"", INDEX(Inputs!$B$3:$B$101, MATCH($AQ1424,Inputs!$A$3:$A$101,1)), "")</f>
        <v>4.1000000000000002E-2</v>
      </c>
      <c r="AT1424" s="48">
        <f t="shared" ca="1" si="294"/>
        <v>22.754303561643784</v>
      </c>
      <c r="AU1424" s="3">
        <f t="shared" ca="1" si="291"/>
        <v>-22.754303561643784</v>
      </c>
      <c r="AV1424" s="3">
        <f t="shared" ca="1" si="292"/>
        <v>-22.754303561643784</v>
      </c>
    </row>
    <row r="1425" spans="43:48" x14ac:dyDescent="0.2">
      <c r="AQ1425" s="4">
        <f t="shared" ca="1" si="293"/>
        <v>45773</v>
      </c>
      <c r="AR1425" s="3">
        <f t="shared" ca="1" si="290"/>
        <v>202568.79999999955</v>
      </c>
      <c r="AS1425" s="63">
        <f ca="1">IF($AQ1425&lt;&gt;"", INDEX(Inputs!$B$3:$B$101, MATCH($AQ1425,Inputs!$A$3:$A$101,1)), "")</f>
        <v>4.1000000000000002E-2</v>
      </c>
      <c r="AT1425" s="48">
        <f t="shared" ca="1" si="294"/>
        <v>22.754303561643784</v>
      </c>
      <c r="AU1425" s="3">
        <f t="shared" ca="1" si="291"/>
        <v>-22.754303561643784</v>
      </c>
      <c r="AV1425" s="3">
        <f t="shared" ca="1" si="292"/>
        <v>-22.754303561643784</v>
      </c>
    </row>
    <row r="1426" spans="43:48" x14ac:dyDescent="0.2">
      <c r="AQ1426" s="4">
        <f t="shared" ca="1" si="293"/>
        <v>45774</v>
      </c>
      <c r="AR1426" s="3">
        <f t="shared" ca="1" si="290"/>
        <v>202568.79999999955</v>
      </c>
      <c r="AS1426" s="63">
        <f ca="1">IF($AQ1426&lt;&gt;"", INDEX(Inputs!$B$3:$B$101, MATCH($AQ1426,Inputs!$A$3:$A$101,1)), "")</f>
        <v>4.1000000000000002E-2</v>
      </c>
      <c r="AT1426" s="48">
        <f t="shared" ca="1" si="294"/>
        <v>22.754303561643784</v>
      </c>
      <c r="AU1426" s="3">
        <f t="shared" ca="1" si="291"/>
        <v>-22.754303561643784</v>
      </c>
      <c r="AV1426" s="3">
        <f t="shared" ca="1" si="292"/>
        <v>-22.754303561643784</v>
      </c>
    </row>
    <row r="1427" spans="43:48" x14ac:dyDescent="0.2">
      <c r="AQ1427" s="4">
        <f t="shared" ca="1" si="293"/>
        <v>45775</v>
      </c>
      <c r="AR1427" s="3">
        <f t="shared" ca="1" si="290"/>
        <v>202568.79999999955</v>
      </c>
      <c r="AS1427" s="63">
        <f ca="1">IF($AQ1427&lt;&gt;"", INDEX(Inputs!$B$3:$B$101, MATCH($AQ1427,Inputs!$A$3:$A$101,1)), "")</f>
        <v>4.1000000000000002E-2</v>
      </c>
      <c r="AT1427" s="48">
        <f t="shared" ca="1" si="294"/>
        <v>22.754303561643784</v>
      </c>
      <c r="AU1427" s="3">
        <f t="shared" ca="1" si="291"/>
        <v>-22.754303561643784</v>
      </c>
      <c r="AV1427" s="3">
        <f t="shared" ca="1" si="292"/>
        <v>-22.754303561643784</v>
      </c>
    </row>
    <row r="1428" spans="43:48" x14ac:dyDescent="0.2">
      <c r="AQ1428" s="4">
        <f t="shared" ca="1" si="293"/>
        <v>45776</v>
      </c>
      <c r="AR1428" s="3">
        <f t="shared" ca="1" si="290"/>
        <v>202568.79999999955</v>
      </c>
      <c r="AS1428" s="63">
        <f ca="1">IF($AQ1428&lt;&gt;"", INDEX(Inputs!$B$3:$B$101, MATCH($AQ1428,Inputs!$A$3:$A$101,1)), "")</f>
        <v>4.1000000000000002E-2</v>
      </c>
      <c r="AT1428" s="48">
        <f t="shared" ca="1" si="294"/>
        <v>22.754303561643784</v>
      </c>
      <c r="AU1428" s="3">
        <f t="shared" ca="1" si="291"/>
        <v>-22.754303561643784</v>
      </c>
      <c r="AV1428" s="3">
        <f t="shared" ca="1" si="292"/>
        <v>-22.754303561643784</v>
      </c>
    </row>
    <row r="1429" spans="43:48" x14ac:dyDescent="0.2">
      <c r="AQ1429" s="4">
        <f t="shared" ca="1" si="293"/>
        <v>45777</v>
      </c>
      <c r="AR1429" s="3">
        <f t="shared" ca="1" si="290"/>
        <v>202568.79999999955</v>
      </c>
      <c r="AS1429" s="63">
        <f ca="1">IF($AQ1429&lt;&gt;"", INDEX(Inputs!$B$3:$B$101, MATCH($AQ1429,Inputs!$A$3:$A$101,1)), "")</f>
        <v>4.1000000000000002E-2</v>
      </c>
      <c r="AT1429" s="48">
        <f t="shared" ca="1" si="294"/>
        <v>22.754303561643784</v>
      </c>
      <c r="AU1429" s="3">
        <f t="shared" ca="1" si="291"/>
        <v>-22.754303561643784</v>
      </c>
      <c r="AV1429" s="3">
        <f t="shared" ca="1" si="292"/>
        <v>-22.754303561643784</v>
      </c>
    </row>
    <row r="1430" spans="43:48" x14ac:dyDescent="0.2">
      <c r="AQ1430" s="4">
        <f t="shared" ca="1" si="293"/>
        <v>45778</v>
      </c>
      <c r="AR1430" s="3">
        <f t="shared" ca="1" si="290"/>
        <v>207085.81999999954</v>
      </c>
      <c r="AS1430" s="63">
        <f ca="1">IF($AQ1430&lt;&gt;"", INDEX(Inputs!$B$3:$B$101, MATCH($AQ1430,Inputs!$A$3:$A$101,1)), "")</f>
        <v>4.1000000000000002E-2</v>
      </c>
      <c r="AT1430" s="48">
        <f t="shared" ca="1" si="294"/>
        <v>23.261694849315017</v>
      </c>
      <c r="AU1430" s="3">
        <f t="shared" ca="1" si="291"/>
        <v>-22607.311694849315</v>
      </c>
      <c r="AV1430" s="3">
        <f t="shared" ca="1" si="292"/>
        <v>-22607.311694849315</v>
      </c>
    </row>
    <row r="1431" spans="43:48" x14ac:dyDescent="0.2">
      <c r="AQ1431" s="4">
        <f t="shared" ca="1" si="293"/>
        <v>45779</v>
      </c>
      <c r="AR1431" s="3">
        <f t="shared" ca="1" si="290"/>
        <v>207085.81999999954</v>
      </c>
      <c r="AS1431" s="63">
        <f ca="1">IF($AQ1431&lt;&gt;"", INDEX(Inputs!$B$3:$B$101, MATCH($AQ1431,Inputs!$A$3:$A$101,1)), "")</f>
        <v>4.1000000000000002E-2</v>
      </c>
      <c r="AT1431" s="48">
        <f t="shared" ca="1" si="294"/>
        <v>23.261694849315017</v>
      </c>
      <c r="AU1431" s="3">
        <f t="shared" ca="1" si="291"/>
        <v>-23.261694849315017</v>
      </c>
      <c r="AV1431" s="3">
        <f t="shared" ca="1" si="292"/>
        <v>-23.261694849315017</v>
      </c>
    </row>
    <row r="1432" spans="43:48" x14ac:dyDescent="0.2">
      <c r="AQ1432" s="4">
        <f t="shared" ca="1" si="293"/>
        <v>45780</v>
      </c>
      <c r="AR1432" s="3">
        <f t="shared" ca="1" si="290"/>
        <v>207085.81999999954</v>
      </c>
      <c r="AS1432" s="63">
        <f ca="1">IF($AQ1432&lt;&gt;"", INDEX(Inputs!$B$3:$B$101, MATCH($AQ1432,Inputs!$A$3:$A$101,1)), "")</f>
        <v>4.1000000000000002E-2</v>
      </c>
      <c r="AT1432" s="48">
        <f t="shared" ca="1" si="294"/>
        <v>23.261694849315017</v>
      </c>
      <c r="AU1432" s="3">
        <f t="shared" ca="1" si="291"/>
        <v>-23.261694849315017</v>
      </c>
      <c r="AV1432" s="3">
        <f t="shared" ca="1" si="292"/>
        <v>-23.261694849315017</v>
      </c>
    </row>
    <row r="1433" spans="43:48" x14ac:dyDescent="0.2">
      <c r="AQ1433" s="4">
        <f t="shared" ca="1" si="293"/>
        <v>45781</v>
      </c>
      <c r="AR1433" s="3">
        <f t="shared" ref="AR1433:AR1496" ca="1" si="295">IF($AQ1433&lt;&gt;"", INDEX($AC$3:$AC$1055, MATCH($AQ1433,$A$3:$A$1055,1)), "")</f>
        <v>207085.81999999954</v>
      </c>
      <c r="AS1433" s="63">
        <f ca="1">IF($AQ1433&lt;&gt;"", INDEX(Inputs!$B$3:$B$101, MATCH($AQ1433,Inputs!$A$3:$A$101,1)), "")</f>
        <v>4.1000000000000002E-2</v>
      </c>
      <c r="AT1433" s="48">
        <f t="shared" ca="1" si="294"/>
        <v>23.261694849315017</v>
      </c>
      <c r="AU1433" s="3">
        <f t="shared" ref="AU1433:AU1496" ca="1" si="296">IF($AQ1433&lt;&gt;"", SUMIFS($AL$3:$AL$1054, $A$3:$A$1054,$AQ1433) + SUMIFS($M$3:$M$1054, $A$3:$A$1054,$AQ1433)*IFERROR(AVERAGEIFS($L$3:$L$1054, $A$3:$A$1054,$AQ1433, $M$3:$M$1054,"&gt;0"),0) - AT1433, "")</f>
        <v>-23.261694849315017</v>
      </c>
      <c r="AV1433" s="3">
        <f t="shared" ca="1" si="292"/>
        <v>-23.261694849315017</v>
      </c>
    </row>
    <row r="1434" spans="43:48" x14ac:dyDescent="0.2">
      <c r="AQ1434" s="4">
        <f t="shared" ca="1" si="293"/>
        <v>45782</v>
      </c>
      <c r="AR1434" s="3">
        <f t="shared" ca="1" si="295"/>
        <v>207085.81999999954</v>
      </c>
      <c r="AS1434" s="63">
        <f ca="1">IF($AQ1434&lt;&gt;"", INDEX(Inputs!$B$3:$B$101, MATCH($AQ1434,Inputs!$A$3:$A$101,1)), "")</f>
        <v>4.1000000000000002E-2</v>
      </c>
      <c r="AT1434" s="48">
        <f t="shared" ca="1" si="294"/>
        <v>23.261694849315017</v>
      </c>
      <c r="AU1434" s="3">
        <f t="shared" ca="1" si="296"/>
        <v>-23.261694849315017</v>
      </c>
      <c r="AV1434" s="3">
        <f t="shared" ca="1" si="292"/>
        <v>-23.261694849315017</v>
      </c>
    </row>
    <row r="1435" spans="43:48" x14ac:dyDescent="0.2">
      <c r="AQ1435" s="4">
        <f t="shared" ca="1" si="293"/>
        <v>45783</v>
      </c>
      <c r="AR1435" s="3">
        <f t="shared" ca="1" si="295"/>
        <v>207085.81999999954</v>
      </c>
      <c r="AS1435" s="63">
        <f ca="1">IF($AQ1435&lt;&gt;"", INDEX(Inputs!$B$3:$B$101, MATCH($AQ1435,Inputs!$A$3:$A$101,1)), "")</f>
        <v>4.1000000000000002E-2</v>
      </c>
      <c r="AT1435" s="48">
        <f t="shared" ca="1" si="294"/>
        <v>23.261694849315017</v>
      </c>
      <c r="AU1435" s="3">
        <f t="shared" ca="1" si="296"/>
        <v>-23.261694849315017</v>
      </c>
      <c r="AV1435" s="3">
        <f t="shared" ca="1" si="292"/>
        <v>-23.261694849315017</v>
      </c>
    </row>
    <row r="1436" spans="43:48" x14ac:dyDescent="0.2">
      <c r="AQ1436" s="4">
        <f t="shared" ca="1" si="293"/>
        <v>45784</v>
      </c>
      <c r="AR1436" s="3">
        <f t="shared" ca="1" si="295"/>
        <v>207085.81999999954</v>
      </c>
      <c r="AS1436" s="63">
        <f ca="1">IF($AQ1436&lt;&gt;"", INDEX(Inputs!$B$3:$B$101, MATCH($AQ1436,Inputs!$A$3:$A$101,1)), "")</f>
        <v>4.1000000000000002E-2</v>
      </c>
      <c r="AT1436" s="48">
        <f t="shared" ca="1" si="294"/>
        <v>23.261694849315017</v>
      </c>
      <c r="AU1436" s="3">
        <f t="shared" ca="1" si="296"/>
        <v>-23.261694849315017</v>
      </c>
      <c r="AV1436" s="3">
        <f t="shared" ca="1" si="292"/>
        <v>-23.261694849315017</v>
      </c>
    </row>
    <row r="1437" spans="43:48" x14ac:dyDescent="0.2">
      <c r="AQ1437" s="4">
        <f t="shared" ca="1" si="293"/>
        <v>45785</v>
      </c>
      <c r="AR1437" s="3">
        <f t="shared" ca="1" si="295"/>
        <v>207085.81999999954</v>
      </c>
      <c r="AS1437" s="63">
        <f ca="1">IF($AQ1437&lt;&gt;"", INDEX(Inputs!$B$3:$B$101, MATCH($AQ1437,Inputs!$A$3:$A$101,1)), "")</f>
        <v>4.1000000000000002E-2</v>
      </c>
      <c r="AT1437" s="48">
        <f t="shared" ca="1" si="294"/>
        <v>23.261694849315017</v>
      </c>
      <c r="AU1437" s="3">
        <f t="shared" ca="1" si="296"/>
        <v>-23.261694849315017</v>
      </c>
      <c r="AV1437" s="3">
        <f t="shared" ca="1" si="292"/>
        <v>-23.261694849315017</v>
      </c>
    </row>
    <row r="1438" spans="43:48" x14ac:dyDescent="0.2">
      <c r="AQ1438" s="4">
        <f t="shared" ca="1" si="293"/>
        <v>45786</v>
      </c>
      <c r="AR1438" s="3">
        <f t="shared" ca="1" si="295"/>
        <v>207085.81999999954</v>
      </c>
      <c r="AS1438" s="63">
        <f ca="1">IF($AQ1438&lt;&gt;"", INDEX(Inputs!$B$3:$B$101, MATCH($AQ1438,Inputs!$A$3:$A$101,1)), "")</f>
        <v>4.1000000000000002E-2</v>
      </c>
      <c r="AT1438" s="48">
        <f t="shared" ca="1" si="294"/>
        <v>23.261694849315017</v>
      </c>
      <c r="AU1438" s="3">
        <f t="shared" ca="1" si="296"/>
        <v>-23.261694849315017</v>
      </c>
      <c r="AV1438" s="3">
        <f t="shared" ca="1" si="292"/>
        <v>-23.261694849315017</v>
      </c>
    </row>
    <row r="1439" spans="43:48" x14ac:dyDescent="0.2">
      <c r="AQ1439" s="4">
        <f t="shared" ca="1" si="293"/>
        <v>45787</v>
      </c>
      <c r="AR1439" s="3">
        <f t="shared" ca="1" si="295"/>
        <v>207085.81999999954</v>
      </c>
      <c r="AS1439" s="63">
        <f ca="1">IF($AQ1439&lt;&gt;"", INDEX(Inputs!$B$3:$B$101, MATCH($AQ1439,Inputs!$A$3:$A$101,1)), "")</f>
        <v>4.1000000000000002E-2</v>
      </c>
      <c r="AT1439" s="48">
        <f t="shared" ca="1" si="294"/>
        <v>23.261694849315017</v>
      </c>
      <c r="AU1439" s="3">
        <f t="shared" ca="1" si="296"/>
        <v>-23.261694849315017</v>
      </c>
      <c r="AV1439" s="3">
        <f t="shared" ca="1" si="292"/>
        <v>-23.261694849315017</v>
      </c>
    </row>
    <row r="1440" spans="43:48" x14ac:dyDescent="0.2">
      <c r="AQ1440" s="4">
        <f t="shared" ca="1" si="293"/>
        <v>45788</v>
      </c>
      <c r="AR1440" s="3">
        <f t="shared" ca="1" si="295"/>
        <v>207085.81999999954</v>
      </c>
      <c r="AS1440" s="63">
        <f ca="1">IF($AQ1440&lt;&gt;"", INDEX(Inputs!$B$3:$B$101, MATCH($AQ1440,Inputs!$A$3:$A$101,1)), "")</f>
        <v>4.1000000000000002E-2</v>
      </c>
      <c r="AT1440" s="48">
        <f t="shared" ca="1" si="294"/>
        <v>23.261694849315017</v>
      </c>
      <c r="AU1440" s="3">
        <f t="shared" ca="1" si="296"/>
        <v>-23.261694849315017</v>
      </c>
      <c r="AV1440" s="3">
        <f t="shared" ref="AV1440:AV1503" ca="1" si="297">IF(AQ1440&lt;&gt;"", AU1440*(1+$X$9/CompoundingRate)^-((AQ1440-AQ$3)/(365/CompoundingRate)), "")</f>
        <v>-23.261694849315017</v>
      </c>
    </row>
    <row r="1441" spans="43:48" x14ac:dyDescent="0.2">
      <c r="AQ1441" s="4">
        <f t="shared" ca="1" si="293"/>
        <v>45789</v>
      </c>
      <c r="AR1441" s="3">
        <f t="shared" ca="1" si="295"/>
        <v>209290.83999999956</v>
      </c>
      <c r="AS1441" s="63">
        <f ca="1">IF($AQ1441&lt;&gt;"", INDEX(Inputs!$B$3:$B$101, MATCH($AQ1441,Inputs!$A$3:$A$101,1)), "")</f>
        <v>4.1000000000000002E-2</v>
      </c>
      <c r="AT1441" s="48">
        <f t="shared" ca="1" si="294"/>
        <v>23.509382027397212</v>
      </c>
      <c r="AU1441" s="3">
        <f t="shared" ca="1" si="296"/>
        <v>-3497.1093820273973</v>
      </c>
      <c r="AV1441" s="3">
        <f t="shared" ca="1" si="297"/>
        <v>-3497.1093820273973</v>
      </c>
    </row>
    <row r="1442" spans="43:48" x14ac:dyDescent="0.2">
      <c r="AQ1442" s="4">
        <f t="shared" ca="1" si="293"/>
        <v>45790</v>
      </c>
      <c r="AR1442" s="3">
        <f t="shared" ca="1" si="295"/>
        <v>209290.83999999956</v>
      </c>
      <c r="AS1442" s="63">
        <f ca="1">IF($AQ1442&lt;&gt;"", INDEX(Inputs!$B$3:$B$101, MATCH($AQ1442,Inputs!$A$3:$A$101,1)), "")</f>
        <v>4.1000000000000002E-2</v>
      </c>
      <c r="AT1442" s="48">
        <f t="shared" ca="1" si="294"/>
        <v>23.509382027397212</v>
      </c>
      <c r="AU1442" s="3">
        <f t="shared" ca="1" si="296"/>
        <v>-23.509382027397212</v>
      </c>
      <c r="AV1442" s="3">
        <f t="shared" ca="1" si="297"/>
        <v>-23.509382027397212</v>
      </c>
    </row>
    <row r="1443" spans="43:48" x14ac:dyDescent="0.2">
      <c r="AQ1443" s="4">
        <f t="shared" ca="1" si="293"/>
        <v>45791</v>
      </c>
      <c r="AR1443" s="3">
        <f t="shared" ca="1" si="295"/>
        <v>209290.83999999956</v>
      </c>
      <c r="AS1443" s="63">
        <f ca="1">IF($AQ1443&lt;&gt;"", INDEX(Inputs!$B$3:$B$101, MATCH($AQ1443,Inputs!$A$3:$A$101,1)), "")</f>
        <v>4.1000000000000002E-2</v>
      </c>
      <c r="AT1443" s="48">
        <f t="shared" ca="1" si="294"/>
        <v>23.509382027397212</v>
      </c>
      <c r="AU1443" s="3">
        <f t="shared" ca="1" si="296"/>
        <v>-23.509382027397212</v>
      </c>
      <c r="AV1443" s="3">
        <f t="shared" ca="1" si="297"/>
        <v>-23.509382027397212</v>
      </c>
    </row>
    <row r="1444" spans="43:48" x14ac:dyDescent="0.2">
      <c r="AQ1444" s="4">
        <f t="shared" ca="1" si="293"/>
        <v>45792</v>
      </c>
      <c r="AR1444" s="3">
        <f t="shared" ca="1" si="295"/>
        <v>209290.83999999956</v>
      </c>
      <c r="AS1444" s="63">
        <f ca="1">IF($AQ1444&lt;&gt;"", INDEX(Inputs!$B$3:$B$101, MATCH($AQ1444,Inputs!$A$3:$A$101,1)), "")</f>
        <v>4.1000000000000002E-2</v>
      </c>
      <c r="AT1444" s="48">
        <f t="shared" ca="1" si="294"/>
        <v>23.509382027397212</v>
      </c>
      <c r="AU1444" s="3">
        <f t="shared" ca="1" si="296"/>
        <v>-23.509382027397212</v>
      </c>
      <c r="AV1444" s="3">
        <f t="shared" ca="1" si="297"/>
        <v>-23.509382027397212</v>
      </c>
    </row>
    <row r="1445" spans="43:48" x14ac:dyDescent="0.2">
      <c r="AQ1445" s="4">
        <f t="shared" ca="1" si="293"/>
        <v>45793</v>
      </c>
      <c r="AR1445" s="3">
        <f t="shared" ca="1" si="295"/>
        <v>209290.83999999956</v>
      </c>
      <c r="AS1445" s="63">
        <f ca="1">IF($AQ1445&lt;&gt;"", INDEX(Inputs!$B$3:$B$101, MATCH($AQ1445,Inputs!$A$3:$A$101,1)), "")</f>
        <v>4.1000000000000002E-2</v>
      </c>
      <c r="AT1445" s="48">
        <f t="shared" ca="1" si="294"/>
        <v>23.509382027397212</v>
      </c>
      <c r="AU1445" s="3">
        <f t="shared" ca="1" si="296"/>
        <v>-23.509382027397212</v>
      </c>
      <c r="AV1445" s="3">
        <f t="shared" ca="1" si="297"/>
        <v>-23.509382027397212</v>
      </c>
    </row>
    <row r="1446" spans="43:48" x14ac:dyDescent="0.2">
      <c r="AQ1446" s="4">
        <f t="shared" ca="1" si="293"/>
        <v>45794</v>
      </c>
      <c r="AR1446" s="3">
        <f t="shared" ca="1" si="295"/>
        <v>209290.83999999956</v>
      </c>
      <c r="AS1446" s="63">
        <f ca="1">IF($AQ1446&lt;&gt;"", INDEX(Inputs!$B$3:$B$101, MATCH($AQ1446,Inputs!$A$3:$A$101,1)), "")</f>
        <v>4.1000000000000002E-2</v>
      </c>
      <c r="AT1446" s="48">
        <f t="shared" ca="1" si="294"/>
        <v>23.509382027397212</v>
      </c>
      <c r="AU1446" s="3">
        <f t="shared" ca="1" si="296"/>
        <v>-23.509382027397212</v>
      </c>
      <c r="AV1446" s="3">
        <f t="shared" ca="1" si="297"/>
        <v>-23.509382027397212</v>
      </c>
    </row>
    <row r="1447" spans="43:48" x14ac:dyDescent="0.2">
      <c r="AQ1447" s="4">
        <f t="shared" ca="1" si="293"/>
        <v>45795</v>
      </c>
      <c r="AR1447" s="3">
        <f t="shared" ca="1" si="295"/>
        <v>209290.83999999956</v>
      </c>
      <c r="AS1447" s="63">
        <f ca="1">IF($AQ1447&lt;&gt;"", INDEX(Inputs!$B$3:$B$101, MATCH($AQ1447,Inputs!$A$3:$A$101,1)), "")</f>
        <v>4.1000000000000002E-2</v>
      </c>
      <c r="AT1447" s="48">
        <f t="shared" ca="1" si="294"/>
        <v>23.509382027397212</v>
      </c>
      <c r="AU1447" s="3">
        <f t="shared" ca="1" si="296"/>
        <v>-23.509382027397212</v>
      </c>
      <c r="AV1447" s="3">
        <f t="shared" ca="1" si="297"/>
        <v>-23.509382027397212</v>
      </c>
    </row>
    <row r="1448" spans="43:48" x14ac:dyDescent="0.2">
      <c r="AQ1448" s="4">
        <f t="shared" ca="1" si="293"/>
        <v>45796</v>
      </c>
      <c r="AR1448" s="3">
        <f t="shared" ca="1" si="295"/>
        <v>209290.83999999956</v>
      </c>
      <c r="AS1448" s="63">
        <f ca="1">IF($AQ1448&lt;&gt;"", INDEX(Inputs!$B$3:$B$101, MATCH($AQ1448,Inputs!$A$3:$A$101,1)), "")</f>
        <v>4.1000000000000002E-2</v>
      </c>
      <c r="AT1448" s="48">
        <f t="shared" ca="1" si="294"/>
        <v>23.509382027397212</v>
      </c>
      <c r="AU1448" s="3">
        <f t="shared" ca="1" si="296"/>
        <v>-23.509382027397212</v>
      </c>
      <c r="AV1448" s="3">
        <f t="shared" ca="1" si="297"/>
        <v>-23.509382027397212</v>
      </c>
    </row>
    <row r="1449" spans="43:48" x14ac:dyDescent="0.2">
      <c r="AQ1449" s="4">
        <f t="shared" ca="1" si="293"/>
        <v>45797</v>
      </c>
      <c r="AR1449" s="3">
        <f t="shared" ca="1" si="295"/>
        <v>209290.83999999956</v>
      </c>
      <c r="AS1449" s="63">
        <f ca="1">IF($AQ1449&lt;&gt;"", INDEX(Inputs!$B$3:$B$101, MATCH($AQ1449,Inputs!$A$3:$A$101,1)), "")</f>
        <v>4.1000000000000002E-2</v>
      </c>
      <c r="AT1449" s="48">
        <f t="shared" ca="1" si="294"/>
        <v>23.509382027397212</v>
      </c>
      <c r="AU1449" s="3">
        <f t="shared" ca="1" si="296"/>
        <v>-23.509382027397212</v>
      </c>
      <c r="AV1449" s="3">
        <f t="shared" ca="1" si="297"/>
        <v>-23.509382027397212</v>
      </c>
    </row>
    <row r="1450" spans="43:48" x14ac:dyDescent="0.2">
      <c r="AQ1450" s="4">
        <f t="shared" ca="1" si="293"/>
        <v>45798</v>
      </c>
      <c r="AR1450" s="3">
        <f t="shared" ca="1" si="295"/>
        <v>209290.83999999956</v>
      </c>
      <c r="AS1450" s="63">
        <f ca="1">IF($AQ1450&lt;&gt;"", INDEX(Inputs!$B$3:$B$101, MATCH($AQ1450,Inputs!$A$3:$A$101,1)), "")</f>
        <v>3.85E-2</v>
      </c>
      <c r="AT1450" s="48">
        <f t="shared" ca="1" si="294"/>
        <v>22.075883123287625</v>
      </c>
      <c r="AU1450" s="3">
        <f t="shared" ca="1" si="296"/>
        <v>-22.075883123287625</v>
      </c>
      <c r="AV1450" s="3">
        <f t="shared" ca="1" si="297"/>
        <v>-22.075883123287625</v>
      </c>
    </row>
    <row r="1451" spans="43:48" x14ac:dyDescent="0.2">
      <c r="AQ1451" s="4">
        <f t="shared" ca="1" si="293"/>
        <v>45799</v>
      </c>
      <c r="AR1451" s="3">
        <f t="shared" ca="1" si="295"/>
        <v>209290.83999999956</v>
      </c>
      <c r="AS1451" s="63">
        <f ca="1">IF($AQ1451&lt;&gt;"", INDEX(Inputs!$B$3:$B$101, MATCH($AQ1451,Inputs!$A$3:$A$101,1)), "")</f>
        <v>3.85E-2</v>
      </c>
      <c r="AT1451" s="48">
        <f t="shared" ca="1" si="294"/>
        <v>22.075883123287625</v>
      </c>
      <c r="AU1451" s="3">
        <f t="shared" ca="1" si="296"/>
        <v>-22.075883123287625</v>
      </c>
      <c r="AV1451" s="3">
        <f t="shared" ca="1" si="297"/>
        <v>-22.075883123287625</v>
      </c>
    </row>
    <row r="1452" spans="43:48" x14ac:dyDescent="0.2">
      <c r="AQ1452" s="4">
        <f t="shared" ca="1" si="293"/>
        <v>45800</v>
      </c>
      <c r="AR1452" s="3">
        <f t="shared" ca="1" si="295"/>
        <v>209290.83999999956</v>
      </c>
      <c r="AS1452" s="63">
        <f ca="1">IF($AQ1452&lt;&gt;"", INDEX(Inputs!$B$3:$B$101, MATCH($AQ1452,Inputs!$A$3:$A$101,1)), "")</f>
        <v>3.85E-2</v>
      </c>
      <c r="AT1452" s="48">
        <f t="shared" ca="1" si="294"/>
        <v>22.075883123287625</v>
      </c>
      <c r="AU1452" s="3">
        <f t="shared" ca="1" si="296"/>
        <v>-22.075883123287625</v>
      </c>
      <c r="AV1452" s="3">
        <f t="shared" ca="1" si="297"/>
        <v>-22.075883123287625</v>
      </c>
    </row>
    <row r="1453" spans="43:48" x14ac:dyDescent="0.2">
      <c r="AQ1453" s="4">
        <f t="shared" ca="1" si="293"/>
        <v>45801</v>
      </c>
      <c r="AR1453" s="3">
        <f t="shared" ca="1" si="295"/>
        <v>209290.83999999956</v>
      </c>
      <c r="AS1453" s="63">
        <f ca="1">IF($AQ1453&lt;&gt;"", INDEX(Inputs!$B$3:$B$101, MATCH($AQ1453,Inputs!$A$3:$A$101,1)), "")</f>
        <v>3.85E-2</v>
      </c>
      <c r="AT1453" s="48">
        <f t="shared" ca="1" si="294"/>
        <v>22.075883123287625</v>
      </c>
      <c r="AU1453" s="3">
        <f t="shared" ca="1" si="296"/>
        <v>-22.075883123287625</v>
      </c>
      <c r="AV1453" s="3">
        <f t="shared" ca="1" si="297"/>
        <v>-22.075883123287625</v>
      </c>
    </row>
    <row r="1454" spans="43:48" x14ac:dyDescent="0.2">
      <c r="AQ1454" s="4">
        <f t="shared" ca="1" si="293"/>
        <v>45802</v>
      </c>
      <c r="AR1454" s="3">
        <f t="shared" ca="1" si="295"/>
        <v>209290.83999999956</v>
      </c>
      <c r="AS1454" s="63">
        <f ca="1">IF($AQ1454&lt;&gt;"", INDEX(Inputs!$B$3:$B$101, MATCH($AQ1454,Inputs!$A$3:$A$101,1)), "")</f>
        <v>3.85E-2</v>
      </c>
      <c r="AT1454" s="48">
        <f t="shared" ca="1" si="294"/>
        <v>22.075883123287625</v>
      </c>
      <c r="AU1454" s="3">
        <f t="shared" ca="1" si="296"/>
        <v>-22.075883123287625</v>
      </c>
      <c r="AV1454" s="3">
        <f t="shared" ca="1" si="297"/>
        <v>-22.075883123287625</v>
      </c>
    </row>
    <row r="1455" spans="43:48" x14ac:dyDescent="0.2">
      <c r="AQ1455" s="4">
        <f t="shared" ca="1" si="293"/>
        <v>45803</v>
      </c>
      <c r="AR1455" s="3">
        <f t="shared" ca="1" si="295"/>
        <v>209290.83999999956</v>
      </c>
      <c r="AS1455" s="63">
        <f ca="1">IF($AQ1455&lt;&gt;"", INDEX(Inputs!$B$3:$B$101, MATCH($AQ1455,Inputs!$A$3:$A$101,1)), "")</f>
        <v>3.85E-2</v>
      </c>
      <c r="AT1455" s="48">
        <f t="shared" ca="1" si="294"/>
        <v>22.075883123287625</v>
      </c>
      <c r="AU1455" s="3">
        <f t="shared" ca="1" si="296"/>
        <v>-22.075883123287625</v>
      </c>
      <c r="AV1455" s="3">
        <f t="shared" ca="1" si="297"/>
        <v>-22.075883123287625</v>
      </c>
    </row>
    <row r="1456" spans="43:48" x14ac:dyDescent="0.2">
      <c r="AQ1456" s="4">
        <f t="shared" ca="1" si="293"/>
        <v>45804</v>
      </c>
      <c r="AR1456" s="3">
        <f t="shared" ca="1" si="295"/>
        <v>209290.83999999956</v>
      </c>
      <c r="AS1456" s="63">
        <f ca="1">IF($AQ1456&lt;&gt;"", INDEX(Inputs!$B$3:$B$101, MATCH($AQ1456,Inputs!$A$3:$A$101,1)), "")</f>
        <v>3.85E-2</v>
      </c>
      <c r="AT1456" s="48">
        <f t="shared" ca="1" si="294"/>
        <v>22.075883123287625</v>
      </c>
      <c r="AU1456" s="3">
        <f t="shared" ca="1" si="296"/>
        <v>-22.075883123287625</v>
      </c>
      <c r="AV1456" s="3">
        <f t="shared" ca="1" si="297"/>
        <v>-22.075883123287625</v>
      </c>
    </row>
    <row r="1457" spans="43:48" x14ac:dyDescent="0.2">
      <c r="AQ1457" s="4">
        <f t="shared" ca="1" si="293"/>
        <v>45805</v>
      </c>
      <c r="AR1457" s="3">
        <f t="shared" ca="1" si="295"/>
        <v>209290.83999999956</v>
      </c>
      <c r="AS1457" s="63">
        <f ca="1">IF($AQ1457&lt;&gt;"", INDEX(Inputs!$B$3:$B$101, MATCH($AQ1457,Inputs!$A$3:$A$101,1)), "")</f>
        <v>3.85E-2</v>
      </c>
      <c r="AT1457" s="48">
        <f t="shared" ca="1" si="294"/>
        <v>22.075883123287625</v>
      </c>
      <c r="AU1457" s="3">
        <f t="shared" ca="1" si="296"/>
        <v>-22.075883123287625</v>
      </c>
      <c r="AV1457" s="3">
        <f t="shared" ca="1" si="297"/>
        <v>-22.075883123287625</v>
      </c>
    </row>
    <row r="1458" spans="43:48" x14ac:dyDescent="0.2">
      <c r="AQ1458" s="4">
        <f t="shared" ca="1" si="293"/>
        <v>45806</v>
      </c>
      <c r="AR1458" s="3">
        <f t="shared" ca="1" si="295"/>
        <v>209290.83999999956</v>
      </c>
      <c r="AS1458" s="63">
        <f ca="1">IF($AQ1458&lt;&gt;"", INDEX(Inputs!$B$3:$B$101, MATCH($AQ1458,Inputs!$A$3:$A$101,1)), "")</f>
        <v>3.85E-2</v>
      </c>
      <c r="AT1458" s="48">
        <f t="shared" ca="1" si="294"/>
        <v>22.075883123287625</v>
      </c>
      <c r="AU1458" s="3">
        <f t="shared" ca="1" si="296"/>
        <v>-22.075883123287625</v>
      </c>
      <c r="AV1458" s="3">
        <f t="shared" ca="1" si="297"/>
        <v>-22.075883123287625</v>
      </c>
    </row>
    <row r="1459" spans="43:48" x14ac:dyDescent="0.2">
      <c r="AQ1459" s="4">
        <f t="shared" ca="1" si="293"/>
        <v>45807</v>
      </c>
      <c r="AR1459" s="3">
        <f t="shared" ca="1" si="295"/>
        <v>209290.83999999956</v>
      </c>
      <c r="AS1459" s="63">
        <f ca="1">IF($AQ1459&lt;&gt;"", INDEX(Inputs!$B$3:$B$101, MATCH($AQ1459,Inputs!$A$3:$A$101,1)), "")</f>
        <v>3.85E-2</v>
      </c>
      <c r="AT1459" s="48">
        <f t="shared" ca="1" si="294"/>
        <v>22.075883123287625</v>
      </c>
      <c r="AU1459" s="3">
        <f t="shared" ca="1" si="296"/>
        <v>-22.075883123287625</v>
      </c>
      <c r="AV1459" s="3">
        <f t="shared" ca="1" si="297"/>
        <v>-22.075883123287625</v>
      </c>
    </row>
    <row r="1460" spans="43:48" x14ac:dyDescent="0.2">
      <c r="AQ1460" s="4">
        <f t="shared" ca="1" si="293"/>
        <v>45808</v>
      </c>
      <c r="AR1460" s="3">
        <f t="shared" ca="1" si="295"/>
        <v>209290.83999999956</v>
      </c>
      <c r="AS1460" s="63">
        <f ca="1">IF($AQ1460&lt;&gt;"", INDEX(Inputs!$B$3:$B$101, MATCH($AQ1460,Inputs!$A$3:$A$101,1)), "")</f>
        <v>3.85E-2</v>
      </c>
      <c r="AT1460" s="48">
        <f t="shared" ca="1" si="294"/>
        <v>22.075883123287625</v>
      </c>
      <c r="AU1460" s="3">
        <f t="shared" ca="1" si="296"/>
        <v>-22.075883123287625</v>
      </c>
      <c r="AV1460" s="3">
        <f t="shared" ca="1" si="297"/>
        <v>-22.075883123287625</v>
      </c>
    </row>
    <row r="1461" spans="43:48" x14ac:dyDescent="0.2">
      <c r="AQ1461" s="4">
        <f t="shared" ca="1" si="293"/>
        <v>45809</v>
      </c>
      <c r="AR1461" s="3">
        <f t="shared" ca="1" si="295"/>
        <v>209290.83999999956</v>
      </c>
      <c r="AS1461" s="63">
        <f ca="1">IF($AQ1461&lt;&gt;"", INDEX(Inputs!$B$3:$B$101, MATCH($AQ1461,Inputs!$A$3:$A$101,1)), "")</f>
        <v>3.85E-2</v>
      </c>
      <c r="AT1461" s="48">
        <f t="shared" ca="1" si="294"/>
        <v>22.075883123287625</v>
      </c>
      <c r="AU1461" s="3">
        <f t="shared" ca="1" si="296"/>
        <v>-22.075883123287625</v>
      </c>
      <c r="AV1461" s="3">
        <f t="shared" ca="1" si="297"/>
        <v>-22.075883123287625</v>
      </c>
    </row>
    <row r="1462" spans="43:48" x14ac:dyDescent="0.2">
      <c r="AQ1462" s="4">
        <f t="shared" ca="1" si="293"/>
        <v>45810</v>
      </c>
      <c r="AR1462" s="3">
        <f t="shared" ca="1" si="295"/>
        <v>213171.00999999957</v>
      </c>
      <c r="AS1462" s="63">
        <f ca="1">IF($AQ1462&lt;&gt;"", INDEX(Inputs!$B$3:$B$101, MATCH($AQ1462,Inputs!$A$3:$A$101,1)), "")</f>
        <v>3.85E-2</v>
      </c>
      <c r="AT1462" s="48">
        <f t="shared" ca="1" si="294"/>
        <v>22.485161328767077</v>
      </c>
      <c r="AU1462" s="3">
        <f t="shared" ca="1" si="296"/>
        <v>-7534.0151613287662</v>
      </c>
      <c r="AV1462" s="3">
        <f t="shared" ca="1" si="297"/>
        <v>-7534.0151613287662</v>
      </c>
    </row>
    <row r="1463" spans="43:48" x14ac:dyDescent="0.2">
      <c r="AQ1463" s="4">
        <f t="shared" ca="1" si="293"/>
        <v>45811</v>
      </c>
      <c r="AR1463" s="3">
        <f t="shared" ca="1" si="295"/>
        <v>213171.00999999957</v>
      </c>
      <c r="AS1463" s="63">
        <f ca="1">IF($AQ1463&lt;&gt;"", INDEX(Inputs!$B$3:$B$101, MATCH($AQ1463,Inputs!$A$3:$A$101,1)), "")</f>
        <v>3.85E-2</v>
      </c>
      <c r="AT1463" s="48">
        <f t="shared" ca="1" si="294"/>
        <v>22.485161328767077</v>
      </c>
      <c r="AU1463" s="3">
        <f t="shared" ca="1" si="296"/>
        <v>-22.485161328767077</v>
      </c>
      <c r="AV1463" s="3">
        <f t="shared" ca="1" si="297"/>
        <v>-22.485161328767077</v>
      </c>
    </row>
    <row r="1464" spans="43:48" x14ac:dyDescent="0.2">
      <c r="AQ1464" s="4">
        <f t="shared" ca="1" si="293"/>
        <v>45812</v>
      </c>
      <c r="AR1464" s="3">
        <f t="shared" ca="1" si="295"/>
        <v>213171.00999999957</v>
      </c>
      <c r="AS1464" s="63">
        <f ca="1">IF($AQ1464&lt;&gt;"", INDEX(Inputs!$B$3:$B$101, MATCH($AQ1464,Inputs!$A$3:$A$101,1)), "")</f>
        <v>3.85E-2</v>
      </c>
      <c r="AT1464" s="48">
        <f t="shared" ca="1" si="294"/>
        <v>22.485161328767077</v>
      </c>
      <c r="AU1464" s="3">
        <f t="shared" ca="1" si="296"/>
        <v>-22.485161328767077</v>
      </c>
      <c r="AV1464" s="3">
        <f t="shared" ca="1" si="297"/>
        <v>-22.485161328767077</v>
      </c>
    </row>
    <row r="1465" spans="43:48" x14ac:dyDescent="0.2">
      <c r="AQ1465" s="4">
        <f t="shared" ref="AQ1465:AQ1528" ca="1" si="298">IF(AQ1464&lt;$AP$3,AQ1464+1,"")</f>
        <v>45813</v>
      </c>
      <c r="AR1465" s="3">
        <f t="shared" ca="1" si="295"/>
        <v>213171.00999999957</v>
      </c>
      <c r="AS1465" s="63">
        <f ca="1">IF($AQ1465&lt;&gt;"", INDEX(Inputs!$B$3:$B$101, MATCH($AQ1465,Inputs!$A$3:$A$101,1)), "")</f>
        <v>3.85E-2</v>
      </c>
      <c r="AT1465" s="48">
        <f t="shared" ref="AT1465:AT1528" ca="1" si="299">IF($AQ1465&lt;&gt;"", AR1465*AS1465/365, "")</f>
        <v>22.485161328767077</v>
      </c>
      <c r="AU1465" s="3">
        <f t="shared" ca="1" si="296"/>
        <v>-22.485161328767077</v>
      </c>
      <c r="AV1465" s="3">
        <f t="shared" ca="1" si="297"/>
        <v>-22.485161328767077</v>
      </c>
    </row>
    <row r="1466" spans="43:48" x14ac:dyDescent="0.2">
      <c r="AQ1466" s="4">
        <f t="shared" ca="1" si="298"/>
        <v>45814</v>
      </c>
      <c r="AR1466" s="3">
        <f t="shared" ca="1" si="295"/>
        <v>213171.00999999957</v>
      </c>
      <c r="AS1466" s="63">
        <f ca="1">IF($AQ1466&lt;&gt;"", INDEX(Inputs!$B$3:$B$101, MATCH($AQ1466,Inputs!$A$3:$A$101,1)), "")</f>
        <v>3.85E-2</v>
      </c>
      <c r="AT1466" s="48">
        <f t="shared" ca="1" si="299"/>
        <v>22.485161328767077</v>
      </c>
      <c r="AU1466" s="3">
        <f t="shared" ca="1" si="296"/>
        <v>-22.485161328767077</v>
      </c>
      <c r="AV1466" s="3">
        <f t="shared" ca="1" si="297"/>
        <v>-22.485161328767077</v>
      </c>
    </row>
    <row r="1467" spans="43:48" x14ac:dyDescent="0.2">
      <c r="AQ1467" s="4">
        <f t="shared" ca="1" si="298"/>
        <v>45815</v>
      </c>
      <c r="AR1467" s="3">
        <f t="shared" ca="1" si="295"/>
        <v>213171.00999999957</v>
      </c>
      <c r="AS1467" s="63">
        <f ca="1">IF($AQ1467&lt;&gt;"", INDEX(Inputs!$B$3:$B$101, MATCH($AQ1467,Inputs!$A$3:$A$101,1)), "")</f>
        <v>3.85E-2</v>
      </c>
      <c r="AT1467" s="48">
        <f t="shared" ca="1" si="299"/>
        <v>22.485161328767077</v>
      </c>
      <c r="AU1467" s="3">
        <f t="shared" ca="1" si="296"/>
        <v>-22.485161328767077</v>
      </c>
      <c r="AV1467" s="3">
        <f t="shared" ca="1" si="297"/>
        <v>-22.485161328767077</v>
      </c>
    </row>
    <row r="1468" spans="43:48" x14ac:dyDescent="0.2">
      <c r="AQ1468" s="4">
        <f t="shared" ca="1" si="298"/>
        <v>45816</v>
      </c>
      <c r="AR1468" s="3">
        <f t="shared" ca="1" si="295"/>
        <v>213171.00999999957</v>
      </c>
      <c r="AS1468" s="63">
        <f ca="1">IF($AQ1468&lt;&gt;"", INDEX(Inputs!$B$3:$B$101, MATCH($AQ1468,Inputs!$A$3:$A$101,1)), "")</f>
        <v>3.85E-2</v>
      </c>
      <c r="AT1468" s="48">
        <f t="shared" ca="1" si="299"/>
        <v>22.485161328767077</v>
      </c>
      <c r="AU1468" s="3">
        <f t="shared" ca="1" si="296"/>
        <v>-22.485161328767077</v>
      </c>
      <c r="AV1468" s="3">
        <f t="shared" ca="1" si="297"/>
        <v>-22.485161328767077</v>
      </c>
    </row>
    <row r="1469" spans="43:48" x14ac:dyDescent="0.2">
      <c r="AQ1469" s="4">
        <f t="shared" ca="1" si="298"/>
        <v>45817</v>
      </c>
      <c r="AR1469" s="3">
        <f t="shared" ca="1" si="295"/>
        <v>213171.00999999957</v>
      </c>
      <c r="AS1469" s="63">
        <f ca="1">IF($AQ1469&lt;&gt;"", INDEX(Inputs!$B$3:$B$101, MATCH($AQ1469,Inputs!$A$3:$A$101,1)), "")</f>
        <v>3.85E-2</v>
      </c>
      <c r="AT1469" s="48">
        <f t="shared" ca="1" si="299"/>
        <v>22.485161328767077</v>
      </c>
      <c r="AU1469" s="3">
        <f t="shared" ca="1" si="296"/>
        <v>-22.485161328767077</v>
      </c>
      <c r="AV1469" s="3">
        <f t="shared" ca="1" si="297"/>
        <v>-22.485161328767077</v>
      </c>
    </row>
    <row r="1470" spans="43:48" x14ac:dyDescent="0.2">
      <c r="AQ1470" s="4">
        <f t="shared" ca="1" si="298"/>
        <v>45818</v>
      </c>
      <c r="AR1470" s="3">
        <f t="shared" ca="1" si="295"/>
        <v>213171.00999999957</v>
      </c>
      <c r="AS1470" s="63">
        <f ca="1">IF($AQ1470&lt;&gt;"", INDEX(Inputs!$B$3:$B$101, MATCH($AQ1470,Inputs!$A$3:$A$101,1)), "")</f>
        <v>3.85E-2</v>
      </c>
      <c r="AT1470" s="48">
        <f t="shared" ca="1" si="299"/>
        <v>22.485161328767077</v>
      </c>
      <c r="AU1470" s="3">
        <f t="shared" ca="1" si="296"/>
        <v>-22.485161328767077</v>
      </c>
      <c r="AV1470" s="3">
        <f t="shared" ca="1" si="297"/>
        <v>-22.485161328767077</v>
      </c>
    </row>
    <row r="1471" spans="43:48" x14ac:dyDescent="0.2">
      <c r="AQ1471" s="4">
        <f t="shared" ca="1" si="298"/>
        <v>45819</v>
      </c>
      <c r="AR1471" s="3">
        <f t="shared" ca="1" si="295"/>
        <v>213171.00999999957</v>
      </c>
      <c r="AS1471" s="63">
        <f ca="1">IF($AQ1471&lt;&gt;"", INDEX(Inputs!$B$3:$B$101, MATCH($AQ1471,Inputs!$A$3:$A$101,1)), "")</f>
        <v>3.85E-2</v>
      </c>
      <c r="AT1471" s="48">
        <f t="shared" ca="1" si="299"/>
        <v>22.485161328767077</v>
      </c>
      <c r="AU1471" s="3">
        <f t="shared" ca="1" si="296"/>
        <v>-22.485161328767077</v>
      </c>
      <c r="AV1471" s="3">
        <f t="shared" ca="1" si="297"/>
        <v>-22.485161328767077</v>
      </c>
    </row>
    <row r="1472" spans="43:48" x14ac:dyDescent="0.2">
      <c r="AQ1472" s="4">
        <f t="shared" ca="1" si="298"/>
        <v>45820</v>
      </c>
      <c r="AR1472" s="3">
        <f t="shared" ca="1" si="295"/>
        <v>215863.12999999957</v>
      </c>
      <c r="AS1472" s="63">
        <f ca="1">IF($AQ1472&lt;&gt;"", INDEX(Inputs!$B$3:$B$101, MATCH($AQ1472,Inputs!$A$3:$A$101,1)), "")</f>
        <v>3.85E-2</v>
      </c>
      <c r="AT1472" s="48">
        <f t="shared" ca="1" si="299"/>
        <v>22.769124671232831</v>
      </c>
      <c r="AU1472" s="3">
        <f t="shared" ca="1" si="296"/>
        <v>-3496.3691246712328</v>
      </c>
      <c r="AV1472" s="3">
        <f t="shared" ca="1" si="297"/>
        <v>-3496.3691246712328</v>
      </c>
    </row>
    <row r="1473" spans="43:48" x14ac:dyDescent="0.2">
      <c r="AQ1473" s="4">
        <f t="shared" ca="1" si="298"/>
        <v>45821</v>
      </c>
      <c r="AR1473" s="3">
        <f t="shared" ca="1" si="295"/>
        <v>215863.12999999957</v>
      </c>
      <c r="AS1473" s="63">
        <f ca="1">IF($AQ1473&lt;&gt;"", INDEX(Inputs!$B$3:$B$101, MATCH($AQ1473,Inputs!$A$3:$A$101,1)), "")</f>
        <v>3.85E-2</v>
      </c>
      <c r="AT1473" s="48">
        <f t="shared" ca="1" si="299"/>
        <v>22.769124671232831</v>
      </c>
      <c r="AU1473" s="3">
        <f t="shared" ca="1" si="296"/>
        <v>-22.769124671232831</v>
      </c>
      <c r="AV1473" s="3">
        <f t="shared" ca="1" si="297"/>
        <v>-22.769124671232831</v>
      </c>
    </row>
    <row r="1474" spans="43:48" x14ac:dyDescent="0.2">
      <c r="AQ1474" s="4">
        <f t="shared" ca="1" si="298"/>
        <v>45822</v>
      </c>
      <c r="AR1474" s="3">
        <f t="shared" ca="1" si="295"/>
        <v>215863.12999999957</v>
      </c>
      <c r="AS1474" s="63">
        <f ca="1">IF($AQ1474&lt;&gt;"", INDEX(Inputs!$B$3:$B$101, MATCH($AQ1474,Inputs!$A$3:$A$101,1)), "")</f>
        <v>3.85E-2</v>
      </c>
      <c r="AT1474" s="48">
        <f t="shared" ca="1" si="299"/>
        <v>22.769124671232831</v>
      </c>
      <c r="AU1474" s="3">
        <f t="shared" ca="1" si="296"/>
        <v>-22.769124671232831</v>
      </c>
      <c r="AV1474" s="3">
        <f t="shared" ca="1" si="297"/>
        <v>-22.769124671232831</v>
      </c>
    </row>
    <row r="1475" spans="43:48" x14ac:dyDescent="0.2">
      <c r="AQ1475" s="4">
        <f t="shared" ca="1" si="298"/>
        <v>45823</v>
      </c>
      <c r="AR1475" s="3">
        <f t="shared" ca="1" si="295"/>
        <v>215863.12999999957</v>
      </c>
      <c r="AS1475" s="63">
        <f ca="1">IF($AQ1475&lt;&gt;"", INDEX(Inputs!$B$3:$B$101, MATCH($AQ1475,Inputs!$A$3:$A$101,1)), "")</f>
        <v>3.85E-2</v>
      </c>
      <c r="AT1475" s="48">
        <f t="shared" ca="1" si="299"/>
        <v>22.769124671232831</v>
      </c>
      <c r="AU1475" s="3">
        <f t="shared" ca="1" si="296"/>
        <v>-22.769124671232831</v>
      </c>
      <c r="AV1475" s="3">
        <f t="shared" ca="1" si="297"/>
        <v>-22.769124671232831</v>
      </c>
    </row>
    <row r="1476" spans="43:48" x14ac:dyDescent="0.2">
      <c r="AQ1476" s="4">
        <f t="shared" ca="1" si="298"/>
        <v>45824</v>
      </c>
      <c r="AR1476" s="3">
        <f t="shared" ca="1" si="295"/>
        <v>215863.12999999957</v>
      </c>
      <c r="AS1476" s="63">
        <f ca="1">IF($AQ1476&lt;&gt;"", INDEX(Inputs!$B$3:$B$101, MATCH($AQ1476,Inputs!$A$3:$A$101,1)), "")</f>
        <v>3.85E-2</v>
      </c>
      <c r="AT1476" s="48">
        <f t="shared" ca="1" si="299"/>
        <v>22.769124671232831</v>
      </c>
      <c r="AU1476" s="3">
        <f t="shared" ca="1" si="296"/>
        <v>-22.769124671232831</v>
      </c>
      <c r="AV1476" s="3">
        <f t="shared" ca="1" si="297"/>
        <v>-22.769124671232831</v>
      </c>
    </row>
    <row r="1477" spans="43:48" x14ac:dyDescent="0.2">
      <c r="AQ1477" s="4">
        <f t="shared" ca="1" si="298"/>
        <v>45825</v>
      </c>
      <c r="AR1477" s="3">
        <f t="shared" ca="1" si="295"/>
        <v>215863.12999999957</v>
      </c>
      <c r="AS1477" s="63">
        <f ca="1">IF($AQ1477&lt;&gt;"", INDEX(Inputs!$B$3:$B$101, MATCH($AQ1477,Inputs!$A$3:$A$101,1)), "")</f>
        <v>3.85E-2</v>
      </c>
      <c r="AT1477" s="48">
        <f t="shared" ca="1" si="299"/>
        <v>22.769124671232831</v>
      </c>
      <c r="AU1477" s="3">
        <f t="shared" ca="1" si="296"/>
        <v>-22.769124671232831</v>
      </c>
      <c r="AV1477" s="3">
        <f t="shared" ca="1" si="297"/>
        <v>-22.769124671232831</v>
      </c>
    </row>
    <row r="1478" spans="43:48" x14ac:dyDescent="0.2">
      <c r="AQ1478" s="4">
        <f t="shared" ca="1" si="298"/>
        <v>45826</v>
      </c>
      <c r="AR1478" s="3">
        <f t="shared" ca="1" si="295"/>
        <v>215863.12999999957</v>
      </c>
      <c r="AS1478" s="63">
        <f ca="1">IF($AQ1478&lt;&gt;"", INDEX(Inputs!$B$3:$B$101, MATCH($AQ1478,Inputs!$A$3:$A$101,1)), "")</f>
        <v>3.85E-2</v>
      </c>
      <c r="AT1478" s="48">
        <f t="shared" ca="1" si="299"/>
        <v>22.769124671232831</v>
      </c>
      <c r="AU1478" s="3">
        <f t="shared" ca="1" si="296"/>
        <v>-22.769124671232831</v>
      </c>
      <c r="AV1478" s="3">
        <f t="shared" ca="1" si="297"/>
        <v>-22.769124671232831</v>
      </c>
    </row>
    <row r="1479" spans="43:48" x14ac:dyDescent="0.2">
      <c r="AQ1479" s="4">
        <f t="shared" ca="1" si="298"/>
        <v>45827</v>
      </c>
      <c r="AR1479" s="3">
        <f t="shared" ca="1" si="295"/>
        <v>215863.12999999957</v>
      </c>
      <c r="AS1479" s="63">
        <f ca="1">IF($AQ1479&lt;&gt;"", INDEX(Inputs!$B$3:$B$101, MATCH($AQ1479,Inputs!$A$3:$A$101,1)), "")</f>
        <v>3.85E-2</v>
      </c>
      <c r="AT1479" s="48">
        <f t="shared" ca="1" si="299"/>
        <v>22.769124671232831</v>
      </c>
      <c r="AU1479" s="3">
        <f t="shared" ca="1" si="296"/>
        <v>-22.769124671232831</v>
      </c>
      <c r="AV1479" s="3">
        <f t="shared" ca="1" si="297"/>
        <v>-22.769124671232831</v>
      </c>
    </row>
    <row r="1480" spans="43:48" x14ac:dyDescent="0.2">
      <c r="AQ1480" s="4">
        <f t="shared" ca="1" si="298"/>
        <v>45828</v>
      </c>
      <c r="AR1480" s="3">
        <f t="shared" ca="1" si="295"/>
        <v>215863.12999999957</v>
      </c>
      <c r="AS1480" s="63">
        <f ca="1">IF($AQ1480&lt;&gt;"", INDEX(Inputs!$B$3:$B$101, MATCH($AQ1480,Inputs!$A$3:$A$101,1)), "")</f>
        <v>3.85E-2</v>
      </c>
      <c r="AT1480" s="48">
        <f t="shared" ca="1" si="299"/>
        <v>22.769124671232831</v>
      </c>
      <c r="AU1480" s="3">
        <f t="shared" ca="1" si="296"/>
        <v>-22.769124671232831</v>
      </c>
      <c r="AV1480" s="3">
        <f t="shared" ca="1" si="297"/>
        <v>-22.769124671232831</v>
      </c>
    </row>
    <row r="1481" spans="43:48" x14ac:dyDescent="0.2">
      <c r="AQ1481" s="4">
        <f t="shared" ca="1" si="298"/>
        <v>45829</v>
      </c>
      <c r="AR1481" s="3">
        <f t="shared" ca="1" si="295"/>
        <v>215863.12999999957</v>
      </c>
      <c r="AS1481" s="63">
        <f ca="1">IF($AQ1481&lt;&gt;"", INDEX(Inputs!$B$3:$B$101, MATCH($AQ1481,Inputs!$A$3:$A$101,1)), "")</f>
        <v>3.85E-2</v>
      </c>
      <c r="AT1481" s="48">
        <f t="shared" ca="1" si="299"/>
        <v>22.769124671232831</v>
      </c>
      <c r="AU1481" s="3">
        <f t="shared" ca="1" si="296"/>
        <v>-22.769124671232831</v>
      </c>
      <c r="AV1481" s="3">
        <f t="shared" ca="1" si="297"/>
        <v>-22.769124671232831</v>
      </c>
    </row>
    <row r="1482" spans="43:48" x14ac:dyDescent="0.2">
      <c r="AQ1482" s="4">
        <f t="shared" ca="1" si="298"/>
        <v>45830</v>
      </c>
      <c r="AR1482" s="3">
        <f t="shared" ca="1" si="295"/>
        <v>215863.12999999957</v>
      </c>
      <c r="AS1482" s="63">
        <f ca="1">IF($AQ1482&lt;&gt;"", INDEX(Inputs!$B$3:$B$101, MATCH($AQ1482,Inputs!$A$3:$A$101,1)), "")</f>
        <v>3.85E-2</v>
      </c>
      <c r="AT1482" s="48">
        <f t="shared" ca="1" si="299"/>
        <v>22.769124671232831</v>
      </c>
      <c r="AU1482" s="3">
        <f t="shared" ca="1" si="296"/>
        <v>-22.769124671232831</v>
      </c>
      <c r="AV1482" s="3">
        <f t="shared" ca="1" si="297"/>
        <v>-22.769124671232831</v>
      </c>
    </row>
    <row r="1483" spans="43:48" x14ac:dyDescent="0.2">
      <c r="AQ1483" s="4">
        <f t="shared" ca="1" si="298"/>
        <v>45831</v>
      </c>
      <c r="AR1483" s="3">
        <f t="shared" ca="1" si="295"/>
        <v>215863.12999999957</v>
      </c>
      <c r="AS1483" s="63">
        <f ca="1">IF($AQ1483&lt;&gt;"", INDEX(Inputs!$B$3:$B$101, MATCH($AQ1483,Inputs!$A$3:$A$101,1)), "")</f>
        <v>3.85E-2</v>
      </c>
      <c r="AT1483" s="48">
        <f t="shared" ca="1" si="299"/>
        <v>22.769124671232831</v>
      </c>
      <c r="AU1483" s="3">
        <f t="shared" ca="1" si="296"/>
        <v>-22.769124671232831</v>
      </c>
      <c r="AV1483" s="3">
        <f t="shared" ca="1" si="297"/>
        <v>-22.769124671232831</v>
      </c>
    </row>
    <row r="1484" spans="43:48" x14ac:dyDescent="0.2">
      <c r="AQ1484" s="4">
        <f t="shared" ca="1" si="298"/>
        <v>45832</v>
      </c>
      <c r="AR1484" s="3">
        <f t="shared" ca="1" si="295"/>
        <v>215863.12999999957</v>
      </c>
      <c r="AS1484" s="63">
        <f ca="1">IF($AQ1484&lt;&gt;"", INDEX(Inputs!$B$3:$B$101, MATCH($AQ1484,Inputs!$A$3:$A$101,1)), "")</f>
        <v>3.85E-2</v>
      </c>
      <c r="AT1484" s="48">
        <f t="shared" ca="1" si="299"/>
        <v>22.769124671232831</v>
      </c>
      <c r="AU1484" s="3">
        <f t="shared" ca="1" si="296"/>
        <v>-22.769124671232831</v>
      </c>
      <c r="AV1484" s="3">
        <f t="shared" ca="1" si="297"/>
        <v>-22.769124671232831</v>
      </c>
    </row>
    <row r="1485" spans="43:48" x14ac:dyDescent="0.2">
      <c r="AQ1485" s="4">
        <f t="shared" ca="1" si="298"/>
        <v>45833</v>
      </c>
      <c r="AR1485" s="3">
        <f t="shared" ca="1" si="295"/>
        <v>215863.12999999957</v>
      </c>
      <c r="AS1485" s="63">
        <f ca="1">IF($AQ1485&lt;&gt;"", INDEX(Inputs!$B$3:$B$101, MATCH($AQ1485,Inputs!$A$3:$A$101,1)), "")</f>
        <v>3.85E-2</v>
      </c>
      <c r="AT1485" s="48">
        <f t="shared" ca="1" si="299"/>
        <v>22.769124671232831</v>
      </c>
      <c r="AU1485" s="3">
        <f t="shared" ca="1" si="296"/>
        <v>-22.769124671232831</v>
      </c>
      <c r="AV1485" s="3">
        <f t="shared" ca="1" si="297"/>
        <v>-22.769124671232831</v>
      </c>
    </row>
    <row r="1486" spans="43:48" x14ac:dyDescent="0.2">
      <c r="AQ1486" s="4">
        <f t="shared" ca="1" si="298"/>
        <v>45834</v>
      </c>
      <c r="AR1486" s="3">
        <f t="shared" ca="1" si="295"/>
        <v>215863.12999999957</v>
      </c>
      <c r="AS1486" s="63">
        <f ca="1">IF($AQ1486&lt;&gt;"", INDEX(Inputs!$B$3:$B$101, MATCH($AQ1486,Inputs!$A$3:$A$101,1)), "")</f>
        <v>3.85E-2</v>
      </c>
      <c r="AT1486" s="48">
        <f t="shared" ca="1" si="299"/>
        <v>22.769124671232831</v>
      </c>
      <c r="AU1486" s="3">
        <f t="shared" ca="1" si="296"/>
        <v>-22.769124671232831</v>
      </c>
      <c r="AV1486" s="3">
        <f t="shared" ca="1" si="297"/>
        <v>-22.769124671232831</v>
      </c>
    </row>
    <row r="1487" spans="43:48" x14ac:dyDescent="0.2">
      <c r="AQ1487" s="4">
        <f t="shared" ca="1" si="298"/>
        <v>45835</v>
      </c>
      <c r="AR1487" s="3">
        <f t="shared" ca="1" si="295"/>
        <v>215863.12999999957</v>
      </c>
      <c r="AS1487" s="63">
        <f ca="1">IF($AQ1487&lt;&gt;"", INDEX(Inputs!$B$3:$B$101, MATCH($AQ1487,Inputs!$A$3:$A$101,1)), "")</f>
        <v>3.85E-2</v>
      </c>
      <c r="AT1487" s="48">
        <f t="shared" ca="1" si="299"/>
        <v>22.769124671232831</v>
      </c>
      <c r="AU1487" s="3">
        <f t="shared" ca="1" si="296"/>
        <v>-22.769124671232831</v>
      </c>
      <c r="AV1487" s="3">
        <f t="shared" ca="1" si="297"/>
        <v>-22.769124671232831</v>
      </c>
    </row>
    <row r="1488" spans="43:48" x14ac:dyDescent="0.2">
      <c r="AQ1488" s="4">
        <f t="shared" ca="1" si="298"/>
        <v>45836</v>
      </c>
      <c r="AR1488" s="3">
        <f t="shared" ca="1" si="295"/>
        <v>215863.12999999957</v>
      </c>
      <c r="AS1488" s="63">
        <f ca="1">IF($AQ1488&lt;&gt;"", INDEX(Inputs!$B$3:$B$101, MATCH($AQ1488,Inputs!$A$3:$A$101,1)), "")</f>
        <v>3.85E-2</v>
      </c>
      <c r="AT1488" s="48">
        <f t="shared" ca="1" si="299"/>
        <v>22.769124671232831</v>
      </c>
      <c r="AU1488" s="3">
        <f t="shared" ca="1" si="296"/>
        <v>-22.769124671232831</v>
      </c>
      <c r="AV1488" s="3">
        <f t="shared" ca="1" si="297"/>
        <v>-22.769124671232831</v>
      </c>
    </row>
    <row r="1489" spans="43:48" x14ac:dyDescent="0.2">
      <c r="AQ1489" s="4" t="str">
        <f t="shared" ca="1" si="298"/>
        <v/>
      </c>
      <c r="AR1489" s="3" t="str">
        <f t="shared" ca="1" si="295"/>
        <v/>
      </c>
      <c r="AS1489" s="63" t="str">
        <f ca="1">IF($AQ1489&lt;&gt;"", INDEX(Inputs!$B$3:$B$101, MATCH($AQ1489,Inputs!$A$3:$A$101,1)), "")</f>
        <v/>
      </c>
      <c r="AT1489" s="48" t="str">
        <f t="shared" ca="1" si="299"/>
        <v/>
      </c>
      <c r="AU1489" s="3" t="str">
        <f t="shared" ca="1" si="296"/>
        <v/>
      </c>
      <c r="AV1489" s="3" t="str">
        <f t="shared" ca="1" si="297"/>
        <v/>
      </c>
    </row>
    <row r="1490" spans="43:48" x14ac:dyDescent="0.2">
      <c r="AQ1490" s="4" t="str">
        <f t="shared" ca="1" si="298"/>
        <v/>
      </c>
      <c r="AR1490" s="3" t="str">
        <f t="shared" ca="1" si="295"/>
        <v/>
      </c>
      <c r="AS1490" s="63" t="str">
        <f ca="1">IF($AQ1490&lt;&gt;"", INDEX(Inputs!$B$3:$B$101, MATCH($AQ1490,Inputs!$A$3:$A$101,1)), "")</f>
        <v/>
      </c>
      <c r="AT1490" s="48" t="str">
        <f t="shared" ca="1" si="299"/>
        <v/>
      </c>
      <c r="AU1490" s="3" t="str">
        <f t="shared" ca="1" si="296"/>
        <v/>
      </c>
      <c r="AV1490" s="3" t="str">
        <f t="shared" ca="1" si="297"/>
        <v/>
      </c>
    </row>
    <row r="1491" spans="43:48" x14ac:dyDescent="0.2">
      <c r="AQ1491" s="4" t="str">
        <f t="shared" ca="1" si="298"/>
        <v/>
      </c>
      <c r="AR1491" s="3" t="str">
        <f t="shared" ca="1" si="295"/>
        <v/>
      </c>
      <c r="AS1491" s="63" t="str">
        <f ca="1">IF($AQ1491&lt;&gt;"", INDEX(Inputs!$B$3:$B$101, MATCH($AQ1491,Inputs!$A$3:$A$101,1)), "")</f>
        <v/>
      </c>
      <c r="AT1491" s="48" t="str">
        <f t="shared" ca="1" si="299"/>
        <v/>
      </c>
      <c r="AU1491" s="3" t="str">
        <f t="shared" ca="1" si="296"/>
        <v/>
      </c>
      <c r="AV1491" s="3" t="str">
        <f t="shared" ca="1" si="297"/>
        <v/>
      </c>
    </row>
    <row r="1492" spans="43:48" x14ac:dyDescent="0.2">
      <c r="AQ1492" s="4" t="str">
        <f t="shared" ca="1" si="298"/>
        <v/>
      </c>
      <c r="AR1492" s="3" t="str">
        <f t="shared" ca="1" si="295"/>
        <v/>
      </c>
      <c r="AS1492" s="63" t="str">
        <f ca="1">IF($AQ1492&lt;&gt;"", INDEX(Inputs!$B$3:$B$101, MATCH($AQ1492,Inputs!$A$3:$A$101,1)), "")</f>
        <v/>
      </c>
      <c r="AT1492" s="48" t="str">
        <f t="shared" ca="1" si="299"/>
        <v/>
      </c>
      <c r="AU1492" s="3" t="str">
        <f t="shared" ca="1" si="296"/>
        <v/>
      </c>
      <c r="AV1492" s="3" t="str">
        <f t="shared" ca="1" si="297"/>
        <v/>
      </c>
    </row>
    <row r="1493" spans="43:48" x14ac:dyDescent="0.2">
      <c r="AQ1493" s="4" t="str">
        <f t="shared" ca="1" si="298"/>
        <v/>
      </c>
      <c r="AR1493" s="3" t="str">
        <f t="shared" ca="1" si="295"/>
        <v/>
      </c>
      <c r="AS1493" s="63" t="str">
        <f ca="1">IF($AQ1493&lt;&gt;"", INDEX(Inputs!$B$3:$B$101, MATCH($AQ1493,Inputs!$A$3:$A$101,1)), "")</f>
        <v/>
      </c>
      <c r="AT1493" s="48" t="str">
        <f t="shared" ca="1" si="299"/>
        <v/>
      </c>
      <c r="AU1493" s="3" t="str">
        <f t="shared" ca="1" si="296"/>
        <v/>
      </c>
      <c r="AV1493" s="3" t="str">
        <f t="shared" ca="1" si="297"/>
        <v/>
      </c>
    </row>
    <row r="1494" spans="43:48" x14ac:dyDescent="0.2">
      <c r="AQ1494" s="4" t="str">
        <f t="shared" ca="1" si="298"/>
        <v/>
      </c>
      <c r="AR1494" s="3" t="str">
        <f t="shared" ca="1" si="295"/>
        <v/>
      </c>
      <c r="AS1494" s="63" t="str">
        <f ca="1">IF($AQ1494&lt;&gt;"", INDEX(Inputs!$B$3:$B$101, MATCH($AQ1494,Inputs!$A$3:$A$101,1)), "")</f>
        <v/>
      </c>
      <c r="AT1494" s="48" t="str">
        <f t="shared" ca="1" si="299"/>
        <v/>
      </c>
      <c r="AU1494" s="3" t="str">
        <f t="shared" ca="1" si="296"/>
        <v/>
      </c>
      <c r="AV1494" s="3" t="str">
        <f t="shared" ca="1" si="297"/>
        <v/>
      </c>
    </row>
    <row r="1495" spans="43:48" x14ac:dyDescent="0.2">
      <c r="AQ1495" s="4" t="str">
        <f t="shared" ca="1" si="298"/>
        <v/>
      </c>
      <c r="AR1495" s="3" t="str">
        <f t="shared" ca="1" si="295"/>
        <v/>
      </c>
      <c r="AS1495" s="63" t="str">
        <f ca="1">IF($AQ1495&lt;&gt;"", INDEX(Inputs!$B$3:$B$101, MATCH($AQ1495,Inputs!$A$3:$A$101,1)), "")</f>
        <v/>
      </c>
      <c r="AT1495" s="48" t="str">
        <f t="shared" ca="1" si="299"/>
        <v/>
      </c>
      <c r="AU1495" s="3" t="str">
        <f t="shared" ca="1" si="296"/>
        <v/>
      </c>
      <c r="AV1495" s="3" t="str">
        <f t="shared" ca="1" si="297"/>
        <v/>
      </c>
    </row>
    <row r="1496" spans="43:48" x14ac:dyDescent="0.2">
      <c r="AQ1496" s="4" t="str">
        <f t="shared" ca="1" si="298"/>
        <v/>
      </c>
      <c r="AR1496" s="3" t="str">
        <f t="shared" ca="1" si="295"/>
        <v/>
      </c>
      <c r="AS1496" s="63" t="str">
        <f ca="1">IF($AQ1496&lt;&gt;"", INDEX(Inputs!$B$3:$B$101, MATCH($AQ1496,Inputs!$A$3:$A$101,1)), "")</f>
        <v/>
      </c>
      <c r="AT1496" s="48" t="str">
        <f t="shared" ca="1" si="299"/>
        <v/>
      </c>
      <c r="AU1496" s="3" t="str">
        <f t="shared" ca="1" si="296"/>
        <v/>
      </c>
      <c r="AV1496" s="3" t="str">
        <f t="shared" ca="1" si="297"/>
        <v/>
      </c>
    </row>
    <row r="1497" spans="43:48" x14ac:dyDescent="0.2">
      <c r="AQ1497" s="4" t="str">
        <f t="shared" ca="1" si="298"/>
        <v/>
      </c>
      <c r="AR1497" s="3" t="str">
        <f t="shared" ref="AR1497:AR1560" ca="1" si="300">IF($AQ1497&lt;&gt;"", INDEX($AC$3:$AC$1055, MATCH($AQ1497,$A$3:$A$1055,1)), "")</f>
        <v/>
      </c>
      <c r="AS1497" s="63" t="str">
        <f ca="1">IF($AQ1497&lt;&gt;"", INDEX(Inputs!$B$3:$B$101, MATCH($AQ1497,Inputs!$A$3:$A$101,1)), "")</f>
        <v/>
      </c>
      <c r="AT1497" s="48" t="str">
        <f t="shared" ca="1" si="299"/>
        <v/>
      </c>
      <c r="AU1497" s="3" t="str">
        <f t="shared" ref="AU1497:AU1560" ca="1" si="301">IF($AQ1497&lt;&gt;"", SUMIFS($AL$3:$AL$1054, $A$3:$A$1054,$AQ1497) + SUMIFS($M$3:$M$1054, $A$3:$A$1054,$AQ1497)*IFERROR(AVERAGEIFS($L$3:$L$1054, $A$3:$A$1054,$AQ1497, $M$3:$M$1054,"&gt;0"),0) - AT1497, "")</f>
        <v/>
      </c>
      <c r="AV1497" s="3" t="str">
        <f t="shared" ca="1" si="297"/>
        <v/>
      </c>
    </row>
    <row r="1498" spans="43:48" x14ac:dyDescent="0.2">
      <c r="AQ1498" s="4" t="str">
        <f t="shared" ca="1" si="298"/>
        <v/>
      </c>
      <c r="AR1498" s="3" t="str">
        <f t="shared" ca="1" si="300"/>
        <v/>
      </c>
      <c r="AS1498" s="63" t="str">
        <f ca="1">IF($AQ1498&lt;&gt;"", INDEX(Inputs!$B$3:$B$101, MATCH($AQ1498,Inputs!$A$3:$A$101,1)), "")</f>
        <v/>
      </c>
      <c r="AT1498" s="48" t="str">
        <f t="shared" ca="1" si="299"/>
        <v/>
      </c>
      <c r="AU1498" s="3" t="str">
        <f t="shared" ca="1" si="301"/>
        <v/>
      </c>
      <c r="AV1498" s="3" t="str">
        <f t="shared" ca="1" si="297"/>
        <v/>
      </c>
    </row>
    <row r="1499" spans="43:48" x14ac:dyDescent="0.2">
      <c r="AQ1499" s="4" t="str">
        <f t="shared" ca="1" si="298"/>
        <v/>
      </c>
      <c r="AR1499" s="3" t="str">
        <f t="shared" ca="1" si="300"/>
        <v/>
      </c>
      <c r="AS1499" s="63" t="str">
        <f ca="1">IF($AQ1499&lt;&gt;"", INDEX(Inputs!$B$3:$B$101, MATCH($AQ1499,Inputs!$A$3:$A$101,1)), "")</f>
        <v/>
      </c>
      <c r="AT1499" s="48" t="str">
        <f t="shared" ca="1" si="299"/>
        <v/>
      </c>
      <c r="AU1499" s="3" t="str">
        <f t="shared" ca="1" si="301"/>
        <v/>
      </c>
      <c r="AV1499" s="3" t="str">
        <f t="shared" ca="1" si="297"/>
        <v/>
      </c>
    </row>
    <row r="1500" spans="43:48" x14ac:dyDescent="0.2">
      <c r="AQ1500" s="4" t="str">
        <f t="shared" ca="1" si="298"/>
        <v/>
      </c>
      <c r="AR1500" s="3" t="str">
        <f t="shared" ca="1" si="300"/>
        <v/>
      </c>
      <c r="AS1500" s="63" t="str">
        <f ca="1">IF($AQ1500&lt;&gt;"", INDEX(Inputs!$B$3:$B$101, MATCH($AQ1500,Inputs!$A$3:$A$101,1)), "")</f>
        <v/>
      </c>
      <c r="AT1500" s="48" t="str">
        <f t="shared" ca="1" si="299"/>
        <v/>
      </c>
      <c r="AU1500" s="3" t="str">
        <f t="shared" ca="1" si="301"/>
        <v/>
      </c>
      <c r="AV1500" s="3" t="str">
        <f t="shared" ca="1" si="297"/>
        <v/>
      </c>
    </row>
    <row r="1501" spans="43:48" x14ac:dyDescent="0.2">
      <c r="AQ1501" s="4" t="str">
        <f t="shared" ca="1" si="298"/>
        <v/>
      </c>
      <c r="AR1501" s="3" t="str">
        <f t="shared" ca="1" si="300"/>
        <v/>
      </c>
      <c r="AS1501" s="63" t="str">
        <f ca="1">IF($AQ1501&lt;&gt;"", INDEX(Inputs!$B$3:$B$101, MATCH($AQ1501,Inputs!$A$3:$A$101,1)), "")</f>
        <v/>
      </c>
      <c r="AT1501" s="48" t="str">
        <f t="shared" ca="1" si="299"/>
        <v/>
      </c>
      <c r="AU1501" s="3" t="str">
        <f t="shared" ca="1" si="301"/>
        <v/>
      </c>
      <c r="AV1501" s="3" t="str">
        <f t="shared" ca="1" si="297"/>
        <v/>
      </c>
    </row>
    <row r="1502" spans="43:48" x14ac:dyDescent="0.2">
      <c r="AQ1502" s="4" t="str">
        <f t="shared" ca="1" si="298"/>
        <v/>
      </c>
      <c r="AR1502" s="3" t="str">
        <f t="shared" ca="1" si="300"/>
        <v/>
      </c>
      <c r="AS1502" s="63" t="str">
        <f ca="1">IF($AQ1502&lt;&gt;"", INDEX(Inputs!$B$3:$B$101, MATCH($AQ1502,Inputs!$A$3:$A$101,1)), "")</f>
        <v/>
      </c>
      <c r="AT1502" s="48" t="str">
        <f t="shared" ca="1" si="299"/>
        <v/>
      </c>
      <c r="AU1502" s="3" t="str">
        <f t="shared" ca="1" si="301"/>
        <v/>
      </c>
      <c r="AV1502" s="3" t="str">
        <f t="shared" ca="1" si="297"/>
        <v/>
      </c>
    </row>
    <row r="1503" spans="43:48" x14ac:dyDescent="0.2">
      <c r="AQ1503" s="4" t="str">
        <f t="shared" ca="1" si="298"/>
        <v/>
      </c>
      <c r="AR1503" s="3" t="str">
        <f t="shared" ca="1" si="300"/>
        <v/>
      </c>
      <c r="AS1503" s="63" t="str">
        <f ca="1">IF($AQ1503&lt;&gt;"", INDEX(Inputs!$B$3:$B$101, MATCH($AQ1503,Inputs!$A$3:$A$101,1)), "")</f>
        <v/>
      </c>
      <c r="AT1503" s="48" t="str">
        <f t="shared" ca="1" si="299"/>
        <v/>
      </c>
      <c r="AU1503" s="3" t="str">
        <f t="shared" ca="1" si="301"/>
        <v/>
      </c>
      <c r="AV1503" s="3" t="str">
        <f t="shared" ca="1" si="297"/>
        <v/>
      </c>
    </row>
    <row r="1504" spans="43:48" x14ac:dyDescent="0.2">
      <c r="AQ1504" s="4" t="str">
        <f t="shared" ca="1" si="298"/>
        <v/>
      </c>
      <c r="AR1504" s="3" t="str">
        <f t="shared" ca="1" si="300"/>
        <v/>
      </c>
      <c r="AS1504" s="63" t="str">
        <f ca="1">IF($AQ1504&lt;&gt;"", INDEX(Inputs!$B$3:$B$101, MATCH($AQ1504,Inputs!$A$3:$A$101,1)), "")</f>
        <v/>
      </c>
      <c r="AT1504" s="48" t="str">
        <f t="shared" ca="1" si="299"/>
        <v/>
      </c>
      <c r="AU1504" s="3" t="str">
        <f t="shared" ca="1" si="301"/>
        <v/>
      </c>
      <c r="AV1504" s="3" t="str">
        <f t="shared" ref="AV1504:AV1567" ca="1" si="302">IF(AQ1504&lt;&gt;"", AU1504*(1+$X$9/CompoundingRate)^-((AQ1504-AQ$3)/(365/CompoundingRate)), "")</f>
        <v/>
      </c>
    </row>
    <row r="1505" spans="43:48" x14ac:dyDescent="0.2">
      <c r="AQ1505" s="4" t="str">
        <f t="shared" ca="1" si="298"/>
        <v/>
      </c>
      <c r="AR1505" s="3" t="str">
        <f t="shared" ca="1" si="300"/>
        <v/>
      </c>
      <c r="AS1505" s="63" t="str">
        <f ca="1">IF($AQ1505&lt;&gt;"", INDEX(Inputs!$B$3:$B$101, MATCH($AQ1505,Inputs!$A$3:$A$101,1)), "")</f>
        <v/>
      </c>
      <c r="AT1505" s="48" t="str">
        <f t="shared" ca="1" si="299"/>
        <v/>
      </c>
      <c r="AU1505" s="3" t="str">
        <f t="shared" ca="1" si="301"/>
        <v/>
      </c>
      <c r="AV1505" s="3" t="str">
        <f t="shared" ca="1" si="302"/>
        <v/>
      </c>
    </row>
    <row r="1506" spans="43:48" x14ac:dyDescent="0.2">
      <c r="AQ1506" s="4" t="str">
        <f t="shared" ca="1" si="298"/>
        <v/>
      </c>
      <c r="AR1506" s="3" t="str">
        <f t="shared" ca="1" si="300"/>
        <v/>
      </c>
      <c r="AS1506" s="63" t="str">
        <f ca="1">IF($AQ1506&lt;&gt;"", INDEX(Inputs!$B$3:$B$101, MATCH($AQ1506,Inputs!$A$3:$A$101,1)), "")</f>
        <v/>
      </c>
      <c r="AT1506" s="48" t="str">
        <f t="shared" ca="1" si="299"/>
        <v/>
      </c>
      <c r="AU1506" s="3" t="str">
        <f t="shared" ca="1" si="301"/>
        <v/>
      </c>
      <c r="AV1506" s="3" t="str">
        <f t="shared" ca="1" si="302"/>
        <v/>
      </c>
    </row>
    <row r="1507" spans="43:48" x14ac:dyDescent="0.2">
      <c r="AQ1507" s="4" t="str">
        <f t="shared" ca="1" si="298"/>
        <v/>
      </c>
      <c r="AR1507" s="3" t="str">
        <f t="shared" ca="1" si="300"/>
        <v/>
      </c>
      <c r="AS1507" s="63" t="str">
        <f ca="1">IF($AQ1507&lt;&gt;"", INDEX(Inputs!$B$3:$B$101, MATCH($AQ1507,Inputs!$A$3:$A$101,1)), "")</f>
        <v/>
      </c>
      <c r="AT1507" s="48" t="str">
        <f t="shared" ca="1" si="299"/>
        <v/>
      </c>
      <c r="AU1507" s="3" t="str">
        <f t="shared" ca="1" si="301"/>
        <v/>
      </c>
      <c r="AV1507" s="3" t="str">
        <f t="shared" ca="1" si="302"/>
        <v/>
      </c>
    </row>
    <row r="1508" spans="43:48" x14ac:dyDescent="0.2">
      <c r="AQ1508" s="4" t="str">
        <f t="shared" ca="1" si="298"/>
        <v/>
      </c>
      <c r="AR1508" s="3" t="str">
        <f t="shared" ca="1" si="300"/>
        <v/>
      </c>
      <c r="AS1508" s="63" t="str">
        <f ca="1">IF($AQ1508&lt;&gt;"", INDEX(Inputs!$B$3:$B$101, MATCH($AQ1508,Inputs!$A$3:$A$101,1)), "")</f>
        <v/>
      </c>
      <c r="AT1508" s="48" t="str">
        <f t="shared" ca="1" si="299"/>
        <v/>
      </c>
      <c r="AU1508" s="3" t="str">
        <f t="shared" ca="1" si="301"/>
        <v/>
      </c>
      <c r="AV1508" s="3" t="str">
        <f t="shared" ca="1" si="302"/>
        <v/>
      </c>
    </row>
    <row r="1509" spans="43:48" x14ac:dyDescent="0.2">
      <c r="AQ1509" s="4" t="str">
        <f t="shared" ca="1" si="298"/>
        <v/>
      </c>
      <c r="AR1509" s="3" t="str">
        <f t="shared" ca="1" si="300"/>
        <v/>
      </c>
      <c r="AS1509" s="63" t="str">
        <f ca="1">IF($AQ1509&lt;&gt;"", INDEX(Inputs!$B$3:$B$101, MATCH($AQ1509,Inputs!$A$3:$A$101,1)), "")</f>
        <v/>
      </c>
      <c r="AT1509" s="48" t="str">
        <f t="shared" ca="1" si="299"/>
        <v/>
      </c>
      <c r="AU1509" s="3" t="str">
        <f t="shared" ca="1" si="301"/>
        <v/>
      </c>
      <c r="AV1509" s="3" t="str">
        <f t="shared" ca="1" si="302"/>
        <v/>
      </c>
    </row>
    <row r="1510" spans="43:48" x14ac:dyDescent="0.2">
      <c r="AQ1510" s="4" t="str">
        <f t="shared" ca="1" si="298"/>
        <v/>
      </c>
      <c r="AR1510" s="3" t="str">
        <f t="shared" ca="1" si="300"/>
        <v/>
      </c>
      <c r="AS1510" s="63" t="str">
        <f ca="1">IF($AQ1510&lt;&gt;"", INDEX(Inputs!$B$3:$B$101, MATCH($AQ1510,Inputs!$A$3:$A$101,1)), "")</f>
        <v/>
      </c>
      <c r="AT1510" s="48" t="str">
        <f t="shared" ca="1" si="299"/>
        <v/>
      </c>
      <c r="AU1510" s="3" t="str">
        <f t="shared" ca="1" si="301"/>
        <v/>
      </c>
      <c r="AV1510" s="3" t="str">
        <f t="shared" ca="1" si="302"/>
        <v/>
      </c>
    </row>
    <row r="1511" spans="43:48" x14ac:dyDescent="0.2">
      <c r="AQ1511" s="4" t="str">
        <f t="shared" ca="1" si="298"/>
        <v/>
      </c>
      <c r="AR1511" s="3" t="str">
        <f t="shared" ca="1" si="300"/>
        <v/>
      </c>
      <c r="AS1511" s="63" t="str">
        <f ca="1">IF($AQ1511&lt;&gt;"", INDEX(Inputs!$B$3:$B$101, MATCH($AQ1511,Inputs!$A$3:$A$101,1)), "")</f>
        <v/>
      </c>
      <c r="AT1511" s="48" t="str">
        <f t="shared" ca="1" si="299"/>
        <v/>
      </c>
      <c r="AU1511" s="3" t="str">
        <f t="shared" ca="1" si="301"/>
        <v/>
      </c>
      <c r="AV1511" s="3" t="str">
        <f t="shared" ca="1" si="302"/>
        <v/>
      </c>
    </row>
    <row r="1512" spans="43:48" x14ac:dyDescent="0.2">
      <c r="AQ1512" s="4" t="str">
        <f t="shared" ca="1" si="298"/>
        <v/>
      </c>
      <c r="AR1512" s="3" t="str">
        <f t="shared" ca="1" si="300"/>
        <v/>
      </c>
      <c r="AS1512" s="63" t="str">
        <f ca="1">IF($AQ1512&lt;&gt;"", INDEX(Inputs!$B$3:$B$101, MATCH($AQ1512,Inputs!$A$3:$A$101,1)), "")</f>
        <v/>
      </c>
      <c r="AT1512" s="48" t="str">
        <f t="shared" ca="1" si="299"/>
        <v/>
      </c>
      <c r="AU1512" s="3" t="str">
        <f t="shared" ca="1" si="301"/>
        <v/>
      </c>
      <c r="AV1512" s="3" t="str">
        <f t="shared" ca="1" si="302"/>
        <v/>
      </c>
    </row>
    <row r="1513" spans="43:48" x14ac:dyDescent="0.2">
      <c r="AQ1513" s="4" t="str">
        <f t="shared" ca="1" si="298"/>
        <v/>
      </c>
      <c r="AR1513" s="3" t="str">
        <f t="shared" ca="1" si="300"/>
        <v/>
      </c>
      <c r="AS1513" s="63" t="str">
        <f ca="1">IF($AQ1513&lt;&gt;"", INDEX(Inputs!$B$3:$B$101, MATCH($AQ1513,Inputs!$A$3:$A$101,1)), "")</f>
        <v/>
      </c>
      <c r="AT1513" s="48" t="str">
        <f t="shared" ca="1" si="299"/>
        <v/>
      </c>
      <c r="AU1513" s="3" t="str">
        <f t="shared" ca="1" si="301"/>
        <v/>
      </c>
      <c r="AV1513" s="3" t="str">
        <f t="shared" ca="1" si="302"/>
        <v/>
      </c>
    </row>
    <row r="1514" spans="43:48" x14ac:dyDescent="0.2">
      <c r="AQ1514" s="4" t="str">
        <f t="shared" ca="1" si="298"/>
        <v/>
      </c>
      <c r="AR1514" s="3" t="str">
        <f t="shared" ca="1" si="300"/>
        <v/>
      </c>
      <c r="AS1514" s="63" t="str">
        <f ca="1">IF($AQ1514&lt;&gt;"", INDEX(Inputs!$B$3:$B$101, MATCH($AQ1514,Inputs!$A$3:$A$101,1)), "")</f>
        <v/>
      </c>
      <c r="AT1514" s="48" t="str">
        <f t="shared" ca="1" si="299"/>
        <v/>
      </c>
      <c r="AU1514" s="3" t="str">
        <f t="shared" ca="1" si="301"/>
        <v/>
      </c>
      <c r="AV1514" s="3" t="str">
        <f t="shared" ca="1" si="302"/>
        <v/>
      </c>
    </row>
    <row r="1515" spans="43:48" x14ac:dyDescent="0.2">
      <c r="AQ1515" s="4" t="str">
        <f t="shared" ca="1" si="298"/>
        <v/>
      </c>
      <c r="AR1515" s="3" t="str">
        <f t="shared" ca="1" si="300"/>
        <v/>
      </c>
      <c r="AS1515" s="63" t="str">
        <f ca="1">IF($AQ1515&lt;&gt;"", INDEX(Inputs!$B$3:$B$101, MATCH($AQ1515,Inputs!$A$3:$A$101,1)), "")</f>
        <v/>
      </c>
      <c r="AT1515" s="48" t="str">
        <f t="shared" ca="1" si="299"/>
        <v/>
      </c>
      <c r="AU1515" s="3" t="str">
        <f t="shared" ca="1" si="301"/>
        <v/>
      </c>
      <c r="AV1515" s="3" t="str">
        <f t="shared" ca="1" si="302"/>
        <v/>
      </c>
    </row>
    <row r="1516" spans="43:48" x14ac:dyDescent="0.2">
      <c r="AQ1516" s="4" t="str">
        <f t="shared" ca="1" si="298"/>
        <v/>
      </c>
      <c r="AR1516" s="3" t="str">
        <f t="shared" ca="1" si="300"/>
        <v/>
      </c>
      <c r="AS1516" s="63" t="str">
        <f ca="1">IF($AQ1516&lt;&gt;"", INDEX(Inputs!$B$3:$B$101, MATCH($AQ1516,Inputs!$A$3:$A$101,1)), "")</f>
        <v/>
      </c>
      <c r="AT1516" s="48" t="str">
        <f t="shared" ca="1" si="299"/>
        <v/>
      </c>
      <c r="AU1516" s="3" t="str">
        <f t="shared" ca="1" si="301"/>
        <v/>
      </c>
      <c r="AV1516" s="3" t="str">
        <f t="shared" ca="1" si="302"/>
        <v/>
      </c>
    </row>
    <row r="1517" spans="43:48" x14ac:dyDescent="0.2">
      <c r="AQ1517" s="4" t="str">
        <f t="shared" ca="1" si="298"/>
        <v/>
      </c>
      <c r="AR1517" s="3" t="str">
        <f t="shared" ca="1" si="300"/>
        <v/>
      </c>
      <c r="AS1517" s="63" t="str">
        <f ca="1">IF($AQ1517&lt;&gt;"", INDEX(Inputs!$B$3:$B$101, MATCH($AQ1517,Inputs!$A$3:$A$101,1)), "")</f>
        <v/>
      </c>
      <c r="AT1517" s="48" t="str">
        <f t="shared" ca="1" si="299"/>
        <v/>
      </c>
      <c r="AU1517" s="3" t="str">
        <f t="shared" ca="1" si="301"/>
        <v/>
      </c>
      <c r="AV1517" s="3" t="str">
        <f t="shared" ca="1" si="302"/>
        <v/>
      </c>
    </row>
    <row r="1518" spans="43:48" x14ac:dyDescent="0.2">
      <c r="AQ1518" s="4" t="str">
        <f t="shared" ca="1" si="298"/>
        <v/>
      </c>
      <c r="AR1518" s="3" t="str">
        <f t="shared" ca="1" si="300"/>
        <v/>
      </c>
      <c r="AS1518" s="63" t="str">
        <f ca="1">IF($AQ1518&lt;&gt;"", INDEX(Inputs!$B$3:$B$101, MATCH($AQ1518,Inputs!$A$3:$A$101,1)), "")</f>
        <v/>
      </c>
      <c r="AT1518" s="48" t="str">
        <f t="shared" ca="1" si="299"/>
        <v/>
      </c>
      <c r="AU1518" s="3" t="str">
        <f t="shared" ca="1" si="301"/>
        <v/>
      </c>
      <c r="AV1518" s="3" t="str">
        <f t="shared" ca="1" si="302"/>
        <v/>
      </c>
    </row>
    <row r="1519" spans="43:48" x14ac:dyDescent="0.2">
      <c r="AQ1519" s="4" t="str">
        <f t="shared" ca="1" si="298"/>
        <v/>
      </c>
      <c r="AR1519" s="3" t="str">
        <f t="shared" ca="1" si="300"/>
        <v/>
      </c>
      <c r="AS1519" s="63" t="str">
        <f ca="1">IF($AQ1519&lt;&gt;"", INDEX(Inputs!$B$3:$B$101, MATCH($AQ1519,Inputs!$A$3:$A$101,1)), "")</f>
        <v/>
      </c>
      <c r="AT1519" s="48" t="str">
        <f t="shared" ca="1" si="299"/>
        <v/>
      </c>
      <c r="AU1519" s="3" t="str">
        <f t="shared" ca="1" si="301"/>
        <v/>
      </c>
      <c r="AV1519" s="3" t="str">
        <f t="shared" ca="1" si="302"/>
        <v/>
      </c>
    </row>
    <row r="1520" spans="43:48" x14ac:dyDescent="0.2">
      <c r="AQ1520" s="4" t="str">
        <f t="shared" ca="1" si="298"/>
        <v/>
      </c>
      <c r="AR1520" s="3" t="str">
        <f t="shared" ca="1" si="300"/>
        <v/>
      </c>
      <c r="AS1520" s="63" t="str">
        <f ca="1">IF($AQ1520&lt;&gt;"", INDEX(Inputs!$B$3:$B$101, MATCH($AQ1520,Inputs!$A$3:$A$101,1)), "")</f>
        <v/>
      </c>
      <c r="AT1520" s="48" t="str">
        <f t="shared" ca="1" si="299"/>
        <v/>
      </c>
      <c r="AU1520" s="3" t="str">
        <f t="shared" ca="1" si="301"/>
        <v/>
      </c>
      <c r="AV1520" s="3" t="str">
        <f t="shared" ca="1" si="302"/>
        <v/>
      </c>
    </row>
    <row r="1521" spans="43:48" x14ac:dyDescent="0.2">
      <c r="AQ1521" s="4" t="str">
        <f t="shared" ca="1" si="298"/>
        <v/>
      </c>
      <c r="AR1521" s="3" t="str">
        <f t="shared" ca="1" si="300"/>
        <v/>
      </c>
      <c r="AS1521" s="63" t="str">
        <f ca="1">IF($AQ1521&lt;&gt;"", INDEX(Inputs!$B$3:$B$101, MATCH($AQ1521,Inputs!$A$3:$A$101,1)), "")</f>
        <v/>
      </c>
      <c r="AT1521" s="48" t="str">
        <f t="shared" ca="1" si="299"/>
        <v/>
      </c>
      <c r="AU1521" s="3" t="str">
        <f t="shared" ca="1" si="301"/>
        <v/>
      </c>
      <c r="AV1521" s="3" t="str">
        <f t="shared" ca="1" si="302"/>
        <v/>
      </c>
    </row>
    <row r="1522" spans="43:48" x14ac:dyDescent="0.2">
      <c r="AQ1522" s="4" t="str">
        <f t="shared" ca="1" si="298"/>
        <v/>
      </c>
      <c r="AR1522" s="3" t="str">
        <f t="shared" ca="1" si="300"/>
        <v/>
      </c>
      <c r="AS1522" s="63" t="str">
        <f ca="1">IF($AQ1522&lt;&gt;"", INDEX(Inputs!$B$3:$B$101, MATCH($AQ1522,Inputs!$A$3:$A$101,1)), "")</f>
        <v/>
      </c>
      <c r="AT1522" s="48" t="str">
        <f t="shared" ca="1" si="299"/>
        <v/>
      </c>
      <c r="AU1522" s="3" t="str">
        <f t="shared" ca="1" si="301"/>
        <v/>
      </c>
      <c r="AV1522" s="3" t="str">
        <f t="shared" ca="1" si="302"/>
        <v/>
      </c>
    </row>
    <row r="1523" spans="43:48" x14ac:dyDescent="0.2">
      <c r="AQ1523" s="4" t="str">
        <f t="shared" ca="1" si="298"/>
        <v/>
      </c>
      <c r="AR1523" s="3" t="str">
        <f t="shared" ca="1" si="300"/>
        <v/>
      </c>
      <c r="AS1523" s="63" t="str">
        <f ca="1">IF($AQ1523&lt;&gt;"", INDEX(Inputs!$B$3:$B$101, MATCH($AQ1523,Inputs!$A$3:$A$101,1)), "")</f>
        <v/>
      </c>
      <c r="AT1523" s="48" t="str">
        <f t="shared" ca="1" si="299"/>
        <v/>
      </c>
      <c r="AU1523" s="3" t="str">
        <f t="shared" ca="1" si="301"/>
        <v/>
      </c>
      <c r="AV1523" s="3" t="str">
        <f t="shared" ca="1" si="302"/>
        <v/>
      </c>
    </row>
    <row r="1524" spans="43:48" x14ac:dyDescent="0.2">
      <c r="AQ1524" s="4" t="str">
        <f t="shared" ca="1" si="298"/>
        <v/>
      </c>
      <c r="AR1524" s="3" t="str">
        <f t="shared" ca="1" si="300"/>
        <v/>
      </c>
      <c r="AS1524" s="63" t="str">
        <f ca="1">IF($AQ1524&lt;&gt;"", INDEX(Inputs!$B$3:$B$101, MATCH($AQ1524,Inputs!$A$3:$A$101,1)), "")</f>
        <v/>
      </c>
      <c r="AT1524" s="48" t="str">
        <f t="shared" ca="1" si="299"/>
        <v/>
      </c>
      <c r="AU1524" s="3" t="str">
        <f t="shared" ca="1" si="301"/>
        <v/>
      </c>
      <c r="AV1524" s="3" t="str">
        <f t="shared" ca="1" si="302"/>
        <v/>
      </c>
    </row>
    <row r="1525" spans="43:48" x14ac:dyDescent="0.2">
      <c r="AQ1525" s="4" t="str">
        <f t="shared" ca="1" si="298"/>
        <v/>
      </c>
      <c r="AR1525" s="3" t="str">
        <f t="shared" ca="1" si="300"/>
        <v/>
      </c>
      <c r="AS1525" s="63" t="str">
        <f ca="1">IF($AQ1525&lt;&gt;"", INDEX(Inputs!$B$3:$B$101, MATCH($AQ1525,Inputs!$A$3:$A$101,1)), "")</f>
        <v/>
      </c>
      <c r="AT1525" s="48" t="str">
        <f t="shared" ca="1" si="299"/>
        <v/>
      </c>
      <c r="AU1525" s="3" t="str">
        <f t="shared" ca="1" si="301"/>
        <v/>
      </c>
      <c r="AV1525" s="3" t="str">
        <f t="shared" ca="1" si="302"/>
        <v/>
      </c>
    </row>
    <row r="1526" spans="43:48" x14ac:dyDescent="0.2">
      <c r="AQ1526" s="4" t="str">
        <f t="shared" ca="1" si="298"/>
        <v/>
      </c>
      <c r="AR1526" s="3" t="str">
        <f t="shared" ca="1" si="300"/>
        <v/>
      </c>
      <c r="AS1526" s="63" t="str">
        <f ca="1">IF($AQ1526&lt;&gt;"", INDEX(Inputs!$B$3:$B$101, MATCH($AQ1526,Inputs!$A$3:$A$101,1)), "")</f>
        <v/>
      </c>
      <c r="AT1526" s="48" t="str">
        <f t="shared" ca="1" si="299"/>
        <v/>
      </c>
      <c r="AU1526" s="3" t="str">
        <f t="shared" ca="1" si="301"/>
        <v/>
      </c>
      <c r="AV1526" s="3" t="str">
        <f t="shared" ca="1" si="302"/>
        <v/>
      </c>
    </row>
    <row r="1527" spans="43:48" x14ac:dyDescent="0.2">
      <c r="AQ1527" s="4" t="str">
        <f t="shared" ca="1" si="298"/>
        <v/>
      </c>
      <c r="AR1527" s="3" t="str">
        <f t="shared" ca="1" si="300"/>
        <v/>
      </c>
      <c r="AS1527" s="63" t="str">
        <f ca="1">IF($AQ1527&lt;&gt;"", INDEX(Inputs!$B$3:$B$101, MATCH($AQ1527,Inputs!$A$3:$A$101,1)), "")</f>
        <v/>
      </c>
      <c r="AT1527" s="48" t="str">
        <f t="shared" ca="1" si="299"/>
        <v/>
      </c>
      <c r="AU1527" s="3" t="str">
        <f t="shared" ca="1" si="301"/>
        <v/>
      </c>
      <c r="AV1527" s="3" t="str">
        <f t="shared" ca="1" si="302"/>
        <v/>
      </c>
    </row>
    <row r="1528" spans="43:48" x14ac:dyDescent="0.2">
      <c r="AQ1528" s="4" t="str">
        <f t="shared" ca="1" si="298"/>
        <v/>
      </c>
      <c r="AR1528" s="3" t="str">
        <f t="shared" ca="1" si="300"/>
        <v/>
      </c>
      <c r="AS1528" s="63" t="str">
        <f ca="1">IF($AQ1528&lt;&gt;"", INDEX(Inputs!$B$3:$B$101, MATCH($AQ1528,Inputs!$A$3:$A$101,1)), "")</f>
        <v/>
      </c>
      <c r="AT1528" s="48" t="str">
        <f t="shared" ca="1" si="299"/>
        <v/>
      </c>
      <c r="AU1528" s="3" t="str">
        <f t="shared" ca="1" si="301"/>
        <v/>
      </c>
      <c r="AV1528" s="3" t="str">
        <f t="shared" ca="1" si="302"/>
        <v/>
      </c>
    </row>
    <row r="1529" spans="43:48" x14ac:dyDescent="0.2">
      <c r="AQ1529" s="4" t="str">
        <f t="shared" ref="AQ1529:AQ1592" ca="1" si="303">IF(AQ1528&lt;$AP$3,AQ1528+1,"")</f>
        <v/>
      </c>
      <c r="AR1529" s="3" t="str">
        <f t="shared" ca="1" si="300"/>
        <v/>
      </c>
      <c r="AS1529" s="63" t="str">
        <f ca="1">IF($AQ1529&lt;&gt;"", INDEX(Inputs!$B$3:$B$101, MATCH($AQ1529,Inputs!$A$3:$A$101,1)), "")</f>
        <v/>
      </c>
      <c r="AT1529" s="48" t="str">
        <f t="shared" ref="AT1529:AT1592" ca="1" si="304">IF($AQ1529&lt;&gt;"", AR1529*AS1529/365, "")</f>
        <v/>
      </c>
      <c r="AU1529" s="3" t="str">
        <f t="shared" ca="1" si="301"/>
        <v/>
      </c>
      <c r="AV1529" s="3" t="str">
        <f t="shared" ca="1" si="302"/>
        <v/>
      </c>
    </row>
    <row r="1530" spans="43:48" x14ac:dyDescent="0.2">
      <c r="AQ1530" s="4" t="str">
        <f t="shared" ca="1" si="303"/>
        <v/>
      </c>
      <c r="AR1530" s="3" t="str">
        <f t="shared" ca="1" si="300"/>
        <v/>
      </c>
      <c r="AS1530" s="63" t="str">
        <f ca="1">IF($AQ1530&lt;&gt;"", INDEX(Inputs!$B$3:$B$101, MATCH($AQ1530,Inputs!$A$3:$A$101,1)), "")</f>
        <v/>
      </c>
      <c r="AT1530" s="48" t="str">
        <f t="shared" ca="1" si="304"/>
        <v/>
      </c>
      <c r="AU1530" s="3" t="str">
        <f t="shared" ca="1" si="301"/>
        <v/>
      </c>
      <c r="AV1530" s="3" t="str">
        <f t="shared" ca="1" si="302"/>
        <v/>
      </c>
    </row>
    <row r="1531" spans="43:48" x14ac:dyDescent="0.2">
      <c r="AQ1531" s="4" t="str">
        <f t="shared" ca="1" si="303"/>
        <v/>
      </c>
      <c r="AR1531" s="3" t="str">
        <f t="shared" ca="1" si="300"/>
        <v/>
      </c>
      <c r="AS1531" s="63" t="str">
        <f ca="1">IF($AQ1531&lt;&gt;"", INDEX(Inputs!$B$3:$B$101, MATCH($AQ1531,Inputs!$A$3:$A$101,1)), "")</f>
        <v/>
      </c>
      <c r="AT1531" s="48" t="str">
        <f t="shared" ca="1" si="304"/>
        <v/>
      </c>
      <c r="AU1531" s="3" t="str">
        <f t="shared" ca="1" si="301"/>
        <v/>
      </c>
      <c r="AV1531" s="3" t="str">
        <f t="shared" ca="1" si="302"/>
        <v/>
      </c>
    </row>
    <row r="1532" spans="43:48" x14ac:dyDescent="0.2">
      <c r="AQ1532" s="4" t="str">
        <f t="shared" ca="1" si="303"/>
        <v/>
      </c>
      <c r="AR1532" s="3" t="str">
        <f t="shared" ca="1" si="300"/>
        <v/>
      </c>
      <c r="AS1532" s="63" t="str">
        <f ca="1">IF($AQ1532&lt;&gt;"", INDEX(Inputs!$B$3:$B$101, MATCH($AQ1532,Inputs!$A$3:$A$101,1)), "")</f>
        <v/>
      </c>
      <c r="AT1532" s="48" t="str">
        <f t="shared" ca="1" si="304"/>
        <v/>
      </c>
      <c r="AU1532" s="3" t="str">
        <f t="shared" ca="1" si="301"/>
        <v/>
      </c>
      <c r="AV1532" s="3" t="str">
        <f t="shared" ca="1" si="302"/>
        <v/>
      </c>
    </row>
    <row r="1533" spans="43:48" x14ac:dyDescent="0.2">
      <c r="AQ1533" s="4" t="str">
        <f t="shared" ca="1" si="303"/>
        <v/>
      </c>
      <c r="AR1533" s="3" t="str">
        <f t="shared" ca="1" si="300"/>
        <v/>
      </c>
      <c r="AS1533" s="63" t="str">
        <f ca="1">IF($AQ1533&lt;&gt;"", INDEX(Inputs!$B$3:$B$101, MATCH($AQ1533,Inputs!$A$3:$A$101,1)), "")</f>
        <v/>
      </c>
      <c r="AT1533" s="48" t="str">
        <f t="shared" ca="1" si="304"/>
        <v/>
      </c>
      <c r="AU1533" s="3" t="str">
        <f t="shared" ca="1" si="301"/>
        <v/>
      </c>
      <c r="AV1533" s="3" t="str">
        <f t="shared" ca="1" si="302"/>
        <v/>
      </c>
    </row>
    <row r="1534" spans="43:48" x14ac:dyDescent="0.2">
      <c r="AQ1534" s="4" t="str">
        <f t="shared" ca="1" si="303"/>
        <v/>
      </c>
      <c r="AR1534" s="3" t="str">
        <f t="shared" ca="1" si="300"/>
        <v/>
      </c>
      <c r="AS1534" s="63" t="str">
        <f ca="1">IF($AQ1534&lt;&gt;"", INDEX(Inputs!$B$3:$B$101, MATCH($AQ1534,Inputs!$A$3:$A$101,1)), "")</f>
        <v/>
      </c>
      <c r="AT1534" s="48" t="str">
        <f t="shared" ca="1" si="304"/>
        <v/>
      </c>
      <c r="AU1534" s="3" t="str">
        <f t="shared" ca="1" si="301"/>
        <v/>
      </c>
      <c r="AV1534" s="3" t="str">
        <f t="shared" ca="1" si="302"/>
        <v/>
      </c>
    </row>
    <row r="1535" spans="43:48" x14ac:dyDescent="0.2">
      <c r="AQ1535" s="4" t="str">
        <f t="shared" ca="1" si="303"/>
        <v/>
      </c>
      <c r="AR1535" s="3" t="str">
        <f t="shared" ca="1" si="300"/>
        <v/>
      </c>
      <c r="AS1535" s="63" t="str">
        <f ca="1">IF($AQ1535&lt;&gt;"", INDEX(Inputs!$B$3:$B$101, MATCH($AQ1535,Inputs!$A$3:$A$101,1)), "")</f>
        <v/>
      </c>
      <c r="AT1535" s="48" t="str">
        <f t="shared" ca="1" si="304"/>
        <v/>
      </c>
      <c r="AU1535" s="3" t="str">
        <f t="shared" ca="1" si="301"/>
        <v/>
      </c>
      <c r="AV1535" s="3" t="str">
        <f t="shared" ca="1" si="302"/>
        <v/>
      </c>
    </row>
    <row r="1536" spans="43:48" x14ac:dyDescent="0.2">
      <c r="AQ1536" s="4" t="str">
        <f t="shared" ca="1" si="303"/>
        <v/>
      </c>
      <c r="AR1536" s="3" t="str">
        <f t="shared" ca="1" si="300"/>
        <v/>
      </c>
      <c r="AS1536" s="63" t="str">
        <f ca="1">IF($AQ1536&lt;&gt;"", INDEX(Inputs!$B$3:$B$101, MATCH($AQ1536,Inputs!$A$3:$A$101,1)), "")</f>
        <v/>
      </c>
      <c r="AT1536" s="48" t="str">
        <f t="shared" ca="1" si="304"/>
        <v/>
      </c>
      <c r="AU1536" s="3" t="str">
        <f t="shared" ca="1" si="301"/>
        <v/>
      </c>
      <c r="AV1536" s="3" t="str">
        <f t="shared" ca="1" si="302"/>
        <v/>
      </c>
    </row>
    <row r="1537" spans="43:48" x14ac:dyDescent="0.2">
      <c r="AQ1537" s="4" t="str">
        <f t="shared" ca="1" si="303"/>
        <v/>
      </c>
      <c r="AR1537" s="3" t="str">
        <f t="shared" ca="1" si="300"/>
        <v/>
      </c>
      <c r="AS1537" s="63" t="str">
        <f ca="1">IF($AQ1537&lt;&gt;"", INDEX(Inputs!$B$3:$B$101, MATCH($AQ1537,Inputs!$A$3:$A$101,1)), "")</f>
        <v/>
      </c>
      <c r="AT1537" s="48" t="str">
        <f t="shared" ca="1" si="304"/>
        <v/>
      </c>
      <c r="AU1537" s="3" t="str">
        <f t="shared" ca="1" si="301"/>
        <v/>
      </c>
      <c r="AV1537" s="3" t="str">
        <f t="shared" ca="1" si="302"/>
        <v/>
      </c>
    </row>
    <row r="1538" spans="43:48" x14ac:dyDescent="0.2">
      <c r="AQ1538" s="4" t="str">
        <f t="shared" ca="1" si="303"/>
        <v/>
      </c>
      <c r="AR1538" s="3" t="str">
        <f t="shared" ca="1" si="300"/>
        <v/>
      </c>
      <c r="AS1538" s="63" t="str">
        <f ca="1">IF($AQ1538&lt;&gt;"", INDEX(Inputs!$B$3:$B$101, MATCH($AQ1538,Inputs!$A$3:$A$101,1)), "")</f>
        <v/>
      </c>
      <c r="AT1538" s="48" t="str">
        <f t="shared" ca="1" si="304"/>
        <v/>
      </c>
      <c r="AU1538" s="3" t="str">
        <f t="shared" ca="1" si="301"/>
        <v/>
      </c>
      <c r="AV1538" s="3" t="str">
        <f t="shared" ca="1" si="302"/>
        <v/>
      </c>
    </row>
    <row r="1539" spans="43:48" x14ac:dyDescent="0.2">
      <c r="AQ1539" s="4" t="str">
        <f t="shared" ca="1" si="303"/>
        <v/>
      </c>
      <c r="AR1539" s="3" t="str">
        <f t="shared" ca="1" si="300"/>
        <v/>
      </c>
      <c r="AS1539" s="63" t="str">
        <f ca="1">IF($AQ1539&lt;&gt;"", INDEX(Inputs!$B$3:$B$101, MATCH($AQ1539,Inputs!$A$3:$A$101,1)), "")</f>
        <v/>
      </c>
      <c r="AT1539" s="48" t="str">
        <f t="shared" ca="1" si="304"/>
        <v/>
      </c>
      <c r="AU1539" s="3" t="str">
        <f t="shared" ca="1" si="301"/>
        <v/>
      </c>
      <c r="AV1539" s="3" t="str">
        <f t="shared" ca="1" si="302"/>
        <v/>
      </c>
    </row>
    <row r="1540" spans="43:48" x14ac:dyDescent="0.2">
      <c r="AQ1540" s="4" t="str">
        <f t="shared" ca="1" si="303"/>
        <v/>
      </c>
      <c r="AR1540" s="3" t="str">
        <f t="shared" ca="1" si="300"/>
        <v/>
      </c>
      <c r="AS1540" s="63" t="str">
        <f ca="1">IF($AQ1540&lt;&gt;"", INDEX(Inputs!$B$3:$B$101, MATCH($AQ1540,Inputs!$A$3:$A$101,1)), "")</f>
        <v/>
      </c>
      <c r="AT1540" s="48" t="str">
        <f t="shared" ca="1" si="304"/>
        <v/>
      </c>
      <c r="AU1540" s="3" t="str">
        <f t="shared" ca="1" si="301"/>
        <v/>
      </c>
      <c r="AV1540" s="3" t="str">
        <f t="shared" ca="1" si="302"/>
        <v/>
      </c>
    </row>
    <row r="1541" spans="43:48" x14ac:dyDescent="0.2">
      <c r="AQ1541" s="4" t="str">
        <f t="shared" ca="1" si="303"/>
        <v/>
      </c>
      <c r="AR1541" s="3" t="str">
        <f t="shared" ca="1" si="300"/>
        <v/>
      </c>
      <c r="AS1541" s="63" t="str">
        <f ca="1">IF($AQ1541&lt;&gt;"", INDEX(Inputs!$B$3:$B$101, MATCH($AQ1541,Inputs!$A$3:$A$101,1)), "")</f>
        <v/>
      </c>
      <c r="AT1541" s="48" t="str">
        <f t="shared" ca="1" si="304"/>
        <v/>
      </c>
      <c r="AU1541" s="3" t="str">
        <f t="shared" ca="1" si="301"/>
        <v/>
      </c>
      <c r="AV1541" s="3" t="str">
        <f t="shared" ca="1" si="302"/>
        <v/>
      </c>
    </row>
    <row r="1542" spans="43:48" x14ac:dyDescent="0.2">
      <c r="AQ1542" s="4" t="str">
        <f t="shared" ca="1" si="303"/>
        <v/>
      </c>
      <c r="AR1542" s="3" t="str">
        <f t="shared" ca="1" si="300"/>
        <v/>
      </c>
      <c r="AS1542" s="63" t="str">
        <f ca="1">IF($AQ1542&lt;&gt;"", INDEX(Inputs!$B$3:$B$101, MATCH($AQ1542,Inputs!$A$3:$A$101,1)), "")</f>
        <v/>
      </c>
      <c r="AT1542" s="48" t="str">
        <f t="shared" ca="1" si="304"/>
        <v/>
      </c>
      <c r="AU1542" s="3" t="str">
        <f t="shared" ca="1" si="301"/>
        <v/>
      </c>
      <c r="AV1542" s="3" t="str">
        <f t="shared" ca="1" si="302"/>
        <v/>
      </c>
    </row>
    <row r="1543" spans="43:48" x14ac:dyDescent="0.2">
      <c r="AQ1543" s="4" t="str">
        <f t="shared" ca="1" si="303"/>
        <v/>
      </c>
      <c r="AR1543" s="3" t="str">
        <f t="shared" ca="1" si="300"/>
        <v/>
      </c>
      <c r="AS1543" s="63" t="str">
        <f ca="1">IF($AQ1543&lt;&gt;"", INDEX(Inputs!$B$3:$B$101, MATCH($AQ1543,Inputs!$A$3:$A$101,1)), "")</f>
        <v/>
      </c>
      <c r="AT1543" s="48" t="str">
        <f t="shared" ca="1" si="304"/>
        <v/>
      </c>
      <c r="AU1543" s="3" t="str">
        <f t="shared" ca="1" si="301"/>
        <v/>
      </c>
      <c r="AV1543" s="3" t="str">
        <f t="shared" ca="1" si="302"/>
        <v/>
      </c>
    </row>
    <row r="1544" spans="43:48" x14ac:dyDescent="0.2">
      <c r="AQ1544" s="4" t="str">
        <f t="shared" ca="1" si="303"/>
        <v/>
      </c>
      <c r="AR1544" s="3" t="str">
        <f t="shared" ca="1" si="300"/>
        <v/>
      </c>
      <c r="AS1544" s="63" t="str">
        <f ca="1">IF($AQ1544&lt;&gt;"", INDEX(Inputs!$B$3:$B$101, MATCH($AQ1544,Inputs!$A$3:$A$101,1)), "")</f>
        <v/>
      </c>
      <c r="AT1544" s="48" t="str">
        <f t="shared" ca="1" si="304"/>
        <v/>
      </c>
      <c r="AU1544" s="3" t="str">
        <f t="shared" ca="1" si="301"/>
        <v/>
      </c>
      <c r="AV1544" s="3" t="str">
        <f t="shared" ca="1" si="302"/>
        <v/>
      </c>
    </row>
    <row r="1545" spans="43:48" x14ac:dyDescent="0.2">
      <c r="AQ1545" s="4" t="str">
        <f t="shared" ca="1" si="303"/>
        <v/>
      </c>
      <c r="AR1545" s="3" t="str">
        <f t="shared" ca="1" si="300"/>
        <v/>
      </c>
      <c r="AS1545" s="63" t="str">
        <f ca="1">IF($AQ1545&lt;&gt;"", INDEX(Inputs!$B$3:$B$101, MATCH($AQ1545,Inputs!$A$3:$A$101,1)), "")</f>
        <v/>
      </c>
      <c r="AT1545" s="48" t="str">
        <f t="shared" ca="1" si="304"/>
        <v/>
      </c>
      <c r="AU1545" s="3" t="str">
        <f t="shared" ca="1" si="301"/>
        <v/>
      </c>
      <c r="AV1545" s="3" t="str">
        <f t="shared" ca="1" si="302"/>
        <v/>
      </c>
    </row>
    <row r="1546" spans="43:48" x14ac:dyDescent="0.2">
      <c r="AQ1546" s="4" t="str">
        <f t="shared" ca="1" si="303"/>
        <v/>
      </c>
      <c r="AR1546" s="3" t="str">
        <f t="shared" ca="1" si="300"/>
        <v/>
      </c>
      <c r="AS1546" s="63" t="str">
        <f ca="1">IF($AQ1546&lt;&gt;"", INDEX(Inputs!$B$3:$B$101, MATCH($AQ1546,Inputs!$A$3:$A$101,1)), "")</f>
        <v/>
      </c>
      <c r="AT1546" s="48" t="str">
        <f t="shared" ca="1" si="304"/>
        <v/>
      </c>
      <c r="AU1546" s="3" t="str">
        <f t="shared" ca="1" si="301"/>
        <v/>
      </c>
      <c r="AV1546" s="3" t="str">
        <f t="shared" ca="1" si="302"/>
        <v/>
      </c>
    </row>
    <row r="1547" spans="43:48" x14ac:dyDescent="0.2">
      <c r="AQ1547" s="4" t="str">
        <f t="shared" ca="1" si="303"/>
        <v/>
      </c>
      <c r="AR1547" s="3" t="str">
        <f t="shared" ca="1" si="300"/>
        <v/>
      </c>
      <c r="AS1547" s="63" t="str">
        <f ca="1">IF($AQ1547&lt;&gt;"", INDEX(Inputs!$B$3:$B$101, MATCH($AQ1547,Inputs!$A$3:$A$101,1)), "")</f>
        <v/>
      </c>
      <c r="AT1547" s="48" t="str">
        <f t="shared" ca="1" si="304"/>
        <v/>
      </c>
      <c r="AU1547" s="3" t="str">
        <f t="shared" ca="1" si="301"/>
        <v/>
      </c>
      <c r="AV1547" s="3" t="str">
        <f t="shared" ca="1" si="302"/>
        <v/>
      </c>
    </row>
    <row r="1548" spans="43:48" x14ac:dyDescent="0.2">
      <c r="AQ1548" s="4" t="str">
        <f t="shared" ca="1" si="303"/>
        <v/>
      </c>
      <c r="AR1548" s="3" t="str">
        <f t="shared" ca="1" si="300"/>
        <v/>
      </c>
      <c r="AS1548" s="63" t="str">
        <f ca="1">IF($AQ1548&lt;&gt;"", INDEX(Inputs!$B$3:$B$101, MATCH($AQ1548,Inputs!$A$3:$A$101,1)), "")</f>
        <v/>
      </c>
      <c r="AT1548" s="48" t="str">
        <f t="shared" ca="1" si="304"/>
        <v/>
      </c>
      <c r="AU1548" s="3" t="str">
        <f t="shared" ca="1" si="301"/>
        <v/>
      </c>
      <c r="AV1548" s="3" t="str">
        <f t="shared" ca="1" si="302"/>
        <v/>
      </c>
    </row>
    <row r="1549" spans="43:48" x14ac:dyDescent="0.2">
      <c r="AQ1549" s="4" t="str">
        <f t="shared" ca="1" si="303"/>
        <v/>
      </c>
      <c r="AR1549" s="3" t="str">
        <f t="shared" ca="1" si="300"/>
        <v/>
      </c>
      <c r="AS1549" s="63" t="str">
        <f ca="1">IF($AQ1549&lt;&gt;"", INDEX(Inputs!$B$3:$B$101, MATCH($AQ1549,Inputs!$A$3:$A$101,1)), "")</f>
        <v/>
      </c>
      <c r="AT1549" s="48" t="str">
        <f t="shared" ca="1" si="304"/>
        <v/>
      </c>
      <c r="AU1549" s="3" t="str">
        <f t="shared" ca="1" si="301"/>
        <v/>
      </c>
      <c r="AV1549" s="3" t="str">
        <f t="shared" ca="1" si="302"/>
        <v/>
      </c>
    </row>
    <row r="1550" spans="43:48" x14ac:dyDescent="0.2">
      <c r="AQ1550" s="4" t="str">
        <f t="shared" ca="1" si="303"/>
        <v/>
      </c>
      <c r="AR1550" s="3" t="str">
        <f t="shared" ca="1" si="300"/>
        <v/>
      </c>
      <c r="AS1550" s="63" t="str">
        <f ca="1">IF($AQ1550&lt;&gt;"", INDEX(Inputs!$B$3:$B$101, MATCH($AQ1550,Inputs!$A$3:$A$101,1)), "")</f>
        <v/>
      </c>
      <c r="AT1550" s="48" t="str">
        <f t="shared" ca="1" si="304"/>
        <v/>
      </c>
      <c r="AU1550" s="3" t="str">
        <f t="shared" ca="1" si="301"/>
        <v/>
      </c>
      <c r="AV1550" s="3" t="str">
        <f t="shared" ca="1" si="302"/>
        <v/>
      </c>
    </row>
    <row r="1551" spans="43:48" x14ac:dyDescent="0.2">
      <c r="AQ1551" s="4" t="str">
        <f t="shared" ca="1" si="303"/>
        <v/>
      </c>
      <c r="AR1551" s="3" t="str">
        <f t="shared" ca="1" si="300"/>
        <v/>
      </c>
      <c r="AS1551" s="63" t="str">
        <f ca="1">IF($AQ1551&lt;&gt;"", INDEX(Inputs!$B$3:$B$101, MATCH($AQ1551,Inputs!$A$3:$A$101,1)), "")</f>
        <v/>
      </c>
      <c r="AT1551" s="48" t="str">
        <f t="shared" ca="1" si="304"/>
        <v/>
      </c>
      <c r="AU1551" s="3" t="str">
        <f t="shared" ca="1" si="301"/>
        <v/>
      </c>
      <c r="AV1551" s="3" t="str">
        <f t="shared" ca="1" si="302"/>
        <v/>
      </c>
    </row>
    <row r="1552" spans="43:48" x14ac:dyDescent="0.2">
      <c r="AQ1552" s="4" t="str">
        <f t="shared" ca="1" si="303"/>
        <v/>
      </c>
      <c r="AR1552" s="3" t="str">
        <f t="shared" ca="1" si="300"/>
        <v/>
      </c>
      <c r="AS1552" s="63" t="str">
        <f ca="1">IF($AQ1552&lt;&gt;"", INDEX(Inputs!$B$3:$B$101, MATCH($AQ1552,Inputs!$A$3:$A$101,1)), "")</f>
        <v/>
      </c>
      <c r="AT1552" s="48" t="str">
        <f t="shared" ca="1" si="304"/>
        <v/>
      </c>
      <c r="AU1552" s="3" t="str">
        <f t="shared" ca="1" si="301"/>
        <v/>
      </c>
      <c r="AV1552" s="3" t="str">
        <f t="shared" ca="1" si="302"/>
        <v/>
      </c>
    </row>
    <row r="1553" spans="43:48" x14ac:dyDescent="0.2">
      <c r="AQ1553" s="4" t="str">
        <f t="shared" ca="1" si="303"/>
        <v/>
      </c>
      <c r="AR1553" s="3" t="str">
        <f t="shared" ca="1" si="300"/>
        <v/>
      </c>
      <c r="AS1553" s="63" t="str">
        <f ca="1">IF($AQ1553&lt;&gt;"", INDEX(Inputs!$B$3:$B$101, MATCH($AQ1553,Inputs!$A$3:$A$101,1)), "")</f>
        <v/>
      </c>
      <c r="AT1553" s="48" t="str">
        <f t="shared" ca="1" si="304"/>
        <v/>
      </c>
      <c r="AU1553" s="3" t="str">
        <f t="shared" ca="1" si="301"/>
        <v/>
      </c>
      <c r="AV1553" s="3" t="str">
        <f t="shared" ca="1" si="302"/>
        <v/>
      </c>
    </row>
    <row r="1554" spans="43:48" x14ac:dyDescent="0.2">
      <c r="AQ1554" s="4" t="str">
        <f t="shared" ca="1" si="303"/>
        <v/>
      </c>
      <c r="AR1554" s="3" t="str">
        <f t="shared" ca="1" si="300"/>
        <v/>
      </c>
      <c r="AS1554" s="63" t="str">
        <f ca="1">IF($AQ1554&lt;&gt;"", INDEX(Inputs!$B$3:$B$101, MATCH($AQ1554,Inputs!$A$3:$A$101,1)), "")</f>
        <v/>
      </c>
      <c r="AT1554" s="48" t="str">
        <f t="shared" ca="1" si="304"/>
        <v/>
      </c>
      <c r="AU1554" s="3" t="str">
        <f t="shared" ca="1" si="301"/>
        <v/>
      </c>
      <c r="AV1554" s="3" t="str">
        <f t="shared" ca="1" si="302"/>
        <v/>
      </c>
    </row>
    <row r="1555" spans="43:48" x14ac:dyDescent="0.2">
      <c r="AQ1555" s="4" t="str">
        <f t="shared" ca="1" si="303"/>
        <v/>
      </c>
      <c r="AR1555" s="3" t="str">
        <f t="shared" ca="1" si="300"/>
        <v/>
      </c>
      <c r="AS1555" s="63" t="str">
        <f ca="1">IF($AQ1555&lt;&gt;"", INDEX(Inputs!$B$3:$B$101, MATCH($AQ1555,Inputs!$A$3:$A$101,1)), "")</f>
        <v/>
      </c>
      <c r="AT1555" s="48" t="str">
        <f t="shared" ca="1" si="304"/>
        <v/>
      </c>
      <c r="AU1555" s="3" t="str">
        <f t="shared" ca="1" si="301"/>
        <v/>
      </c>
      <c r="AV1555" s="3" t="str">
        <f t="shared" ca="1" si="302"/>
        <v/>
      </c>
    </row>
    <row r="1556" spans="43:48" x14ac:dyDescent="0.2">
      <c r="AQ1556" s="4" t="str">
        <f t="shared" ca="1" si="303"/>
        <v/>
      </c>
      <c r="AR1556" s="3" t="str">
        <f t="shared" ca="1" si="300"/>
        <v/>
      </c>
      <c r="AS1556" s="63" t="str">
        <f ca="1">IF($AQ1556&lt;&gt;"", INDEX(Inputs!$B$3:$B$101, MATCH($AQ1556,Inputs!$A$3:$A$101,1)), "")</f>
        <v/>
      </c>
      <c r="AT1556" s="48" t="str">
        <f t="shared" ca="1" si="304"/>
        <v/>
      </c>
      <c r="AU1556" s="3" t="str">
        <f t="shared" ca="1" si="301"/>
        <v/>
      </c>
      <c r="AV1556" s="3" t="str">
        <f t="shared" ca="1" si="302"/>
        <v/>
      </c>
    </row>
    <row r="1557" spans="43:48" x14ac:dyDescent="0.2">
      <c r="AQ1557" s="4" t="str">
        <f t="shared" ca="1" si="303"/>
        <v/>
      </c>
      <c r="AR1557" s="3" t="str">
        <f t="shared" ca="1" si="300"/>
        <v/>
      </c>
      <c r="AS1557" s="63" t="str">
        <f ca="1">IF($AQ1557&lt;&gt;"", INDEX(Inputs!$B$3:$B$101, MATCH($AQ1557,Inputs!$A$3:$A$101,1)), "")</f>
        <v/>
      </c>
      <c r="AT1557" s="48" t="str">
        <f t="shared" ca="1" si="304"/>
        <v/>
      </c>
      <c r="AU1557" s="3" t="str">
        <f t="shared" ca="1" si="301"/>
        <v/>
      </c>
      <c r="AV1557" s="3" t="str">
        <f t="shared" ca="1" si="302"/>
        <v/>
      </c>
    </row>
    <row r="1558" spans="43:48" x14ac:dyDescent="0.2">
      <c r="AQ1558" s="4" t="str">
        <f t="shared" ca="1" si="303"/>
        <v/>
      </c>
      <c r="AR1558" s="3" t="str">
        <f t="shared" ca="1" si="300"/>
        <v/>
      </c>
      <c r="AS1558" s="63" t="str">
        <f ca="1">IF($AQ1558&lt;&gt;"", INDEX(Inputs!$B$3:$B$101, MATCH($AQ1558,Inputs!$A$3:$A$101,1)), "")</f>
        <v/>
      </c>
      <c r="AT1558" s="48" t="str">
        <f t="shared" ca="1" si="304"/>
        <v/>
      </c>
      <c r="AU1558" s="3" t="str">
        <f t="shared" ca="1" si="301"/>
        <v/>
      </c>
      <c r="AV1558" s="3" t="str">
        <f t="shared" ca="1" si="302"/>
        <v/>
      </c>
    </row>
    <row r="1559" spans="43:48" x14ac:dyDescent="0.2">
      <c r="AQ1559" s="4" t="str">
        <f t="shared" ca="1" si="303"/>
        <v/>
      </c>
      <c r="AR1559" s="3" t="str">
        <f t="shared" ca="1" si="300"/>
        <v/>
      </c>
      <c r="AS1559" s="63" t="str">
        <f ca="1">IF($AQ1559&lt;&gt;"", INDEX(Inputs!$B$3:$B$101, MATCH($AQ1559,Inputs!$A$3:$A$101,1)), "")</f>
        <v/>
      </c>
      <c r="AT1559" s="48" t="str">
        <f t="shared" ca="1" si="304"/>
        <v/>
      </c>
      <c r="AU1559" s="3" t="str">
        <f t="shared" ca="1" si="301"/>
        <v/>
      </c>
      <c r="AV1559" s="3" t="str">
        <f t="shared" ca="1" si="302"/>
        <v/>
      </c>
    </row>
    <row r="1560" spans="43:48" x14ac:dyDescent="0.2">
      <c r="AQ1560" s="4" t="str">
        <f t="shared" ca="1" si="303"/>
        <v/>
      </c>
      <c r="AR1560" s="3" t="str">
        <f t="shared" ca="1" si="300"/>
        <v/>
      </c>
      <c r="AS1560" s="63" t="str">
        <f ca="1">IF($AQ1560&lt;&gt;"", INDEX(Inputs!$B$3:$B$101, MATCH($AQ1560,Inputs!$A$3:$A$101,1)), "")</f>
        <v/>
      </c>
      <c r="AT1560" s="48" t="str">
        <f t="shared" ca="1" si="304"/>
        <v/>
      </c>
      <c r="AU1560" s="3" t="str">
        <f t="shared" ca="1" si="301"/>
        <v/>
      </c>
      <c r="AV1560" s="3" t="str">
        <f t="shared" ca="1" si="302"/>
        <v/>
      </c>
    </row>
    <row r="1561" spans="43:48" x14ac:dyDescent="0.2">
      <c r="AQ1561" s="4" t="str">
        <f t="shared" ca="1" si="303"/>
        <v/>
      </c>
      <c r="AR1561" s="3" t="str">
        <f t="shared" ref="AR1561:AR1624" ca="1" si="305">IF($AQ1561&lt;&gt;"", INDEX($AC$3:$AC$1055, MATCH($AQ1561,$A$3:$A$1055,1)), "")</f>
        <v/>
      </c>
      <c r="AS1561" s="63" t="str">
        <f ca="1">IF($AQ1561&lt;&gt;"", INDEX(Inputs!$B$3:$B$101, MATCH($AQ1561,Inputs!$A$3:$A$101,1)), "")</f>
        <v/>
      </c>
      <c r="AT1561" s="48" t="str">
        <f t="shared" ca="1" si="304"/>
        <v/>
      </c>
      <c r="AU1561" s="3" t="str">
        <f t="shared" ref="AU1561:AU1624" ca="1" si="306">IF($AQ1561&lt;&gt;"", SUMIFS($AL$3:$AL$1054, $A$3:$A$1054,$AQ1561) + SUMIFS($M$3:$M$1054, $A$3:$A$1054,$AQ1561)*IFERROR(AVERAGEIFS($L$3:$L$1054, $A$3:$A$1054,$AQ1561, $M$3:$M$1054,"&gt;0"),0) - AT1561, "")</f>
        <v/>
      </c>
      <c r="AV1561" s="3" t="str">
        <f t="shared" ca="1" si="302"/>
        <v/>
      </c>
    </row>
    <row r="1562" spans="43:48" x14ac:dyDescent="0.2">
      <c r="AQ1562" s="4" t="str">
        <f t="shared" ca="1" si="303"/>
        <v/>
      </c>
      <c r="AR1562" s="3" t="str">
        <f t="shared" ca="1" si="305"/>
        <v/>
      </c>
      <c r="AS1562" s="63" t="str">
        <f ca="1">IF($AQ1562&lt;&gt;"", INDEX(Inputs!$B$3:$B$101, MATCH($AQ1562,Inputs!$A$3:$A$101,1)), "")</f>
        <v/>
      </c>
      <c r="AT1562" s="48" t="str">
        <f t="shared" ca="1" si="304"/>
        <v/>
      </c>
      <c r="AU1562" s="3" t="str">
        <f t="shared" ca="1" si="306"/>
        <v/>
      </c>
      <c r="AV1562" s="3" t="str">
        <f t="shared" ca="1" si="302"/>
        <v/>
      </c>
    </row>
    <row r="1563" spans="43:48" x14ac:dyDescent="0.2">
      <c r="AQ1563" s="4" t="str">
        <f t="shared" ca="1" si="303"/>
        <v/>
      </c>
      <c r="AR1563" s="3" t="str">
        <f t="shared" ca="1" si="305"/>
        <v/>
      </c>
      <c r="AS1563" s="63" t="str">
        <f ca="1">IF($AQ1563&lt;&gt;"", INDEX(Inputs!$B$3:$B$101, MATCH($AQ1563,Inputs!$A$3:$A$101,1)), "")</f>
        <v/>
      </c>
      <c r="AT1563" s="48" t="str">
        <f t="shared" ca="1" si="304"/>
        <v/>
      </c>
      <c r="AU1563" s="3" t="str">
        <f t="shared" ca="1" si="306"/>
        <v/>
      </c>
      <c r="AV1563" s="3" t="str">
        <f t="shared" ca="1" si="302"/>
        <v/>
      </c>
    </row>
    <row r="1564" spans="43:48" x14ac:dyDescent="0.2">
      <c r="AQ1564" s="4" t="str">
        <f t="shared" ca="1" si="303"/>
        <v/>
      </c>
      <c r="AR1564" s="3" t="str">
        <f t="shared" ca="1" si="305"/>
        <v/>
      </c>
      <c r="AS1564" s="63" t="str">
        <f ca="1">IF($AQ1564&lt;&gt;"", INDEX(Inputs!$B$3:$B$101, MATCH($AQ1564,Inputs!$A$3:$A$101,1)), "")</f>
        <v/>
      </c>
      <c r="AT1564" s="48" t="str">
        <f t="shared" ca="1" si="304"/>
        <v/>
      </c>
      <c r="AU1564" s="3" t="str">
        <f t="shared" ca="1" si="306"/>
        <v/>
      </c>
      <c r="AV1564" s="3" t="str">
        <f t="shared" ca="1" si="302"/>
        <v/>
      </c>
    </row>
    <row r="1565" spans="43:48" x14ac:dyDescent="0.2">
      <c r="AQ1565" s="4" t="str">
        <f t="shared" ca="1" si="303"/>
        <v/>
      </c>
      <c r="AR1565" s="3" t="str">
        <f t="shared" ca="1" si="305"/>
        <v/>
      </c>
      <c r="AS1565" s="63" t="str">
        <f ca="1">IF($AQ1565&lt;&gt;"", INDEX(Inputs!$B$3:$B$101, MATCH($AQ1565,Inputs!$A$3:$A$101,1)), "")</f>
        <v/>
      </c>
      <c r="AT1565" s="48" t="str">
        <f t="shared" ca="1" si="304"/>
        <v/>
      </c>
      <c r="AU1565" s="3" t="str">
        <f t="shared" ca="1" si="306"/>
        <v/>
      </c>
      <c r="AV1565" s="3" t="str">
        <f t="shared" ca="1" si="302"/>
        <v/>
      </c>
    </row>
    <row r="1566" spans="43:48" x14ac:dyDescent="0.2">
      <c r="AQ1566" s="4" t="str">
        <f t="shared" ca="1" si="303"/>
        <v/>
      </c>
      <c r="AR1566" s="3" t="str">
        <f t="shared" ca="1" si="305"/>
        <v/>
      </c>
      <c r="AS1566" s="63" t="str">
        <f ca="1">IF($AQ1566&lt;&gt;"", INDEX(Inputs!$B$3:$B$101, MATCH($AQ1566,Inputs!$A$3:$A$101,1)), "")</f>
        <v/>
      </c>
      <c r="AT1566" s="48" t="str">
        <f t="shared" ca="1" si="304"/>
        <v/>
      </c>
      <c r="AU1566" s="3" t="str">
        <f t="shared" ca="1" si="306"/>
        <v/>
      </c>
      <c r="AV1566" s="3" t="str">
        <f t="shared" ca="1" si="302"/>
        <v/>
      </c>
    </row>
    <row r="1567" spans="43:48" x14ac:dyDescent="0.2">
      <c r="AQ1567" s="4" t="str">
        <f t="shared" ca="1" si="303"/>
        <v/>
      </c>
      <c r="AR1567" s="3" t="str">
        <f t="shared" ca="1" si="305"/>
        <v/>
      </c>
      <c r="AS1567" s="63" t="str">
        <f ca="1">IF($AQ1567&lt;&gt;"", INDEX(Inputs!$B$3:$B$101, MATCH($AQ1567,Inputs!$A$3:$A$101,1)), "")</f>
        <v/>
      </c>
      <c r="AT1567" s="48" t="str">
        <f t="shared" ca="1" si="304"/>
        <v/>
      </c>
      <c r="AU1567" s="3" t="str">
        <f t="shared" ca="1" si="306"/>
        <v/>
      </c>
      <c r="AV1567" s="3" t="str">
        <f t="shared" ca="1" si="302"/>
        <v/>
      </c>
    </row>
    <row r="1568" spans="43:48" x14ac:dyDescent="0.2">
      <c r="AQ1568" s="4" t="str">
        <f t="shared" ca="1" si="303"/>
        <v/>
      </c>
      <c r="AR1568" s="3" t="str">
        <f t="shared" ca="1" si="305"/>
        <v/>
      </c>
      <c r="AS1568" s="63" t="str">
        <f ca="1">IF($AQ1568&lt;&gt;"", INDEX(Inputs!$B$3:$B$101, MATCH($AQ1568,Inputs!$A$3:$A$101,1)), "")</f>
        <v/>
      </c>
      <c r="AT1568" s="48" t="str">
        <f t="shared" ca="1" si="304"/>
        <v/>
      </c>
      <c r="AU1568" s="3" t="str">
        <f t="shared" ca="1" si="306"/>
        <v/>
      </c>
      <c r="AV1568" s="3" t="str">
        <f t="shared" ref="AV1568:AV1631" ca="1" si="307">IF(AQ1568&lt;&gt;"", AU1568*(1+$X$9/CompoundingRate)^-((AQ1568-AQ$3)/(365/CompoundingRate)), "")</f>
        <v/>
      </c>
    </row>
    <row r="1569" spans="43:48" x14ac:dyDescent="0.2">
      <c r="AQ1569" s="4" t="str">
        <f t="shared" ca="1" si="303"/>
        <v/>
      </c>
      <c r="AR1569" s="3" t="str">
        <f t="shared" ca="1" si="305"/>
        <v/>
      </c>
      <c r="AS1569" s="63" t="str">
        <f ca="1">IF($AQ1569&lt;&gt;"", INDEX(Inputs!$B$3:$B$101, MATCH($AQ1569,Inputs!$A$3:$A$101,1)), "")</f>
        <v/>
      </c>
      <c r="AT1569" s="48" t="str">
        <f t="shared" ca="1" si="304"/>
        <v/>
      </c>
      <c r="AU1569" s="3" t="str">
        <f t="shared" ca="1" si="306"/>
        <v/>
      </c>
      <c r="AV1569" s="3" t="str">
        <f t="shared" ca="1" si="307"/>
        <v/>
      </c>
    </row>
    <row r="1570" spans="43:48" x14ac:dyDescent="0.2">
      <c r="AQ1570" s="4" t="str">
        <f t="shared" ca="1" si="303"/>
        <v/>
      </c>
      <c r="AR1570" s="3" t="str">
        <f t="shared" ca="1" si="305"/>
        <v/>
      </c>
      <c r="AS1570" s="63" t="str">
        <f ca="1">IF($AQ1570&lt;&gt;"", INDEX(Inputs!$B$3:$B$101, MATCH($AQ1570,Inputs!$A$3:$A$101,1)), "")</f>
        <v/>
      </c>
      <c r="AT1570" s="48" t="str">
        <f t="shared" ca="1" si="304"/>
        <v/>
      </c>
      <c r="AU1570" s="3" t="str">
        <f t="shared" ca="1" si="306"/>
        <v/>
      </c>
      <c r="AV1570" s="3" t="str">
        <f t="shared" ca="1" si="307"/>
        <v/>
      </c>
    </row>
    <row r="1571" spans="43:48" x14ac:dyDescent="0.2">
      <c r="AQ1571" s="4" t="str">
        <f t="shared" ca="1" si="303"/>
        <v/>
      </c>
      <c r="AR1571" s="3" t="str">
        <f t="shared" ca="1" si="305"/>
        <v/>
      </c>
      <c r="AS1571" s="63" t="str">
        <f ca="1">IF($AQ1571&lt;&gt;"", INDEX(Inputs!$B$3:$B$101, MATCH($AQ1571,Inputs!$A$3:$A$101,1)), "")</f>
        <v/>
      </c>
      <c r="AT1571" s="48" t="str">
        <f t="shared" ca="1" si="304"/>
        <v/>
      </c>
      <c r="AU1571" s="3" t="str">
        <f t="shared" ca="1" si="306"/>
        <v/>
      </c>
      <c r="AV1571" s="3" t="str">
        <f t="shared" ca="1" si="307"/>
        <v/>
      </c>
    </row>
    <row r="1572" spans="43:48" x14ac:dyDescent="0.2">
      <c r="AQ1572" s="4" t="str">
        <f t="shared" ca="1" si="303"/>
        <v/>
      </c>
      <c r="AR1572" s="3" t="str">
        <f t="shared" ca="1" si="305"/>
        <v/>
      </c>
      <c r="AS1572" s="63" t="str">
        <f ca="1">IF($AQ1572&lt;&gt;"", INDEX(Inputs!$B$3:$B$101, MATCH($AQ1572,Inputs!$A$3:$A$101,1)), "")</f>
        <v/>
      </c>
      <c r="AT1572" s="48" t="str">
        <f t="shared" ca="1" si="304"/>
        <v/>
      </c>
      <c r="AU1572" s="3" t="str">
        <f t="shared" ca="1" si="306"/>
        <v/>
      </c>
      <c r="AV1572" s="3" t="str">
        <f t="shared" ca="1" si="307"/>
        <v/>
      </c>
    </row>
    <row r="1573" spans="43:48" x14ac:dyDescent="0.2">
      <c r="AQ1573" s="4" t="str">
        <f t="shared" ca="1" si="303"/>
        <v/>
      </c>
      <c r="AR1573" s="3" t="str">
        <f t="shared" ca="1" si="305"/>
        <v/>
      </c>
      <c r="AS1573" s="63" t="str">
        <f ca="1">IF($AQ1573&lt;&gt;"", INDEX(Inputs!$B$3:$B$101, MATCH($AQ1573,Inputs!$A$3:$A$101,1)), "")</f>
        <v/>
      </c>
      <c r="AT1573" s="48" t="str">
        <f t="shared" ca="1" si="304"/>
        <v/>
      </c>
      <c r="AU1573" s="3" t="str">
        <f t="shared" ca="1" si="306"/>
        <v/>
      </c>
      <c r="AV1573" s="3" t="str">
        <f t="shared" ca="1" si="307"/>
        <v/>
      </c>
    </row>
    <row r="1574" spans="43:48" x14ac:dyDescent="0.2">
      <c r="AQ1574" s="4" t="str">
        <f t="shared" ca="1" si="303"/>
        <v/>
      </c>
      <c r="AR1574" s="3" t="str">
        <f t="shared" ca="1" si="305"/>
        <v/>
      </c>
      <c r="AS1574" s="63" t="str">
        <f ca="1">IF($AQ1574&lt;&gt;"", INDEX(Inputs!$B$3:$B$101, MATCH($AQ1574,Inputs!$A$3:$A$101,1)), "")</f>
        <v/>
      </c>
      <c r="AT1574" s="48" t="str">
        <f t="shared" ca="1" si="304"/>
        <v/>
      </c>
      <c r="AU1574" s="3" t="str">
        <f t="shared" ca="1" si="306"/>
        <v/>
      </c>
      <c r="AV1574" s="3" t="str">
        <f t="shared" ca="1" si="307"/>
        <v/>
      </c>
    </row>
    <row r="1575" spans="43:48" x14ac:dyDescent="0.2">
      <c r="AQ1575" s="4" t="str">
        <f t="shared" ca="1" si="303"/>
        <v/>
      </c>
      <c r="AR1575" s="3" t="str">
        <f t="shared" ca="1" si="305"/>
        <v/>
      </c>
      <c r="AS1575" s="63" t="str">
        <f ca="1">IF($AQ1575&lt;&gt;"", INDEX(Inputs!$B$3:$B$101, MATCH($AQ1575,Inputs!$A$3:$A$101,1)), "")</f>
        <v/>
      </c>
      <c r="AT1575" s="48" t="str">
        <f t="shared" ca="1" si="304"/>
        <v/>
      </c>
      <c r="AU1575" s="3" t="str">
        <f t="shared" ca="1" si="306"/>
        <v/>
      </c>
      <c r="AV1575" s="3" t="str">
        <f t="shared" ca="1" si="307"/>
        <v/>
      </c>
    </row>
    <row r="1576" spans="43:48" x14ac:dyDescent="0.2">
      <c r="AQ1576" s="4" t="str">
        <f t="shared" ca="1" si="303"/>
        <v/>
      </c>
      <c r="AR1576" s="3" t="str">
        <f t="shared" ca="1" si="305"/>
        <v/>
      </c>
      <c r="AS1576" s="63" t="str">
        <f ca="1">IF($AQ1576&lt;&gt;"", INDEX(Inputs!$B$3:$B$101, MATCH($AQ1576,Inputs!$A$3:$A$101,1)), "")</f>
        <v/>
      </c>
      <c r="AT1576" s="48" t="str">
        <f t="shared" ca="1" si="304"/>
        <v/>
      </c>
      <c r="AU1576" s="3" t="str">
        <f t="shared" ca="1" si="306"/>
        <v/>
      </c>
      <c r="AV1576" s="3" t="str">
        <f t="shared" ca="1" si="307"/>
        <v/>
      </c>
    </row>
    <row r="1577" spans="43:48" x14ac:dyDescent="0.2">
      <c r="AQ1577" s="4" t="str">
        <f t="shared" ca="1" si="303"/>
        <v/>
      </c>
      <c r="AR1577" s="3" t="str">
        <f t="shared" ca="1" si="305"/>
        <v/>
      </c>
      <c r="AS1577" s="63" t="str">
        <f ca="1">IF($AQ1577&lt;&gt;"", INDEX(Inputs!$B$3:$B$101, MATCH($AQ1577,Inputs!$A$3:$A$101,1)), "")</f>
        <v/>
      </c>
      <c r="AT1577" s="48" t="str">
        <f t="shared" ca="1" si="304"/>
        <v/>
      </c>
      <c r="AU1577" s="3" t="str">
        <f t="shared" ca="1" si="306"/>
        <v/>
      </c>
      <c r="AV1577" s="3" t="str">
        <f t="shared" ca="1" si="307"/>
        <v/>
      </c>
    </row>
    <row r="1578" spans="43:48" x14ac:dyDescent="0.2">
      <c r="AQ1578" s="4" t="str">
        <f t="shared" ca="1" si="303"/>
        <v/>
      </c>
      <c r="AR1578" s="3" t="str">
        <f t="shared" ca="1" si="305"/>
        <v/>
      </c>
      <c r="AS1578" s="63" t="str">
        <f ca="1">IF($AQ1578&lt;&gt;"", INDEX(Inputs!$B$3:$B$101, MATCH($AQ1578,Inputs!$A$3:$A$101,1)), "")</f>
        <v/>
      </c>
      <c r="AT1578" s="48" t="str">
        <f t="shared" ca="1" si="304"/>
        <v/>
      </c>
      <c r="AU1578" s="3" t="str">
        <f t="shared" ca="1" si="306"/>
        <v/>
      </c>
      <c r="AV1578" s="3" t="str">
        <f t="shared" ca="1" si="307"/>
        <v/>
      </c>
    </row>
    <row r="1579" spans="43:48" x14ac:dyDescent="0.2">
      <c r="AQ1579" s="4" t="str">
        <f t="shared" ca="1" si="303"/>
        <v/>
      </c>
      <c r="AR1579" s="3" t="str">
        <f t="shared" ca="1" si="305"/>
        <v/>
      </c>
      <c r="AS1579" s="63" t="str">
        <f ca="1">IF($AQ1579&lt;&gt;"", INDEX(Inputs!$B$3:$B$101, MATCH($AQ1579,Inputs!$A$3:$A$101,1)), "")</f>
        <v/>
      </c>
      <c r="AT1579" s="48" t="str">
        <f t="shared" ca="1" si="304"/>
        <v/>
      </c>
      <c r="AU1579" s="3" t="str">
        <f t="shared" ca="1" si="306"/>
        <v/>
      </c>
      <c r="AV1579" s="3" t="str">
        <f t="shared" ca="1" si="307"/>
        <v/>
      </c>
    </row>
    <row r="1580" spans="43:48" x14ac:dyDescent="0.2">
      <c r="AQ1580" s="4" t="str">
        <f t="shared" ca="1" si="303"/>
        <v/>
      </c>
      <c r="AR1580" s="3" t="str">
        <f t="shared" ca="1" si="305"/>
        <v/>
      </c>
      <c r="AS1580" s="63" t="str">
        <f ca="1">IF($AQ1580&lt;&gt;"", INDEX(Inputs!$B$3:$B$101, MATCH($AQ1580,Inputs!$A$3:$A$101,1)), "")</f>
        <v/>
      </c>
      <c r="AT1580" s="48" t="str">
        <f t="shared" ca="1" si="304"/>
        <v/>
      </c>
      <c r="AU1580" s="3" t="str">
        <f t="shared" ca="1" si="306"/>
        <v/>
      </c>
      <c r="AV1580" s="3" t="str">
        <f t="shared" ca="1" si="307"/>
        <v/>
      </c>
    </row>
    <row r="1581" spans="43:48" x14ac:dyDescent="0.2">
      <c r="AQ1581" s="4" t="str">
        <f t="shared" ca="1" si="303"/>
        <v/>
      </c>
      <c r="AR1581" s="3" t="str">
        <f t="shared" ca="1" si="305"/>
        <v/>
      </c>
      <c r="AS1581" s="63" t="str">
        <f ca="1">IF($AQ1581&lt;&gt;"", INDEX(Inputs!$B$3:$B$101, MATCH($AQ1581,Inputs!$A$3:$A$101,1)), "")</f>
        <v/>
      </c>
      <c r="AT1581" s="48" t="str">
        <f t="shared" ca="1" si="304"/>
        <v/>
      </c>
      <c r="AU1581" s="3" t="str">
        <f t="shared" ca="1" si="306"/>
        <v/>
      </c>
      <c r="AV1581" s="3" t="str">
        <f t="shared" ca="1" si="307"/>
        <v/>
      </c>
    </row>
    <row r="1582" spans="43:48" x14ac:dyDescent="0.2">
      <c r="AQ1582" s="4" t="str">
        <f t="shared" ca="1" si="303"/>
        <v/>
      </c>
      <c r="AR1582" s="3" t="str">
        <f t="shared" ca="1" si="305"/>
        <v/>
      </c>
      <c r="AS1582" s="63" t="str">
        <f ca="1">IF($AQ1582&lt;&gt;"", INDEX(Inputs!$B$3:$B$101, MATCH($AQ1582,Inputs!$A$3:$A$101,1)), "")</f>
        <v/>
      </c>
      <c r="AT1582" s="48" t="str">
        <f t="shared" ca="1" si="304"/>
        <v/>
      </c>
      <c r="AU1582" s="3" t="str">
        <f t="shared" ca="1" si="306"/>
        <v/>
      </c>
      <c r="AV1582" s="3" t="str">
        <f t="shared" ca="1" si="307"/>
        <v/>
      </c>
    </row>
    <row r="1583" spans="43:48" x14ac:dyDescent="0.2">
      <c r="AQ1583" s="4" t="str">
        <f t="shared" ca="1" si="303"/>
        <v/>
      </c>
      <c r="AR1583" s="3" t="str">
        <f t="shared" ca="1" si="305"/>
        <v/>
      </c>
      <c r="AS1583" s="63" t="str">
        <f ca="1">IF($AQ1583&lt;&gt;"", INDEX(Inputs!$B$3:$B$101, MATCH($AQ1583,Inputs!$A$3:$A$101,1)), "")</f>
        <v/>
      </c>
      <c r="AT1583" s="48" t="str">
        <f t="shared" ca="1" si="304"/>
        <v/>
      </c>
      <c r="AU1583" s="3" t="str">
        <f t="shared" ca="1" si="306"/>
        <v/>
      </c>
      <c r="AV1583" s="3" t="str">
        <f t="shared" ca="1" si="307"/>
        <v/>
      </c>
    </row>
    <row r="1584" spans="43:48" x14ac:dyDescent="0.2">
      <c r="AQ1584" s="4" t="str">
        <f t="shared" ca="1" si="303"/>
        <v/>
      </c>
      <c r="AR1584" s="3" t="str">
        <f t="shared" ca="1" si="305"/>
        <v/>
      </c>
      <c r="AS1584" s="63" t="str">
        <f ca="1">IF($AQ1584&lt;&gt;"", INDEX(Inputs!$B$3:$B$101, MATCH($AQ1584,Inputs!$A$3:$A$101,1)), "")</f>
        <v/>
      </c>
      <c r="AT1584" s="48" t="str">
        <f t="shared" ca="1" si="304"/>
        <v/>
      </c>
      <c r="AU1584" s="3" t="str">
        <f t="shared" ca="1" si="306"/>
        <v/>
      </c>
      <c r="AV1584" s="3" t="str">
        <f t="shared" ca="1" si="307"/>
        <v/>
      </c>
    </row>
    <row r="1585" spans="43:48" x14ac:dyDescent="0.2">
      <c r="AQ1585" s="4" t="str">
        <f t="shared" ca="1" si="303"/>
        <v/>
      </c>
      <c r="AR1585" s="3" t="str">
        <f t="shared" ca="1" si="305"/>
        <v/>
      </c>
      <c r="AS1585" s="63" t="str">
        <f ca="1">IF($AQ1585&lt;&gt;"", INDEX(Inputs!$B$3:$B$101, MATCH($AQ1585,Inputs!$A$3:$A$101,1)), "")</f>
        <v/>
      </c>
      <c r="AT1585" s="48" t="str">
        <f t="shared" ca="1" si="304"/>
        <v/>
      </c>
      <c r="AU1585" s="3" t="str">
        <f t="shared" ca="1" si="306"/>
        <v/>
      </c>
      <c r="AV1585" s="3" t="str">
        <f t="shared" ca="1" si="307"/>
        <v/>
      </c>
    </row>
    <row r="1586" spans="43:48" x14ac:dyDescent="0.2">
      <c r="AQ1586" s="4" t="str">
        <f t="shared" ca="1" si="303"/>
        <v/>
      </c>
      <c r="AR1586" s="3" t="str">
        <f t="shared" ca="1" si="305"/>
        <v/>
      </c>
      <c r="AS1586" s="63" t="str">
        <f ca="1">IF($AQ1586&lt;&gt;"", INDEX(Inputs!$B$3:$B$101, MATCH($AQ1586,Inputs!$A$3:$A$101,1)), "")</f>
        <v/>
      </c>
      <c r="AT1586" s="48" t="str">
        <f t="shared" ca="1" si="304"/>
        <v/>
      </c>
      <c r="AU1586" s="3" t="str">
        <f t="shared" ca="1" si="306"/>
        <v/>
      </c>
      <c r="AV1586" s="3" t="str">
        <f t="shared" ca="1" si="307"/>
        <v/>
      </c>
    </row>
    <row r="1587" spans="43:48" x14ac:dyDescent="0.2">
      <c r="AQ1587" s="4" t="str">
        <f t="shared" ca="1" si="303"/>
        <v/>
      </c>
      <c r="AR1587" s="3" t="str">
        <f t="shared" ca="1" si="305"/>
        <v/>
      </c>
      <c r="AS1587" s="63" t="str">
        <f ca="1">IF($AQ1587&lt;&gt;"", INDEX(Inputs!$B$3:$B$101, MATCH($AQ1587,Inputs!$A$3:$A$101,1)), "")</f>
        <v/>
      </c>
      <c r="AT1587" s="48" t="str">
        <f t="shared" ca="1" si="304"/>
        <v/>
      </c>
      <c r="AU1587" s="3" t="str">
        <f t="shared" ca="1" si="306"/>
        <v/>
      </c>
      <c r="AV1587" s="3" t="str">
        <f t="shared" ca="1" si="307"/>
        <v/>
      </c>
    </row>
    <row r="1588" spans="43:48" x14ac:dyDescent="0.2">
      <c r="AQ1588" s="4" t="str">
        <f t="shared" ca="1" si="303"/>
        <v/>
      </c>
      <c r="AR1588" s="3" t="str">
        <f t="shared" ca="1" si="305"/>
        <v/>
      </c>
      <c r="AS1588" s="63" t="str">
        <f ca="1">IF($AQ1588&lt;&gt;"", INDEX(Inputs!$B$3:$B$101, MATCH($AQ1588,Inputs!$A$3:$A$101,1)), "")</f>
        <v/>
      </c>
      <c r="AT1588" s="48" t="str">
        <f t="shared" ca="1" si="304"/>
        <v/>
      </c>
      <c r="AU1588" s="3" t="str">
        <f t="shared" ca="1" si="306"/>
        <v/>
      </c>
      <c r="AV1588" s="3" t="str">
        <f t="shared" ca="1" si="307"/>
        <v/>
      </c>
    </row>
    <row r="1589" spans="43:48" x14ac:dyDescent="0.2">
      <c r="AQ1589" s="4" t="str">
        <f t="shared" ca="1" si="303"/>
        <v/>
      </c>
      <c r="AR1589" s="3" t="str">
        <f t="shared" ca="1" si="305"/>
        <v/>
      </c>
      <c r="AS1589" s="63" t="str">
        <f ca="1">IF($AQ1589&lt;&gt;"", INDEX(Inputs!$B$3:$B$101, MATCH($AQ1589,Inputs!$A$3:$A$101,1)), "")</f>
        <v/>
      </c>
      <c r="AT1589" s="48" t="str">
        <f t="shared" ca="1" si="304"/>
        <v/>
      </c>
      <c r="AU1589" s="3" t="str">
        <f t="shared" ca="1" si="306"/>
        <v/>
      </c>
      <c r="AV1589" s="3" t="str">
        <f t="shared" ca="1" si="307"/>
        <v/>
      </c>
    </row>
    <row r="1590" spans="43:48" x14ac:dyDescent="0.2">
      <c r="AQ1590" s="4" t="str">
        <f t="shared" ca="1" si="303"/>
        <v/>
      </c>
      <c r="AR1590" s="3" t="str">
        <f t="shared" ca="1" si="305"/>
        <v/>
      </c>
      <c r="AS1590" s="63" t="str">
        <f ca="1">IF($AQ1590&lt;&gt;"", INDEX(Inputs!$B$3:$B$101, MATCH($AQ1590,Inputs!$A$3:$A$101,1)), "")</f>
        <v/>
      </c>
      <c r="AT1590" s="48" t="str">
        <f t="shared" ca="1" si="304"/>
        <v/>
      </c>
      <c r="AU1590" s="3" t="str">
        <f t="shared" ca="1" si="306"/>
        <v/>
      </c>
      <c r="AV1590" s="3" t="str">
        <f t="shared" ca="1" si="307"/>
        <v/>
      </c>
    </row>
    <row r="1591" spans="43:48" x14ac:dyDescent="0.2">
      <c r="AQ1591" s="4" t="str">
        <f t="shared" ca="1" si="303"/>
        <v/>
      </c>
      <c r="AR1591" s="3" t="str">
        <f t="shared" ca="1" si="305"/>
        <v/>
      </c>
      <c r="AS1591" s="63" t="str">
        <f ca="1">IF($AQ1591&lt;&gt;"", INDEX(Inputs!$B$3:$B$101, MATCH($AQ1591,Inputs!$A$3:$A$101,1)), "")</f>
        <v/>
      </c>
      <c r="AT1591" s="48" t="str">
        <f t="shared" ca="1" si="304"/>
        <v/>
      </c>
      <c r="AU1591" s="3" t="str">
        <f t="shared" ca="1" si="306"/>
        <v/>
      </c>
      <c r="AV1591" s="3" t="str">
        <f t="shared" ca="1" si="307"/>
        <v/>
      </c>
    </row>
    <row r="1592" spans="43:48" x14ac:dyDescent="0.2">
      <c r="AQ1592" s="4" t="str">
        <f t="shared" ca="1" si="303"/>
        <v/>
      </c>
      <c r="AR1592" s="3" t="str">
        <f t="shared" ca="1" si="305"/>
        <v/>
      </c>
      <c r="AS1592" s="63" t="str">
        <f ca="1">IF($AQ1592&lt;&gt;"", INDEX(Inputs!$B$3:$B$101, MATCH($AQ1592,Inputs!$A$3:$A$101,1)), "")</f>
        <v/>
      </c>
      <c r="AT1592" s="48" t="str">
        <f t="shared" ca="1" si="304"/>
        <v/>
      </c>
      <c r="AU1592" s="3" t="str">
        <f t="shared" ca="1" si="306"/>
        <v/>
      </c>
      <c r="AV1592" s="3" t="str">
        <f t="shared" ca="1" si="307"/>
        <v/>
      </c>
    </row>
    <row r="1593" spans="43:48" x14ac:dyDescent="0.2">
      <c r="AQ1593" s="4" t="str">
        <f t="shared" ref="AQ1593:AQ1656" ca="1" si="308">IF(AQ1592&lt;$AP$3,AQ1592+1,"")</f>
        <v/>
      </c>
      <c r="AR1593" s="3" t="str">
        <f t="shared" ca="1" si="305"/>
        <v/>
      </c>
      <c r="AS1593" s="63" t="str">
        <f ca="1">IF($AQ1593&lt;&gt;"", INDEX(Inputs!$B$3:$B$101, MATCH($AQ1593,Inputs!$A$3:$A$101,1)), "")</f>
        <v/>
      </c>
      <c r="AT1593" s="48" t="str">
        <f t="shared" ref="AT1593:AT1656" ca="1" si="309">IF($AQ1593&lt;&gt;"", AR1593*AS1593/365, "")</f>
        <v/>
      </c>
      <c r="AU1593" s="3" t="str">
        <f t="shared" ca="1" si="306"/>
        <v/>
      </c>
      <c r="AV1593" s="3" t="str">
        <f t="shared" ca="1" si="307"/>
        <v/>
      </c>
    </row>
    <row r="1594" spans="43:48" x14ac:dyDescent="0.2">
      <c r="AQ1594" s="4" t="str">
        <f t="shared" ca="1" si="308"/>
        <v/>
      </c>
      <c r="AR1594" s="3" t="str">
        <f t="shared" ca="1" si="305"/>
        <v/>
      </c>
      <c r="AS1594" s="63" t="str">
        <f ca="1">IF($AQ1594&lt;&gt;"", INDEX(Inputs!$B$3:$B$101, MATCH($AQ1594,Inputs!$A$3:$A$101,1)), "")</f>
        <v/>
      </c>
      <c r="AT1594" s="48" t="str">
        <f t="shared" ca="1" si="309"/>
        <v/>
      </c>
      <c r="AU1594" s="3" t="str">
        <f t="shared" ca="1" si="306"/>
        <v/>
      </c>
      <c r="AV1594" s="3" t="str">
        <f t="shared" ca="1" si="307"/>
        <v/>
      </c>
    </row>
    <row r="1595" spans="43:48" x14ac:dyDescent="0.2">
      <c r="AQ1595" s="4" t="str">
        <f t="shared" ca="1" si="308"/>
        <v/>
      </c>
      <c r="AR1595" s="3" t="str">
        <f t="shared" ca="1" si="305"/>
        <v/>
      </c>
      <c r="AS1595" s="63" t="str">
        <f ca="1">IF($AQ1595&lt;&gt;"", INDEX(Inputs!$B$3:$B$101, MATCH($AQ1595,Inputs!$A$3:$A$101,1)), "")</f>
        <v/>
      </c>
      <c r="AT1595" s="48" t="str">
        <f t="shared" ca="1" si="309"/>
        <v/>
      </c>
      <c r="AU1595" s="3" t="str">
        <f t="shared" ca="1" si="306"/>
        <v/>
      </c>
      <c r="AV1595" s="3" t="str">
        <f t="shared" ca="1" si="307"/>
        <v/>
      </c>
    </row>
    <row r="1596" spans="43:48" x14ac:dyDescent="0.2">
      <c r="AQ1596" s="4" t="str">
        <f t="shared" ca="1" si="308"/>
        <v/>
      </c>
      <c r="AR1596" s="3" t="str">
        <f t="shared" ca="1" si="305"/>
        <v/>
      </c>
      <c r="AS1596" s="63" t="str">
        <f ca="1">IF($AQ1596&lt;&gt;"", INDEX(Inputs!$B$3:$B$101, MATCH($AQ1596,Inputs!$A$3:$A$101,1)), "")</f>
        <v/>
      </c>
      <c r="AT1596" s="48" t="str">
        <f t="shared" ca="1" si="309"/>
        <v/>
      </c>
      <c r="AU1596" s="3" t="str">
        <f t="shared" ca="1" si="306"/>
        <v/>
      </c>
      <c r="AV1596" s="3" t="str">
        <f t="shared" ca="1" si="307"/>
        <v/>
      </c>
    </row>
    <row r="1597" spans="43:48" x14ac:dyDescent="0.2">
      <c r="AQ1597" s="4" t="str">
        <f t="shared" ca="1" si="308"/>
        <v/>
      </c>
      <c r="AR1597" s="3" t="str">
        <f t="shared" ca="1" si="305"/>
        <v/>
      </c>
      <c r="AS1597" s="63" t="str">
        <f ca="1">IF($AQ1597&lt;&gt;"", INDEX(Inputs!$B$3:$B$101, MATCH($AQ1597,Inputs!$A$3:$A$101,1)), "")</f>
        <v/>
      </c>
      <c r="AT1597" s="48" t="str">
        <f t="shared" ca="1" si="309"/>
        <v/>
      </c>
      <c r="AU1597" s="3" t="str">
        <f t="shared" ca="1" si="306"/>
        <v/>
      </c>
      <c r="AV1597" s="3" t="str">
        <f t="shared" ca="1" si="307"/>
        <v/>
      </c>
    </row>
    <row r="1598" spans="43:48" x14ac:dyDescent="0.2">
      <c r="AQ1598" s="4" t="str">
        <f t="shared" ca="1" si="308"/>
        <v/>
      </c>
      <c r="AR1598" s="3" t="str">
        <f t="shared" ca="1" si="305"/>
        <v/>
      </c>
      <c r="AS1598" s="63" t="str">
        <f ca="1">IF($AQ1598&lt;&gt;"", INDEX(Inputs!$B$3:$B$101, MATCH($AQ1598,Inputs!$A$3:$A$101,1)), "")</f>
        <v/>
      </c>
      <c r="AT1598" s="48" t="str">
        <f t="shared" ca="1" si="309"/>
        <v/>
      </c>
      <c r="AU1598" s="3" t="str">
        <f t="shared" ca="1" si="306"/>
        <v/>
      </c>
      <c r="AV1598" s="3" t="str">
        <f t="shared" ca="1" si="307"/>
        <v/>
      </c>
    </row>
    <row r="1599" spans="43:48" x14ac:dyDescent="0.2">
      <c r="AQ1599" s="4" t="str">
        <f t="shared" ca="1" si="308"/>
        <v/>
      </c>
      <c r="AR1599" s="3" t="str">
        <f t="shared" ca="1" si="305"/>
        <v/>
      </c>
      <c r="AS1599" s="63" t="str">
        <f ca="1">IF($AQ1599&lt;&gt;"", INDEX(Inputs!$B$3:$B$101, MATCH($AQ1599,Inputs!$A$3:$A$101,1)), "")</f>
        <v/>
      </c>
      <c r="AT1599" s="48" t="str">
        <f t="shared" ca="1" si="309"/>
        <v/>
      </c>
      <c r="AU1599" s="3" t="str">
        <f t="shared" ca="1" si="306"/>
        <v/>
      </c>
      <c r="AV1599" s="3" t="str">
        <f t="shared" ca="1" si="307"/>
        <v/>
      </c>
    </row>
    <row r="1600" spans="43:48" x14ac:dyDescent="0.2">
      <c r="AQ1600" s="4" t="str">
        <f t="shared" ca="1" si="308"/>
        <v/>
      </c>
      <c r="AR1600" s="3" t="str">
        <f t="shared" ca="1" si="305"/>
        <v/>
      </c>
      <c r="AS1600" s="63" t="str">
        <f ca="1">IF($AQ1600&lt;&gt;"", INDEX(Inputs!$B$3:$B$101, MATCH($AQ1600,Inputs!$A$3:$A$101,1)), "")</f>
        <v/>
      </c>
      <c r="AT1600" s="48" t="str">
        <f t="shared" ca="1" si="309"/>
        <v/>
      </c>
      <c r="AU1600" s="3" t="str">
        <f t="shared" ca="1" si="306"/>
        <v/>
      </c>
      <c r="AV1600" s="3" t="str">
        <f t="shared" ca="1" si="307"/>
        <v/>
      </c>
    </row>
    <row r="1601" spans="43:48" x14ac:dyDescent="0.2">
      <c r="AQ1601" s="4" t="str">
        <f t="shared" ca="1" si="308"/>
        <v/>
      </c>
      <c r="AR1601" s="3" t="str">
        <f t="shared" ca="1" si="305"/>
        <v/>
      </c>
      <c r="AS1601" s="63" t="str">
        <f ca="1">IF($AQ1601&lt;&gt;"", INDEX(Inputs!$B$3:$B$101, MATCH($AQ1601,Inputs!$A$3:$A$101,1)), "")</f>
        <v/>
      </c>
      <c r="AT1601" s="48" t="str">
        <f t="shared" ca="1" si="309"/>
        <v/>
      </c>
      <c r="AU1601" s="3" t="str">
        <f t="shared" ca="1" si="306"/>
        <v/>
      </c>
      <c r="AV1601" s="3" t="str">
        <f t="shared" ca="1" si="307"/>
        <v/>
      </c>
    </row>
    <row r="1602" spans="43:48" x14ac:dyDescent="0.2">
      <c r="AQ1602" s="4" t="str">
        <f t="shared" ca="1" si="308"/>
        <v/>
      </c>
      <c r="AR1602" s="3" t="str">
        <f t="shared" ca="1" si="305"/>
        <v/>
      </c>
      <c r="AS1602" s="63" t="str">
        <f ca="1">IF($AQ1602&lt;&gt;"", INDEX(Inputs!$B$3:$B$101, MATCH($AQ1602,Inputs!$A$3:$A$101,1)), "")</f>
        <v/>
      </c>
      <c r="AT1602" s="48" t="str">
        <f t="shared" ca="1" si="309"/>
        <v/>
      </c>
      <c r="AU1602" s="3" t="str">
        <f t="shared" ca="1" si="306"/>
        <v/>
      </c>
      <c r="AV1602" s="3" t="str">
        <f t="shared" ca="1" si="307"/>
        <v/>
      </c>
    </row>
    <row r="1603" spans="43:48" x14ac:dyDescent="0.2">
      <c r="AQ1603" s="4" t="str">
        <f t="shared" ca="1" si="308"/>
        <v/>
      </c>
      <c r="AR1603" s="3" t="str">
        <f t="shared" ca="1" si="305"/>
        <v/>
      </c>
      <c r="AS1603" s="63" t="str">
        <f ca="1">IF($AQ1603&lt;&gt;"", INDEX(Inputs!$B$3:$B$101, MATCH($AQ1603,Inputs!$A$3:$A$101,1)), "")</f>
        <v/>
      </c>
      <c r="AT1603" s="48" t="str">
        <f t="shared" ca="1" si="309"/>
        <v/>
      </c>
      <c r="AU1603" s="3" t="str">
        <f t="shared" ca="1" si="306"/>
        <v/>
      </c>
      <c r="AV1603" s="3" t="str">
        <f t="shared" ca="1" si="307"/>
        <v/>
      </c>
    </row>
    <row r="1604" spans="43:48" x14ac:dyDescent="0.2">
      <c r="AQ1604" s="4" t="str">
        <f t="shared" ca="1" si="308"/>
        <v/>
      </c>
      <c r="AR1604" s="3" t="str">
        <f t="shared" ca="1" si="305"/>
        <v/>
      </c>
      <c r="AS1604" s="63" t="str">
        <f ca="1">IF($AQ1604&lt;&gt;"", INDEX(Inputs!$B$3:$B$101, MATCH($AQ1604,Inputs!$A$3:$A$101,1)), "")</f>
        <v/>
      </c>
      <c r="AT1604" s="48" t="str">
        <f t="shared" ca="1" si="309"/>
        <v/>
      </c>
      <c r="AU1604" s="3" t="str">
        <f t="shared" ca="1" si="306"/>
        <v/>
      </c>
      <c r="AV1604" s="3" t="str">
        <f t="shared" ca="1" si="307"/>
        <v/>
      </c>
    </row>
    <row r="1605" spans="43:48" x14ac:dyDescent="0.2">
      <c r="AQ1605" s="4" t="str">
        <f t="shared" ca="1" si="308"/>
        <v/>
      </c>
      <c r="AR1605" s="3" t="str">
        <f t="shared" ca="1" si="305"/>
        <v/>
      </c>
      <c r="AS1605" s="63" t="str">
        <f ca="1">IF($AQ1605&lt;&gt;"", INDEX(Inputs!$B$3:$B$101, MATCH($AQ1605,Inputs!$A$3:$A$101,1)), "")</f>
        <v/>
      </c>
      <c r="AT1605" s="48" t="str">
        <f t="shared" ca="1" si="309"/>
        <v/>
      </c>
      <c r="AU1605" s="3" t="str">
        <f t="shared" ca="1" si="306"/>
        <v/>
      </c>
      <c r="AV1605" s="3" t="str">
        <f t="shared" ca="1" si="307"/>
        <v/>
      </c>
    </row>
    <row r="1606" spans="43:48" x14ac:dyDescent="0.2">
      <c r="AQ1606" s="4" t="str">
        <f t="shared" ca="1" si="308"/>
        <v/>
      </c>
      <c r="AR1606" s="3" t="str">
        <f t="shared" ca="1" si="305"/>
        <v/>
      </c>
      <c r="AS1606" s="63" t="str">
        <f ca="1">IF($AQ1606&lt;&gt;"", INDEX(Inputs!$B$3:$B$101, MATCH($AQ1606,Inputs!$A$3:$A$101,1)), "")</f>
        <v/>
      </c>
      <c r="AT1606" s="48" t="str">
        <f t="shared" ca="1" si="309"/>
        <v/>
      </c>
      <c r="AU1606" s="3" t="str">
        <f t="shared" ca="1" si="306"/>
        <v/>
      </c>
      <c r="AV1606" s="3" t="str">
        <f t="shared" ca="1" si="307"/>
        <v/>
      </c>
    </row>
    <row r="1607" spans="43:48" x14ac:dyDescent="0.2">
      <c r="AQ1607" s="4" t="str">
        <f t="shared" ca="1" si="308"/>
        <v/>
      </c>
      <c r="AR1607" s="3" t="str">
        <f t="shared" ca="1" si="305"/>
        <v/>
      </c>
      <c r="AS1607" s="63" t="str">
        <f ca="1">IF($AQ1607&lt;&gt;"", INDEX(Inputs!$B$3:$B$101, MATCH($AQ1607,Inputs!$A$3:$A$101,1)), "")</f>
        <v/>
      </c>
      <c r="AT1607" s="48" t="str">
        <f t="shared" ca="1" si="309"/>
        <v/>
      </c>
      <c r="AU1607" s="3" t="str">
        <f t="shared" ca="1" si="306"/>
        <v/>
      </c>
      <c r="AV1607" s="3" t="str">
        <f t="shared" ca="1" si="307"/>
        <v/>
      </c>
    </row>
    <row r="1608" spans="43:48" x14ac:dyDescent="0.2">
      <c r="AQ1608" s="4" t="str">
        <f t="shared" ca="1" si="308"/>
        <v/>
      </c>
      <c r="AR1608" s="3" t="str">
        <f t="shared" ca="1" si="305"/>
        <v/>
      </c>
      <c r="AS1608" s="63" t="str">
        <f ca="1">IF($AQ1608&lt;&gt;"", INDEX(Inputs!$B$3:$B$101, MATCH($AQ1608,Inputs!$A$3:$A$101,1)), "")</f>
        <v/>
      </c>
      <c r="AT1608" s="48" t="str">
        <f t="shared" ca="1" si="309"/>
        <v/>
      </c>
      <c r="AU1608" s="3" t="str">
        <f t="shared" ca="1" si="306"/>
        <v/>
      </c>
      <c r="AV1608" s="3" t="str">
        <f t="shared" ca="1" si="307"/>
        <v/>
      </c>
    </row>
    <row r="1609" spans="43:48" x14ac:dyDescent="0.2">
      <c r="AQ1609" s="4" t="str">
        <f t="shared" ca="1" si="308"/>
        <v/>
      </c>
      <c r="AR1609" s="3" t="str">
        <f t="shared" ca="1" si="305"/>
        <v/>
      </c>
      <c r="AS1609" s="63" t="str">
        <f ca="1">IF($AQ1609&lt;&gt;"", INDEX(Inputs!$B$3:$B$101, MATCH($AQ1609,Inputs!$A$3:$A$101,1)), "")</f>
        <v/>
      </c>
      <c r="AT1609" s="48" t="str">
        <f t="shared" ca="1" si="309"/>
        <v/>
      </c>
      <c r="AU1609" s="3" t="str">
        <f t="shared" ca="1" si="306"/>
        <v/>
      </c>
      <c r="AV1609" s="3" t="str">
        <f t="shared" ca="1" si="307"/>
        <v/>
      </c>
    </row>
    <row r="1610" spans="43:48" x14ac:dyDescent="0.2">
      <c r="AQ1610" s="4" t="str">
        <f t="shared" ca="1" si="308"/>
        <v/>
      </c>
      <c r="AR1610" s="3" t="str">
        <f t="shared" ca="1" si="305"/>
        <v/>
      </c>
      <c r="AS1610" s="63" t="str">
        <f ca="1">IF($AQ1610&lt;&gt;"", INDEX(Inputs!$B$3:$B$101, MATCH($AQ1610,Inputs!$A$3:$A$101,1)), "")</f>
        <v/>
      </c>
      <c r="AT1610" s="48" t="str">
        <f t="shared" ca="1" si="309"/>
        <v/>
      </c>
      <c r="AU1610" s="3" t="str">
        <f t="shared" ca="1" si="306"/>
        <v/>
      </c>
      <c r="AV1610" s="3" t="str">
        <f t="shared" ca="1" si="307"/>
        <v/>
      </c>
    </row>
    <row r="1611" spans="43:48" x14ac:dyDescent="0.2">
      <c r="AQ1611" s="4" t="str">
        <f t="shared" ca="1" si="308"/>
        <v/>
      </c>
      <c r="AR1611" s="3" t="str">
        <f t="shared" ca="1" si="305"/>
        <v/>
      </c>
      <c r="AS1611" s="63" t="str">
        <f ca="1">IF($AQ1611&lt;&gt;"", INDEX(Inputs!$B$3:$B$101, MATCH($AQ1611,Inputs!$A$3:$A$101,1)), "")</f>
        <v/>
      </c>
      <c r="AT1611" s="48" t="str">
        <f t="shared" ca="1" si="309"/>
        <v/>
      </c>
      <c r="AU1611" s="3" t="str">
        <f t="shared" ca="1" si="306"/>
        <v/>
      </c>
      <c r="AV1611" s="3" t="str">
        <f t="shared" ca="1" si="307"/>
        <v/>
      </c>
    </row>
    <row r="1612" spans="43:48" x14ac:dyDescent="0.2">
      <c r="AQ1612" s="4" t="str">
        <f t="shared" ca="1" si="308"/>
        <v/>
      </c>
      <c r="AR1612" s="3" t="str">
        <f t="shared" ca="1" si="305"/>
        <v/>
      </c>
      <c r="AS1612" s="63" t="str">
        <f ca="1">IF($AQ1612&lt;&gt;"", INDEX(Inputs!$B$3:$B$101, MATCH($AQ1612,Inputs!$A$3:$A$101,1)), "")</f>
        <v/>
      </c>
      <c r="AT1612" s="48" t="str">
        <f t="shared" ca="1" si="309"/>
        <v/>
      </c>
      <c r="AU1612" s="3" t="str">
        <f t="shared" ca="1" si="306"/>
        <v/>
      </c>
      <c r="AV1612" s="3" t="str">
        <f t="shared" ca="1" si="307"/>
        <v/>
      </c>
    </row>
    <row r="1613" spans="43:48" x14ac:dyDescent="0.2">
      <c r="AQ1613" s="4" t="str">
        <f t="shared" ca="1" si="308"/>
        <v/>
      </c>
      <c r="AR1613" s="3" t="str">
        <f t="shared" ca="1" si="305"/>
        <v/>
      </c>
      <c r="AS1613" s="63" t="str">
        <f ca="1">IF($AQ1613&lt;&gt;"", INDEX(Inputs!$B$3:$B$101, MATCH($AQ1613,Inputs!$A$3:$A$101,1)), "")</f>
        <v/>
      </c>
      <c r="AT1613" s="48" t="str">
        <f t="shared" ca="1" si="309"/>
        <v/>
      </c>
      <c r="AU1613" s="3" t="str">
        <f t="shared" ca="1" si="306"/>
        <v/>
      </c>
      <c r="AV1613" s="3" t="str">
        <f t="shared" ca="1" si="307"/>
        <v/>
      </c>
    </row>
    <row r="1614" spans="43:48" x14ac:dyDescent="0.2">
      <c r="AQ1614" s="4" t="str">
        <f t="shared" ca="1" si="308"/>
        <v/>
      </c>
      <c r="AR1614" s="3" t="str">
        <f t="shared" ca="1" si="305"/>
        <v/>
      </c>
      <c r="AS1614" s="63" t="str">
        <f ca="1">IF($AQ1614&lt;&gt;"", INDEX(Inputs!$B$3:$B$101, MATCH($AQ1614,Inputs!$A$3:$A$101,1)), "")</f>
        <v/>
      </c>
      <c r="AT1614" s="48" t="str">
        <f t="shared" ca="1" si="309"/>
        <v/>
      </c>
      <c r="AU1614" s="3" t="str">
        <f t="shared" ca="1" si="306"/>
        <v/>
      </c>
      <c r="AV1614" s="3" t="str">
        <f t="shared" ca="1" si="307"/>
        <v/>
      </c>
    </row>
    <row r="1615" spans="43:48" x14ac:dyDescent="0.2">
      <c r="AQ1615" s="4" t="str">
        <f t="shared" ca="1" si="308"/>
        <v/>
      </c>
      <c r="AR1615" s="3" t="str">
        <f t="shared" ca="1" si="305"/>
        <v/>
      </c>
      <c r="AS1615" s="63" t="str">
        <f ca="1">IF($AQ1615&lt;&gt;"", INDEX(Inputs!$B$3:$B$101, MATCH($AQ1615,Inputs!$A$3:$A$101,1)), "")</f>
        <v/>
      </c>
      <c r="AT1615" s="48" t="str">
        <f t="shared" ca="1" si="309"/>
        <v/>
      </c>
      <c r="AU1615" s="3" t="str">
        <f t="shared" ca="1" si="306"/>
        <v/>
      </c>
      <c r="AV1615" s="3" t="str">
        <f t="shared" ca="1" si="307"/>
        <v/>
      </c>
    </row>
    <row r="1616" spans="43:48" x14ac:dyDescent="0.2">
      <c r="AQ1616" s="4" t="str">
        <f t="shared" ca="1" si="308"/>
        <v/>
      </c>
      <c r="AR1616" s="3" t="str">
        <f t="shared" ca="1" si="305"/>
        <v/>
      </c>
      <c r="AS1616" s="63" t="str">
        <f ca="1">IF($AQ1616&lt;&gt;"", INDEX(Inputs!$B$3:$B$101, MATCH($AQ1616,Inputs!$A$3:$A$101,1)), "")</f>
        <v/>
      </c>
      <c r="AT1616" s="48" t="str">
        <f t="shared" ca="1" si="309"/>
        <v/>
      </c>
      <c r="AU1616" s="3" t="str">
        <f t="shared" ca="1" si="306"/>
        <v/>
      </c>
      <c r="AV1616" s="3" t="str">
        <f t="shared" ca="1" si="307"/>
        <v/>
      </c>
    </row>
    <row r="1617" spans="43:48" x14ac:dyDescent="0.2">
      <c r="AQ1617" s="4" t="str">
        <f t="shared" ca="1" si="308"/>
        <v/>
      </c>
      <c r="AR1617" s="3" t="str">
        <f t="shared" ca="1" si="305"/>
        <v/>
      </c>
      <c r="AS1617" s="63" t="str">
        <f ca="1">IF($AQ1617&lt;&gt;"", INDEX(Inputs!$B$3:$B$101, MATCH($AQ1617,Inputs!$A$3:$A$101,1)), "")</f>
        <v/>
      </c>
      <c r="AT1617" s="48" t="str">
        <f t="shared" ca="1" si="309"/>
        <v/>
      </c>
      <c r="AU1617" s="3" t="str">
        <f t="shared" ca="1" si="306"/>
        <v/>
      </c>
      <c r="AV1617" s="3" t="str">
        <f t="shared" ca="1" si="307"/>
        <v/>
      </c>
    </row>
    <row r="1618" spans="43:48" x14ac:dyDescent="0.2">
      <c r="AQ1618" s="4" t="str">
        <f t="shared" ca="1" si="308"/>
        <v/>
      </c>
      <c r="AR1618" s="3" t="str">
        <f t="shared" ca="1" si="305"/>
        <v/>
      </c>
      <c r="AS1618" s="63" t="str">
        <f ca="1">IF($AQ1618&lt;&gt;"", INDEX(Inputs!$B$3:$B$101, MATCH($AQ1618,Inputs!$A$3:$A$101,1)), "")</f>
        <v/>
      </c>
      <c r="AT1618" s="48" t="str">
        <f t="shared" ca="1" si="309"/>
        <v/>
      </c>
      <c r="AU1618" s="3" t="str">
        <f t="shared" ca="1" si="306"/>
        <v/>
      </c>
      <c r="AV1618" s="3" t="str">
        <f t="shared" ca="1" si="307"/>
        <v/>
      </c>
    </row>
    <row r="1619" spans="43:48" x14ac:dyDescent="0.2">
      <c r="AQ1619" s="4" t="str">
        <f t="shared" ca="1" si="308"/>
        <v/>
      </c>
      <c r="AR1619" s="3" t="str">
        <f t="shared" ca="1" si="305"/>
        <v/>
      </c>
      <c r="AS1619" s="63" t="str">
        <f ca="1">IF($AQ1619&lt;&gt;"", INDEX(Inputs!$B$3:$B$101, MATCH($AQ1619,Inputs!$A$3:$A$101,1)), "")</f>
        <v/>
      </c>
      <c r="AT1619" s="48" t="str">
        <f t="shared" ca="1" si="309"/>
        <v/>
      </c>
      <c r="AU1619" s="3" t="str">
        <f t="shared" ca="1" si="306"/>
        <v/>
      </c>
      <c r="AV1619" s="3" t="str">
        <f t="shared" ca="1" si="307"/>
        <v/>
      </c>
    </row>
    <row r="1620" spans="43:48" x14ac:dyDescent="0.2">
      <c r="AQ1620" s="4" t="str">
        <f t="shared" ca="1" si="308"/>
        <v/>
      </c>
      <c r="AR1620" s="3" t="str">
        <f t="shared" ca="1" si="305"/>
        <v/>
      </c>
      <c r="AS1620" s="63" t="str">
        <f ca="1">IF($AQ1620&lt;&gt;"", INDEX(Inputs!$B$3:$B$101, MATCH($AQ1620,Inputs!$A$3:$A$101,1)), "")</f>
        <v/>
      </c>
      <c r="AT1620" s="48" t="str">
        <f t="shared" ca="1" si="309"/>
        <v/>
      </c>
      <c r="AU1620" s="3" t="str">
        <f t="shared" ca="1" si="306"/>
        <v/>
      </c>
      <c r="AV1620" s="3" t="str">
        <f t="shared" ca="1" si="307"/>
        <v/>
      </c>
    </row>
    <row r="1621" spans="43:48" x14ac:dyDescent="0.2">
      <c r="AQ1621" s="4" t="str">
        <f t="shared" ca="1" si="308"/>
        <v/>
      </c>
      <c r="AR1621" s="3" t="str">
        <f t="shared" ca="1" si="305"/>
        <v/>
      </c>
      <c r="AS1621" s="63" t="str">
        <f ca="1">IF($AQ1621&lt;&gt;"", INDEX(Inputs!$B$3:$B$101, MATCH($AQ1621,Inputs!$A$3:$A$101,1)), "")</f>
        <v/>
      </c>
      <c r="AT1621" s="48" t="str">
        <f t="shared" ca="1" si="309"/>
        <v/>
      </c>
      <c r="AU1621" s="3" t="str">
        <f t="shared" ca="1" si="306"/>
        <v/>
      </c>
      <c r="AV1621" s="3" t="str">
        <f t="shared" ca="1" si="307"/>
        <v/>
      </c>
    </row>
    <row r="1622" spans="43:48" x14ac:dyDescent="0.2">
      <c r="AQ1622" s="4" t="str">
        <f t="shared" ca="1" si="308"/>
        <v/>
      </c>
      <c r="AR1622" s="3" t="str">
        <f t="shared" ca="1" si="305"/>
        <v/>
      </c>
      <c r="AS1622" s="63" t="str">
        <f ca="1">IF($AQ1622&lt;&gt;"", INDEX(Inputs!$B$3:$B$101, MATCH($AQ1622,Inputs!$A$3:$A$101,1)), "")</f>
        <v/>
      </c>
      <c r="AT1622" s="48" t="str">
        <f t="shared" ca="1" si="309"/>
        <v/>
      </c>
      <c r="AU1622" s="3" t="str">
        <f t="shared" ca="1" si="306"/>
        <v/>
      </c>
      <c r="AV1622" s="3" t="str">
        <f t="shared" ca="1" si="307"/>
        <v/>
      </c>
    </row>
    <row r="1623" spans="43:48" x14ac:dyDescent="0.2">
      <c r="AQ1623" s="4" t="str">
        <f t="shared" ca="1" si="308"/>
        <v/>
      </c>
      <c r="AR1623" s="3" t="str">
        <f t="shared" ca="1" si="305"/>
        <v/>
      </c>
      <c r="AS1623" s="63" t="str">
        <f ca="1">IF($AQ1623&lt;&gt;"", INDEX(Inputs!$B$3:$B$101, MATCH($AQ1623,Inputs!$A$3:$A$101,1)), "")</f>
        <v/>
      </c>
      <c r="AT1623" s="48" t="str">
        <f t="shared" ca="1" si="309"/>
        <v/>
      </c>
      <c r="AU1623" s="3" t="str">
        <f t="shared" ca="1" si="306"/>
        <v/>
      </c>
      <c r="AV1623" s="3" t="str">
        <f t="shared" ca="1" si="307"/>
        <v/>
      </c>
    </row>
    <row r="1624" spans="43:48" x14ac:dyDescent="0.2">
      <c r="AQ1624" s="4" t="str">
        <f t="shared" ca="1" si="308"/>
        <v/>
      </c>
      <c r="AR1624" s="3" t="str">
        <f t="shared" ca="1" si="305"/>
        <v/>
      </c>
      <c r="AS1624" s="63" t="str">
        <f ca="1">IF($AQ1624&lt;&gt;"", INDEX(Inputs!$B$3:$B$101, MATCH($AQ1624,Inputs!$A$3:$A$101,1)), "")</f>
        <v/>
      </c>
      <c r="AT1624" s="48" t="str">
        <f t="shared" ca="1" si="309"/>
        <v/>
      </c>
      <c r="AU1624" s="3" t="str">
        <f t="shared" ca="1" si="306"/>
        <v/>
      </c>
      <c r="AV1624" s="3" t="str">
        <f t="shared" ca="1" si="307"/>
        <v/>
      </c>
    </row>
    <row r="1625" spans="43:48" x14ac:dyDescent="0.2">
      <c r="AQ1625" s="4" t="str">
        <f t="shared" ca="1" si="308"/>
        <v/>
      </c>
      <c r="AR1625" s="3" t="str">
        <f t="shared" ref="AR1625:AR1688" ca="1" si="310">IF($AQ1625&lt;&gt;"", INDEX($AC$3:$AC$1055, MATCH($AQ1625,$A$3:$A$1055,1)), "")</f>
        <v/>
      </c>
      <c r="AS1625" s="63" t="str">
        <f ca="1">IF($AQ1625&lt;&gt;"", INDEX(Inputs!$B$3:$B$101, MATCH($AQ1625,Inputs!$A$3:$A$101,1)), "")</f>
        <v/>
      </c>
      <c r="AT1625" s="48" t="str">
        <f t="shared" ca="1" si="309"/>
        <v/>
      </c>
      <c r="AU1625" s="3" t="str">
        <f t="shared" ref="AU1625:AU1688" ca="1" si="311">IF($AQ1625&lt;&gt;"", SUMIFS($AL$3:$AL$1054, $A$3:$A$1054,$AQ1625) + SUMIFS($M$3:$M$1054, $A$3:$A$1054,$AQ1625)*IFERROR(AVERAGEIFS($L$3:$L$1054, $A$3:$A$1054,$AQ1625, $M$3:$M$1054,"&gt;0"),0) - AT1625, "")</f>
        <v/>
      </c>
      <c r="AV1625" s="3" t="str">
        <f t="shared" ca="1" si="307"/>
        <v/>
      </c>
    </row>
    <row r="1626" spans="43:48" x14ac:dyDescent="0.2">
      <c r="AQ1626" s="4" t="str">
        <f t="shared" ca="1" si="308"/>
        <v/>
      </c>
      <c r="AR1626" s="3" t="str">
        <f t="shared" ca="1" si="310"/>
        <v/>
      </c>
      <c r="AS1626" s="63" t="str">
        <f ca="1">IF($AQ1626&lt;&gt;"", INDEX(Inputs!$B$3:$B$101, MATCH($AQ1626,Inputs!$A$3:$A$101,1)), "")</f>
        <v/>
      </c>
      <c r="AT1626" s="48" t="str">
        <f t="shared" ca="1" si="309"/>
        <v/>
      </c>
      <c r="AU1626" s="3" t="str">
        <f t="shared" ca="1" si="311"/>
        <v/>
      </c>
      <c r="AV1626" s="3" t="str">
        <f t="shared" ca="1" si="307"/>
        <v/>
      </c>
    </row>
    <row r="1627" spans="43:48" x14ac:dyDescent="0.2">
      <c r="AQ1627" s="4" t="str">
        <f t="shared" ca="1" si="308"/>
        <v/>
      </c>
      <c r="AR1627" s="3" t="str">
        <f t="shared" ca="1" si="310"/>
        <v/>
      </c>
      <c r="AS1627" s="63" t="str">
        <f ca="1">IF($AQ1627&lt;&gt;"", INDEX(Inputs!$B$3:$B$101, MATCH($AQ1627,Inputs!$A$3:$A$101,1)), "")</f>
        <v/>
      </c>
      <c r="AT1627" s="48" t="str">
        <f t="shared" ca="1" si="309"/>
        <v/>
      </c>
      <c r="AU1627" s="3" t="str">
        <f t="shared" ca="1" si="311"/>
        <v/>
      </c>
      <c r="AV1627" s="3" t="str">
        <f t="shared" ca="1" si="307"/>
        <v/>
      </c>
    </row>
    <row r="1628" spans="43:48" x14ac:dyDescent="0.2">
      <c r="AQ1628" s="4" t="str">
        <f t="shared" ca="1" si="308"/>
        <v/>
      </c>
      <c r="AR1628" s="3" t="str">
        <f t="shared" ca="1" si="310"/>
        <v/>
      </c>
      <c r="AS1628" s="63" t="str">
        <f ca="1">IF($AQ1628&lt;&gt;"", INDEX(Inputs!$B$3:$B$101, MATCH($AQ1628,Inputs!$A$3:$A$101,1)), "")</f>
        <v/>
      </c>
      <c r="AT1628" s="48" t="str">
        <f t="shared" ca="1" si="309"/>
        <v/>
      </c>
      <c r="AU1628" s="3" t="str">
        <f t="shared" ca="1" si="311"/>
        <v/>
      </c>
      <c r="AV1628" s="3" t="str">
        <f t="shared" ca="1" si="307"/>
        <v/>
      </c>
    </row>
    <row r="1629" spans="43:48" x14ac:dyDescent="0.2">
      <c r="AQ1629" s="4" t="str">
        <f t="shared" ca="1" si="308"/>
        <v/>
      </c>
      <c r="AR1629" s="3" t="str">
        <f t="shared" ca="1" si="310"/>
        <v/>
      </c>
      <c r="AS1629" s="63" t="str">
        <f ca="1">IF($AQ1629&lt;&gt;"", INDEX(Inputs!$B$3:$B$101, MATCH($AQ1629,Inputs!$A$3:$A$101,1)), "")</f>
        <v/>
      </c>
      <c r="AT1629" s="48" t="str">
        <f t="shared" ca="1" si="309"/>
        <v/>
      </c>
      <c r="AU1629" s="3" t="str">
        <f t="shared" ca="1" si="311"/>
        <v/>
      </c>
      <c r="AV1629" s="3" t="str">
        <f t="shared" ca="1" si="307"/>
        <v/>
      </c>
    </row>
    <row r="1630" spans="43:48" x14ac:dyDescent="0.2">
      <c r="AQ1630" s="4" t="str">
        <f t="shared" ca="1" si="308"/>
        <v/>
      </c>
      <c r="AR1630" s="3" t="str">
        <f t="shared" ca="1" si="310"/>
        <v/>
      </c>
      <c r="AS1630" s="63" t="str">
        <f ca="1">IF($AQ1630&lt;&gt;"", INDEX(Inputs!$B$3:$B$101, MATCH($AQ1630,Inputs!$A$3:$A$101,1)), "")</f>
        <v/>
      </c>
      <c r="AT1630" s="48" t="str">
        <f t="shared" ca="1" si="309"/>
        <v/>
      </c>
      <c r="AU1630" s="3" t="str">
        <f t="shared" ca="1" si="311"/>
        <v/>
      </c>
      <c r="AV1630" s="3" t="str">
        <f t="shared" ca="1" si="307"/>
        <v/>
      </c>
    </row>
    <row r="1631" spans="43:48" x14ac:dyDescent="0.2">
      <c r="AQ1631" s="4" t="str">
        <f t="shared" ca="1" si="308"/>
        <v/>
      </c>
      <c r="AR1631" s="3" t="str">
        <f t="shared" ca="1" si="310"/>
        <v/>
      </c>
      <c r="AS1631" s="63" t="str">
        <f ca="1">IF($AQ1631&lt;&gt;"", INDEX(Inputs!$B$3:$B$101, MATCH($AQ1631,Inputs!$A$3:$A$101,1)), "")</f>
        <v/>
      </c>
      <c r="AT1631" s="48" t="str">
        <f t="shared" ca="1" si="309"/>
        <v/>
      </c>
      <c r="AU1631" s="3" t="str">
        <f t="shared" ca="1" si="311"/>
        <v/>
      </c>
      <c r="AV1631" s="3" t="str">
        <f t="shared" ca="1" si="307"/>
        <v/>
      </c>
    </row>
    <row r="1632" spans="43:48" x14ac:dyDescent="0.2">
      <c r="AQ1632" s="4" t="str">
        <f t="shared" ca="1" si="308"/>
        <v/>
      </c>
      <c r="AR1632" s="3" t="str">
        <f t="shared" ca="1" si="310"/>
        <v/>
      </c>
      <c r="AS1632" s="63" t="str">
        <f ca="1">IF($AQ1632&lt;&gt;"", INDEX(Inputs!$B$3:$B$101, MATCH($AQ1632,Inputs!$A$3:$A$101,1)), "")</f>
        <v/>
      </c>
      <c r="AT1632" s="48" t="str">
        <f t="shared" ca="1" si="309"/>
        <v/>
      </c>
      <c r="AU1632" s="3" t="str">
        <f t="shared" ca="1" si="311"/>
        <v/>
      </c>
      <c r="AV1632" s="3" t="str">
        <f t="shared" ref="AV1632:AV1695" ca="1" si="312">IF(AQ1632&lt;&gt;"", AU1632*(1+$X$9/CompoundingRate)^-((AQ1632-AQ$3)/(365/CompoundingRate)), "")</f>
        <v/>
      </c>
    </row>
    <row r="1633" spans="43:48" x14ac:dyDescent="0.2">
      <c r="AQ1633" s="4" t="str">
        <f t="shared" ca="1" si="308"/>
        <v/>
      </c>
      <c r="AR1633" s="3" t="str">
        <f t="shared" ca="1" si="310"/>
        <v/>
      </c>
      <c r="AS1633" s="63" t="str">
        <f ca="1">IF($AQ1633&lt;&gt;"", INDEX(Inputs!$B$3:$B$101, MATCH($AQ1633,Inputs!$A$3:$A$101,1)), "")</f>
        <v/>
      </c>
      <c r="AT1633" s="48" t="str">
        <f t="shared" ca="1" si="309"/>
        <v/>
      </c>
      <c r="AU1633" s="3" t="str">
        <f t="shared" ca="1" si="311"/>
        <v/>
      </c>
      <c r="AV1633" s="3" t="str">
        <f t="shared" ca="1" si="312"/>
        <v/>
      </c>
    </row>
    <row r="1634" spans="43:48" x14ac:dyDescent="0.2">
      <c r="AQ1634" s="4" t="str">
        <f t="shared" ca="1" si="308"/>
        <v/>
      </c>
      <c r="AR1634" s="3" t="str">
        <f t="shared" ca="1" si="310"/>
        <v/>
      </c>
      <c r="AS1634" s="63" t="str">
        <f ca="1">IF($AQ1634&lt;&gt;"", INDEX(Inputs!$B$3:$B$101, MATCH($AQ1634,Inputs!$A$3:$A$101,1)), "")</f>
        <v/>
      </c>
      <c r="AT1634" s="48" t="str">
        <f t="shared" ca="1" si="309"/>
        <v/>
      </c>
      <c r="AU1634" s="3" t="str">
        <f t="shared" ca="1" si="311"/>
        <v/>
      </c>
      <c r="AV1634" s="3" t="str">
        <f t="shared" ca="1" si="312"/>
        <v/>
      </c>
    </row>
    <row r="1635" spans="43:48" x14ac:dyDescent="0.2">
      <c r="AQ1635" s="4" t="str">
        <f t="shared" ca="1" si="308"/>
        <v/>
      </c>
      <c r="AR1635" s="3" t="str">
        <f t="shared" ca="1" si="310"/>
        <v/>
      </c>
      <c r="AS1635" s="63" t="str">
        <f ca="1">IF($AQ1635&lt;&gt;"", INDEX(Inputs!$B$3:$B$101, MATCH($AQ1635,Inputs!$A$3:$A$101,1)), "")</f>
        <v/>
      </c>
      <c r="AT1635" s="48" t="str">
        <f t="shared" ca="1" si="309"/>
        <v/>
      </c>
      <c r="AU1635" s="3" t="str">
        <f t="shared" ca="1" si="311"/>
        <v/>
      </c>
      <c r="AV1635" s="3" t="str">
        <f t="shared" ca="1" si="312"/>
        <v/>
      </c>
    </row>
    <row r="1636" spans="43:48" x14ac:dyDescent="0.2">
      <c r="AQ1636" s="4" t="str">
        <f t="shared" ca="1" si="308"/>
        <v/>
      </c>
      <c r="AR1636" s="3" t="str">
        <f t="shared" ca="1" si="310"/>
        <v/>
      </c>
      <c r="AS1636" s="63" t="str">
        <f ca="1">IF($AQ1636&lt;&gt;"", INDEX(Inputs!$B$3:$B$101, MATCH($AQ1636,Inputs!$A$3:$A$101,1)), "")</f>
        <v/>
      </c>
      <c r="AT1636" s="48" t="str">
        <f t="shared" ca="1" si="309"/>
        <v/>
      </c>
      <c r="AU1636" s="3" t="str">
        <f t="shared" ca="1" si="311"/>
        <v/>
      </c>
      <c r="AV1636" s="3" t="str">
        <f t="shared" ca="1" si="312"/>
        <v/>
      </c>
    </row>
    <row r="1637" spans="43:48" x14ac:dyDescent="0.2">
      <c r="AQ1637" s="4" t="str">
        <f t="shared" ca="1" si="308"/>
        <v/>
      </c>
      <c r="AR1637" s="3" t="str">
        <f t="shared" ca="1" si="310"/>
        <v/>
      </c>
      <c r="AS1637" s="63" t="str">
        <f ca="1">IF($AQ1637&lt;&gt;"", INDEX(Inputs!$B$3:$B$101, MATCH($AQ1637,Inputs!$A$3:$A$101,1)), "")</f>
        <v/>
      </c>
      <c r="AT1637" s="48" t="str">
        <f t="shared" ca="1" si="309"/>
        <v/>
      </c>
      <c r="AU1637" s="3" t="str">
        <f t="shared" ca="1" si="311"/>
        <v/>
      </c>
      <c r="AV1637" s="3" t="str">
        <f t="shared" ca="1" si="312"/>
        <v/>
      </c>
    </row>
    <row r="1638" spans="43:48" x14ac:dyDescent="0.2">
      <c r="AQ1638" s="4" t="str">
        <f t="shared" ca="1" si="308"/>
        <v/>
      </c>
      <c r="AR1638" s="3" t="str">
        <f t="shared" ca="1" si="310"/>
        <v/>
      </c>
      <c r="AS1638" s="63" t="str">
        <f ca="1">IF($AQ1638&lt;&gt;"", INDEX(Inputs!$B$3:$B$101, MATCH($AQ1638,Inputs!$A$3:$A$101,1)), "")</f>
        <v/>
      </c>
      <c r="AT1638" s="48" t="str">
        <f t="shared" ca="1" si="309"/>
        <v/>
      </c>
      <c r="AU1638" s="3" t="str">
        <f t="shared" ca="1" si="311"/>
        <v/>
      </c>
      <c r="AV1638" s="3" t="str">
        <f t="shared" ca="1" si="312"/>
        <v/>
      </c>
    </row>
    <row r="1639" spans="43:48" x14ac:dyDescent="0.2">
      <c r="AQ1639" s="4" t="str">
        <f t="shared" ca="1" si="308"/>
        <v/>
      </c>
      <c r="AR1639" s="3" t="str">
        <f t="shared" ca="1" si="310"/>
        <v/>
      </c>
      <c r="AS1639" s="63" t="str">
        <f ca="1">IF($AQ1639&lt;&gt;"", INDEX(Inputs!$B$3:$B$101, MATCH($AQ1639,Inputs!$A$3:$A$101,1)), "")</f>
        <v/>
      </c>
      <c r="AT1639" s="48" t="str">
        <f t="shared" ca="1" si="309"/>
        <v/>
      </c>
      <c r="AU1639" s="3" t="str">
        <f t="shared" ca="1" si="311"/>
        <v/>
      </c>
      <c r="AV1639" s="3" t="str">
        <f t="shared" ca="1" si="312"/>
        <v/>
      </c>
    </row>
    <row r="1640" spans="43:48" x14ac:dyDescent="0.2">
      <c r="AQ1640" s="4" t="str">
        <f t="shared" ca="1" si="308"/>
        <v/>
      </c>
      <c r="AR1640" s="3" t="str">
        <f t="shared" ca="1" si="310"/>
        <v/>
      </c>
      <c r="AS1640" s="63" t="str">
        <f ca="1">IF($AQ1640&lt;&gt;"", INDEX(Inputs!$B$3:$B$101, MATCH($AQ1640,Inputs!$A$3:$A$101,1)), "")</f>
        <v/>
      </c>
      <c r="AT1640" s="48" t="str">
        <f t="shared" ca="1" si="309"/>
        <v/>
      </c>
      <c r="AU1640" s="3" t="str">
        <f t="shared" ca="1" si="311"/>
        <v/>
      </c>
      <c r="AV1640" s="3" t="str">
        <f t="shared" ca="1" si="312"/>
        <v/>
      </c>
    </row>
    <row r="1641" spans="43:48" x14ac:dyDescent="0.2">
      <c r="AQ1641" s="4" t="str">
        <f t="shared" ca="1" si="308"/>
        <v/>
      </c>
      <c r="AR1641" s="3" t="str">
        <f t="shared" ca="1" si="310"/>
        <v/>
      </c>
      <c r="AS1641" s="63" t="str">
        <f ca="1">IF($AQ1641&lt;&gt;"", INDEX(Inputs!$B$3:$B$101, MATCH($AQ1641,Inputs!$A$3:$A$101,1)), "")</f>
        <v/>
      </c>
      <c r="AT1641" s="48" t="str">
        <f t="shared" ca="1" si="309"/>
        <v/>
      </c>
      <c r="AU1641" s="3" t="str">
        <f t="shared" ca="1" si="311"/>
        <v/>
      </c>
      <c r="AV1641" s="3" t="str">
        <f t="shared" ca="1" si="312"/>
        <v/>
      </c>
    </row>
    <row r="1642" spans="43:48" x14ac:dyDescent="0.2">
      <c r="AQ1642" s="4" t="str">
        <f t="shared" ca="1" si="308"/>
        <v/>
      </c>
      <c r="AR1642" s="3" t="str">
        <f t="shared" ca="1" si="310"/>
        <v/>
      </c>
      <c r="AS1642" s="63" t="str">
        <f ca="1">IF($AQ1642&lt;&gt;"", INDEX(Inputs!$B$3:$B$101, MATCH($AQ1642,Inputs!$A$3:$A$101,1)), "")</f>
        <v/>
      </c>
      <c r="AT1642" s="48" t="str">
        <f t="shared" ca="1" si="309"/>
        <v/>
      </c>
      <c r="AU1642" s="3" t="str">
        <f t="shared" ca="1" si="311"/>
        <v/>
      </c>
      <c r="AV1642" s="3" t="str">
        <f t="shared" ca="1" si="312"/>
        <v/>
      </c>
    </row>
    <row r="1643" spans="43:48" x14ac:dyDescent="0.2">
      <c r="AQ1643" s="4" t="str">
        <f t="shared" ca="1" si="308"/>
        <v/>
      </c>
      <c r="AR1643" s="3" t="str">
        <f t="shared" ca="1" si="310"/>
        <v/>
      </c>
      <c r="AS1643" s="63" t="str">
        <f ca="1">IF($AQ1643&lt;&gt;"", INDEX(Inputs!$B$3:$B$101, MATCH($AQ1643,Inputs!$A$3:$A$101,1)), "")</f>
        <v/>
      </c>
      <c r="AT1643" s="48" t="str">
        <f t="shared" ca="1" si="309"/>
        <v/>
      </c>
      <c r="AU1643" s="3" t="str">
        <f t="shared" ca="1" si="311"/>
        <v/>
      </c>
      <c r="AV1643" s="3" t="str">
        <f t="shared" ca="1" si="312"/>
        <v/>
      </c>
    </row>
    <row r="1644" spans="43:48" x14ac:dyDescent="0.2">
      <c r="AQ1644" s="4" t="str">
        <f t="shared" ca="1" si="308"/>
        <v/>
      </c>
      <c r="AR1644" s="3" t="str">
        <f t="shared" ca="1" si="310"/>
        <v/>
      </c>
      <c r="AS1644" s="63" t="str">
        <f ca="1">IF($AQ1644&lt;&gt;"", INDEX(Inputs!$B$3:$B$101, MATCH($AQ1644,Inputs!$A$3:$A$101,1)), "")</f>
        <v/>
      </c>
      <c r="AT1644" s="48" t="str">
        <f t="shared" ca="1" si="309"/>
        <v/>
      </c>
      <c r="AU1644" s="3" t="str">
        <f t="shared" ca="1" si="311"/>
        <v/>
      </c>
      <c r="AV1644" s="3" t="str">
        <f t="shared" ca="1" si="312"/>
        <v/>
      </c>
    </row>
    <row r="1645" spans="43:48" x14ac:dyDescent="0.2">
      <c r="AQ1645" s="4" t="str">
        <f t="shared" ca="1" si="308"/>
        <v/>
      </c>
      <c r="AR1645" s="3" t="str">
        <f t="shared" ca="1" si="310"/>
        <v/>
      </c>
      <c r="AS1645" s="63" t="str">
        <f ca="1">IF($AQ1645&lt;&gt;"", INDEX(Inputs!$B$3:$B$101, MATCH($AQ1645,Inputs!$A$3:$A$101,1)), "")</f>
        <v/>
      </c>
      <c r="AT1645" s="48" t="str">
        <f t="shared" ca="1" si="309"/>
        <v/>
      </c>
      <c r="AU1645" s="3" t="str">
        <f t="shared" ca="1" si="311"/>
        <v/>
      </c>
      <c r="AV1645" s="3" t="str">
        <f t="shared" ca="1" si="312"/>
        <v/>
      </c>
    </row>
    <row r="1646" spans="43:48" x14ac:dyDescent="0.2">
      <c r="AQ1646" s="4" t="str">
        <f t="shared" ca="1" si="308"/>
        <v/>
      </c>
      <c r="AR1646" s="3" t="str">
        <f t="shared" ca="1" si="310"/>
        <v/>
      </c>
      <c r="AS1646" s="63" t="str">
        <f ca="1">IF($AQ1646&lt;&gt;"", INDEX(Inputs!$B$3:$B$101, MATCH($AQ1646,Inputs!$A$3:$A$101,1)), "")</f>
        <v/>
      </c>
      <c r="AT1646" s="48" t="str">
        <f t="shared" ca="1" si="309"/>
        <v/>
      </c>
      <c r="AU1646" s="3" t="str">
        <f t="shared" ca="1" si="311"/>
        <v/>
      </c>
      <c r="AV1646" s="3" t="str">
        <f t="shared" ca="1" si="312"/>
        <v/>
      </c>
    </row>
    <row r="1647" spans="43:48" x14ac:dyDescent="0.2">
      <c r="AQ1647" s="4" t="str">
        <f t="shared" ca="1" si="308"/>
        <v/>
      </c>
      <c r="AR1647" s="3" t="str">
        <f t="shared" ca="1" si="310"/>
        <v/>
      </c>
      <c r="AS1647" s="63" t="str">
        <f ca="1">IF($AQ1647&lt;&gt;"", INDEX(Inputs!$B$3:$B$101, MATCH($AQ1647,Inputs!$A$3:$A$101,1)), "")</f>
        <v/>
      </c>
      <c r="AT1647" s="48" t="str">
        <f t="shared" ca="1" si="309"/>
        <v/>
      </c>
      <c r="AU1647" s="3" t="str">
        <f t="shared" ca="1" si="311"/>
        <v/>
      </c>
      <c r="AV1647" s="3" t="str">
        <f t="shared" ca="1" si="312"/>
        <v/>
      </c>
    </row>
    <row r="1648" spans="43:48" x14ac:dyDescent="0.2">
      <c r="AQ1648" s="4" t="str">
        <f t="shared" ca="1" si="308"/>
        <v/>
      </c>
      <c r="AR1648" s="3" t="str">
        <f t="shared" ca="1" si="310"/>
        <v/>
      </c>
      <c r="AS1648" s="63" t="str">
        <f ca="1">IF($AQ1648&lt;&gt;"", INDEX(Inputs!$B$3:$B$101, MATCH($AQ1648,Inputs!$A$3:$A$101,1)), "")</f>
        <v/>
      </c>
      <c r="AT1648" s="48" t="str">
        <f t="shared" ca="1" si="309"/>
        <v/>
      </c>
      <c r="AU1648" s="3" t="str">
        <f t="shared" ca="1" si="311"/>
        <v/>
      </c>
      <c r="AV1648" s="3" t="str">
        <f t="shared" ca="1" si="312"/>
        <v/>
      </c>
    </row>
    <row r="1649" spans="43:48" x14ac:dyDescent="0.2">
      <c r="AQ1649" s="4" t="str">
        <f t="shared" ca="1" si="308"/>
        <v/>
      </c>
      <c r="AR1649" s="3" t="str">
        <f t="shared" ca="1" si="310"/>
        <v/>
      </c>
      <c r="AS1649" s="63" t="str">
        <f ca="1">IF($AQ1649&lt;&gt;"", INDEX(Inputs!$B$3:$B$101, MATCH($AQ1649,Inputs!$A$3:$A$101,1)), "")</f>
        <v/>
      </c>
      <c r="AT1649" s="48" t="str">
        <f t="shared" ca="1" si="309"/>
        <v/>
      </c>
      <c r="AU1649" s="3" t="str">
        <f t="shared" ca="1" si="311"/>
        <v/>
      </c>
      <c r="AV1649" s="3" t="str">
        <f t="shared" ca="1" si="312"/>
        <v/>
      </c>
    </row>
    <row r="1650" spans="43:48" x14ac:dyDescent="0.2">
      <c r="AQ1650" s="4" t="str">
        <f t="shared" ca="1" si="308"/>
        <v/>
      </c>
      <c r="AR1650" s="3" t="str">
        <f t="shared" ca="1" si="310"/>
        <v/>
      </c>
      <c r="AS1650" s="63" t="str">
        <f ca="1">IF($AQ1650&lt;&gt;"", INDEX(Inputs!$B$3:$B$101, MATCH($AQ1650,Inputs!$A$3:$A$101,1)), "")</f>
        <v/>
      </c>
      <c r="AT1650" s="48" t="str">
        <f t="shared" ca="1" si="309"/>
        <v/>
      </c>
      <c r="AU1650" s="3" t="str">
        <f t="shared" ca="1" si="311"/>
        <v/>
      </c>
      <c r="AV1650" s="3" t="str">
        <f t="shared" ca="1" si="312"/>
        <v/>
      </c>
    </row>
    <row r="1651" spans="43:48" x14ac:dyDescent="0.2">
      <c r="AQ1651" s="4" t="str">
        <f t="shared" ca="1" si="308"/>
        <v/>
      </c>
      <c r="AR1651" s="3" t="str">
        <f t="shared" ca="1" si="310"/>
        <v/>
      </c>
      <c r="AS1651" s="63" t="str">
        <f ca="1">IF($AQ1651&lt;&gt;"", INDEX(Inputs!$B$3:$B$101, MATCH($AQ1651,Inputs!$A$3:$A$101,1)), "")</f>
        <v/>
      </c>
      <c r="AT1651" s="48" t="str">
        <f t="shared" ca="1" si="309"/>
        <v/>
      </c>
      <c r="AU1651" s="3" t="str">
        <f t="shared" ca="1" si="311"/>
        <v/>
      </c>
      <c r="AV1651" s="3" t="str">
        <f t="shared" ca="1" si="312"/>
        <v/>
      </c>
    </row>
    <row r="1652" spans="43:48" x14ac:dyDescent="0.2">
      <c r="AQ1652" s="4" t="str">
        <f t="shared" ca="1" si="308"/>
        <v/>
      </c>
      <c r="AR1652" s="3" t="str">
        <f t="shared" ca="1" si="310"/>
        <v/>
      </c>
      <c r="AS1652" s="63" t="str">
        <f ca="1">IF($AQ1652&lt;&gt;"", INDEX(Inputs!$B$3:$B$101, MATCH($AQ1652,Inputs!$A$3:$A$101,1)), "")</f>
        <v/>
      </c>
      <c r="AT1652" s="48" t="str">
        <f t="shared" ca="1" si="309"/>
        <v/>
      </c>
      <c r="AU1652" s="3" t="str">
        <f t="shared" ca="1" si="311"/>
        <v/>
      </c>
      <c r="AV1652" s="3" t="str">
        <f t="shared" ca="1" si="312"/>
        <v/>
      </c>
    </row>
    <row r="1653" spans="43:48" x14ac:dyDescent="0.2">
      <c r="AQ1653" s="4" t="str">
        <f t="shared" ca="1" si="308"/>
        <v/>
      </c>
      <c r="AR1653" s="3" t="str">
        <f t="shared" ca="1" si="310"/>
        <v/>
      </c>
      <c r="AS1653" s="63" t="str">
        <f ca="1">IF($AQ1653&lt;&gt;"", INDEX(Inputs!$B$3:$B$101, MATCH($AQ1653,Inputs!$A$3:$A$101,1)), "")</f>
        <v/>
      </c>
      <c r="AT1653" s="48" t="str">
        <f t="shared" ca="1" si="309"/>
        <v/>
      </c>
      <c r="AU1653" s="3" t="str">
        <f t="shared" ca="1" si="311"/>
        <v/>
      </c>
      <c r="AV1653" s="3" t="str">
        <f t="shared" ca="1" si="312"/>
        <v/>
      </c>
    </row>
    <row r="1654" spans="43:48" x14ac:dyDescent="0.2">
      <c r="AQ1654" s="4" t="str">
        <f t="shared" ca="1" si="308"/>
        <v/>
      </c>
      <c r="AR1654" s="3" t="str">
        <f t="shared" ca="1" si="310"/>
        <v/>
      </c>
      <c r="AS1654" s="63" t="str">
        <f ca="1">IF($AQ1654&lt;&gt;"", INDEX(Inputs!$B$3:$B$101, MATCH($AQ1654,Inputs!$A$3:$A$101,1)), "")</f>
        <v/>
      </c>
      <c r="AT1654" s="48" t="str">
        <f t="shared" ca="1" si="309"/>
        <v/>
      </c>
      <c r="AU1654" s="3" t="str">
        <f t="shared" ca="1" si="311"/>
        <v/>
      </c>
      <c r="AV1654" s="3" t="str">
        <f t="shared" ca="1" si="312"/>
        <v/>
      </c>
    </row>
    <row r="1655" spans="43:48" x14ac:dyDescent="0.2">
      <c r="AQ1655" s="4" t="str">
        <f t="shared" ca="1" si="308"/>
        <v/>
      </c>
      <c r="AR1655" s="3" t="str">
        <f t="shared" ca="1" si="310"/>
        <v/>
      </c>
      <c r="AS1655" s="63" t="str">
        <f ca="1">IF($AQ1655&lt;&gt;"", INDEX(Inputs!$B$3:$B$101, MATCH($AQ1655,Inputs!$A$3:$A$101,1)), "")</f>
        <v/>
      </c>
      <c r="AT1655" s="48" t="str">
        <f t="shared" ca="1" si="309"/>
        <v/>
      </c>
      <c r="AU1655" s="3" t="str">
        <f t="shared" ca="1" si="311"/>
        <v/>
      </c>
      <c r="AV1655" s="3" t="str">
        <f t="shared" ca="1" si="312"/>
        <v/>
      </c>
    </row>
    <row r="1656" spans="43:48" x14ac:dyDescent="0.2">
      <c r="AQ1656" s="4" t="str">
        <f t="shared" ca="1" si="308"/>
        <v/>
      </c>
      <c r="AR1656" s="3" t="str">
        <f t="shared" ca="1" si="310"/>
        <v/>
      </c>
      <c r="AS1656" s="63" t="str">
        <f ca="1">IF($AQ1656&lt;&gt;"", INDEX(Inputs!$B$3:$B$101, MATCH($AQ1656,Inputs!$A$3:$A$101,1)), "")</f>
        <v/>
      </c>
      <c r="AT1656" s="48" t="str">
        <f t="shared" ca="1" si="309"/>
        <v/>
      </c>
      <c r="AU1656" s="3" t="str">
        <f t="shared" ca="1" si="311"/>
        <v/>
      </c>
      <c r="AV1656" s="3" t="str">
        <f t="shared" ca="1" si="312"/>
        <v/>
      </c>
    </row>
    <row r="1657" spans="43:48" x14ac:dyDescent="0.2">
      <c r="AQ1657" s="4" t="str">
        <f t="shared" ref="AQ1657:AQ1720" ca="1" si="313">IF(AQ1656&lt;$AP$3,AQ1656+1,"")</f>
        <v/>
      </c>
      <c r="AR1657" s="3" t="str">
        <f t="shared" ca="1" si="310"/>
        <v/>
      </c>
      <c r="AS1657" s="63" t="str">
        <f ca="1">IF($AQ1657&lt;&gt;"", INDEX(Inputs!$B$3:$B$101, MATCH($AQ1657,Inputs!$A$3:$A$101,1)), "")</f>
        <v/>
      </c>
      <c r="AT1657" s="48" t="str">
        <f t="shared" ref="AT1657:AT1720" ca="1" si="314">IF($AQ1657&lt;&gt;"", AR1657*AS1657/365, "")</f>
        <v/>
      </c>
      <c r="AU1657" s="3" t="str">
        <f t="shared" ca="1" si="311"/>
        <v/>
      </c>
      <c r="AV1657" s="3" t="str">
        <f t="shared" ca="1" si="312"/>
        <v/>
      </c>
    </row>
    <row r="1658" spans="43:48" x14ac:dyDescent="0.2">
      <c r="AQ1658" s="4" t="str">
        <f t="shared" ca="1" si="313"/>
        <v/>
      </c>
      <c r="AR1658" s="3" t="str">
        <f t="shared" ca="1" si="310"/>
        <v/>
      </c>
      <c r="AS1658" s="63" t="str">
        <f ca="1">IF($AQ1658&lt;&gt;"", INDEX(Inputs!$B$3:$B$101, MATCH($AQ1658,Inputs!$A$3:$A$101,1)), "")</f>
        <v/>
      </c>
      <c r="AT1658" s="48" t="str">
        <f t="shared" ca="1" si="314"/>
        <v/>
      </c>
      <c r="AU1658" s="3" t="str">
        <f t="shared" ca="1" si="311"/>
        <v/>
      </c>
      <c r="AV1658" s="3" t="str">
        <f t="shared" ca="1" si="312"/>
        <v/>
      </c>
    </row>
    <row r="1659" spans="43:48" x14ac:dyDescent="0.2">
      <c r="AQ1659" s="4" t="str">
        <f t="shared" ca="1" si="313"/>
        <v/>
      </c>
      <c r="AR1659" s="3" t="str">
        <f t="shared" ca="1" si="310"/>
        <v/>
      </c>
      <c r="AS1659" s="63" t="str">
        <f ca="1">IF($AQ1659&lt;&gt;"", INDEX(Inputs!$B$3:$B$101, MATCH($AQ1659,Inputs!$A$3:$A$101,1)), "")</f>
        <v/>
      </c>
      <c r="AT1659" s="48" t="str">
        <f t="shared" ca="1" si="314"/>
        <v/>
      </c>
      <c r="AU1659" s="3" t="str">
        <f t="shared" ca="1" si="311"/>
        <v/>
      </c>
      <c r="AV1659" s="3" t="str">
        <f t="shared" ca="1" si="312"/>
        <v/>
      </c>
    </row>
    <row r="1660" spans="43:48" x14ac:dyDescent="0.2">
      <c r="AQ1660" s="4" t="str">
        <f t="shared" ca="1" si="313"/>
        <v/>
      </c>
      <c r="AR1660" s="3" t="str">
        <f t="shared" ca="1" si="310"/>
        <v/>
      </c>
      <c r="AS1660" s="63" t="str">
        <f ca="1">IF($AQ1660&lt;&gt;"", INDEX(Inputs!$B$3:$B$101, MATCH($AQ1660,Inputs!$A$3:$A$101,1)), "")</f>
        <v/>
      </c>
      <c r="AT1660" s="48" t="str">
        <f t="shared" ca="1" si="314"/>
        <v/>
      </c>
      <c r="AU1660" s="3" t="str">
        <f t="shared" ca="1" si="311"/>
        <v/>
      </c>
      <c r="AV1660" s="3" t="str">
        <f t="shared" ca="1" si="312"/>
        <v/>
      </c>
    </row>
    <row r="1661" spans="43:48" x14ac:dyDescent="0.2">
      <c r="AQ1661" s="4" t="str">
        <f t="shared" ca="1" si="313"/>
        <v/>
      </c>
      <c r="AR1661" s="3" t="str">
        <f t="shared" ca="1" si="310"/>
        <v/>
      </c>
      <c r="AS1661" s="63" t="str">
        <f ca="1">IF($AQ1661&lt;&gt;"", INDEX(Inputs!$B$3:$B$101, MATCH($AQ1661,Inputs!$A$3:$A$101,1)), "")</f>
        <v/>
      </c>
      <c r="AT1661" s="48" t="str">
        <f t="shared" ca="1" si="314"/>
        <v/>
      </c>
      <c r="AU1661" s="3" t="str">
        <f t="shared" ca="1" si="311"/>
        <v/>
      </c>
      <c r="AV1661" s="3" t="str">
        <f t="shared" ca="1" si="312"/>
        <v/>
      </c>
    </row>
    <row r="1662" spans="43:48" x14ac:dyDescent="0.2">
      <c r="AQ1662" s="4" t="str">
        <f t="shared" ca="1" si="313"/>
        <v/>
      </c>
      <c r="AR1662" s="3" t="str">
        <f t="shared" ca="1" si="310"/>
        <v/>
      </c>
      <c r="AS1662" s="63" t="str">
        <f ca="1">IF($AQ1662&lt;&gt;"", INDEX(Inputs!$B$3:$B$101, MATCH($AQ1662,Inputs!$A$3:$A$101,1)), "")</f>
        <v/>
      </c>
      <c r="AT1662" s="48" t="str">
        <f t="shared" ca="1" si="314"/>
        <v/>
      </c>
      <c r="AU1662" s="3" t="str">
        <f t="shared" ca="1" si="311"/>
        <v/>
      </c>
      <c r="AV1662" s="3" t="str">
        <f t="shared" ca="1" si="312"/>
        <v/>
      </c>
    </row>
    <row r="1663" spans="43:48" x14ac:dyDescent="0.2">
      <c r="AQ1663" s="4" t="str">
        <f t="shared" ca="1" si="313"/>
        <v/>
      </c>
      <c r="AR1663" s="3" t="str">
        <f t="shared" ca="1" si="310"/>
        <v/>
      </c>
      <c r="AS1663" s="63" t="str">
        <f ca="1">IF($AQ1663&lt;&gt;"", INDEX(Inputs!$B$3:$B$101, MATCH($AQ1663,Inputs!$A$3:$A$101,1)), "")</f>
        <v/>
      </c>
      <c r="AT1663" s="48" t="str">
        <f t="shared" ca="1" si="314"/>
        <v/>
      </c>
      <c r="AU1663" s="3" t="str">
        <f t="shared" ca="1" si="311"/>
        <v/>
      </c>
      <c r="AV1663" s="3" t="str">
        <f t="shared" ca="1" si="312"/>
        <v/>
      </c>
    </row>
    <row r="1664" spans="43:48" x14ac:dyDescent="0.2">
      <c r="AQ1664" s="4" t="str">
        <f t="shared" ca="1" si="313"/>
        <v/>
      </c>
      <c r="AR1664" s="3" t="str">
        <f t="shared" ca="1" si="310"/>
        <v/>
      </c>
      <c r="AS1664" s="63" t="str">
        <f ca="1">IF($AQ1664&lt;&gt;"", INDEX(Inputs!$B$3:$B$101, MATCH($AQ1664,Inputs!$A$3:$A$101,1)), "")</f>
        <v/>
      </c>
      <c r="AT1664" s="48" t="str">
        <f t="shared" ca="1" si="314"/>
        <v/>
      </c>
      <c r="AU1664" s="3" t="str">
        <f t="shared" ca="1" si="311"/>
        <v/>
      </c>
      <c r="AV1664" s="3" t="str">
        <f t="shared" ca="1" si="312"/>
        <v/>
      </c>
    </row>
    <row r="1665" spans="43:48" x14ac:dyDescent="0.2">
      <c r="AQ1665" s="4" t="str">
        <f t="shared" ca="1" si="313"/>
        <v/>
      </c>
      <c r="AR1665" s="3" t="str">
        <f t="shared" ca="1" si="310"/>
        <v/>
      </c>
      <c r="AS1665" s="63" t="str">
        <f ca="1">IF($AQ1665&lt;&gt;"", INDEX(Inputs!$B$3:$B$101, MATCH($AQ1665,Inputs!$A$3:$A$101,1)), "")</f>
        <v/>
      </c>
      <c r="AT1665" s="48" t="str">
        <f t="shared" ca="1" si="314"/>
        <v/>
      </c>
      <c r="AU1665" s="3" t="str">
        <f t="shared" ca="1" si="311"/>
        <v/>
      </c>
      <c r="AV1665" s="3" t="str">
        <f t="shared" ca="1" si="312"/>
        <v/>
      </c>
    </row>
    <row r="1666" spans="43:48" x14ac:dyDescent="0.2">
      <c r="AQ1666" s="4" t="str">
        <f t="shared" ca="1" si="313"/>
        <v/>
      </c>
      <c r="AR1666" s="3" t="str">
        <f t="shared" ca="1" si="310"/>
        <v/>
      </c>
      <c r="AS1666" s="63" t="str">
        <f ca="1">IF($AQ1666&lt;&gt;"", INDEX(Inputs!$B$3:$B$101, MATCH($AQ1666,Inputs!$A$3:$A$101,1)), "")</f>
        <v/>
      </c>
      <c r="AT1666" s="48" t="str">
        <f t="shared" ca="1" si="314"/>
        <v/>
      </c>
      <c r="AU1666" s="3" t="str">
        <f t="shared" ca="1" si="311"/>
        <v/>
      </c>
      <c r="AV1666" s="3" t="str">
        <f t="shared" ca="1" si="312"/>
        <v/>
      </c>
    </row>
    <row r="1667" spans="43:48" x14ac:dyDescent="0.2">
      <c r="AQ1667" s="4" t="str">
        <f t="shared" ca="1" si="313"/>
        <v/>
      </c>
      <c r="AR1667" s="3" t="str">
        <f t="shared" ca="1" si="310"/>
        <v/>
      </c>
      <c r="AS1667" s="63" t="str">
        <f ca="1">IF($AQ1667&lt;&gt;"", INDEX(Inputs!$B$3:$B$101, MATCH($AQ1667,Inputs!$A$3:$A$101,1)), "")</f>
        <v/>
      </c>
      <c r="AT1667" s="48" t="str">
        <f t="shared" ca="1" si="314"/>
        <v/>
      </c>
      <c r="AU1667" s="3" t="str">
        <f t="shared" ca="1" si="311"/>
        <v/>
      </c>
      <c r="AV1667" s="3" t="str">
        <f t="shared" ca="1" si="312"/>
        <v/>
      </c>
    </row>
    <row r="1668" spans="43:48" x14ac:dyDescent="0.2">
      <c r="AQ1668" s="4" t="str">
        <f t="shared" ca="1" si="313"/>
        <v/>
      </c>
      <c r="AR1668" s="3" t="str">
        <f t="shared" ca="1" si="310"/>
        <v/>
      </c>
      <c r="AS1668" s="63" t="str">
        <f ca="1">IF($AQ1668&lt;&gt;"", INDEX(Inputs!$B$3:$B$101, MATCH($AQ1668,Inputs!$A$3:$A$101,1)), "")</f>
        <v/>
      </c>
      <c r="AT1668" s="48" t="str">
        <f t="shared" ca="1" si="314"/>
        <v/>
      </c>
      <c r="AU1668" s="3" t="str">
        <f t="shared" ca="1" si="311"/>
        <v/>
      </c>
      <c r="AV1668" s="3" t="str">
        <f t="shared" ca="1" si="312"/>
        <v/>
      </c>
    </row>
    <row r="1669" spans="43:48" x14ac:dyDescent="0.2">
      <c r="AQ1669" s="4" t="str">
        <f t="shared" ca="1" si="313"/>
        <v/>
      </c>
      <c r="AR1669" s="3" t="str">
        <f t="shared" ca="1" si="310"/>
        <v/>
      </c>
      <c r="AS1669" s="63" t="str">
        <f ca="1">IF($AQ1669&lt;&gt;"", INDEX(Inputs!$B$3:$B$101, MATCH($AQ1669,Inputs!$A$3:$A$101,1)), "")</f>
        <v/>
      </c>
      <c r="AT1669" s="48" t="str">
        <f t="shared" ca="1" si="314"/>
        <v/>
      </c>
      <c r="AU1669" s="3" t="str">
        <f t="shared" ca="1" si="311"/>
        <v/>
      </c>
      <c r="AV1669" s="3" t="str">
        <f t="shared" ca="1" si="312"/>
        <v/>
      </c>
    </row>
    <row r="1670" spans="43:48" x14ac:dyDescent="0.2">
      <c r="AQ1670" s="4" t="str">
        <f t="shared" ca="1" si="313"/>
        <v/>
      </c>
      <c r="AR1670" s="3" t="str">
        <f t="shared" ca="1" si="310"/>
        <v/>
      </c>
      <c r="AS1670" s="63" t="str">
        <f ca="1">IF($AQ1670&lt;&gt;"", INDEX(Inputs!$B$3:$B$101, MATCH($AQ1670,Inputs!$A$3:$A$101,1)), "")</f>
        <v/>
      </c>
      <c r="AT1670" s="48" t="str">
        <f t="shared" ca="1" si="314"/>
        <v/>
      </c>
      <c r="AU1670" s="3" t="str">
        <f t="shared" ca="1" si="311"/>
        <v/>
      </c>
      <c r="AV1670" s="3" t="str">
        <f t="shared" ca="1" si="312"/>
        <v/>
      </c>
    </row>
    <row r="1671" spans="43:48" x14ac:dyDescent="0.2">
      <c r="AQ1671" s="4" t="str">
        <f t="shared" ca="1" si="313"/>
        <v/>
      </c>
      <c r="AR1671" s="3" t="str">
        <f t="shared" ca="1" si="310"/>
        <v/>
      </c>
      <c r="AS1671" s="63" t="str">
        <f ca="1">IF($AQ1671&lt;&gt;"", INDEX(Inputs!$B$3:$B$101, MATCH($AQ1671,Inputs!$A$3:$A$101,1)), "")</f>
        <v/>
      </c>
      <c r="AT1671" s="48" t="str">
        <f t="shared" ca="1" si="314"/>
        <v/>
      </c>
      <c r="AU1671" s="3" t="str">
        <f t="shared" ca="1" si="311"/>
        <v/>
      </c>
      <c r="AV1671" s="3" t="str">
        <f t="shared" ca="1" si="312"/>
        <v/>
      </c>
    </row>
    <row r="1672" spans="43:48" x14ac:dyDescent="0.2">
      <c r="AQ1672" s="4" t="str">
        <f t="shared" ca="1" si="313"/>
        <v/>
      </c>
      <c r="AR1672" s="3" t="str">
        <f t="shared" ca="1" si="310"/>
        <v/>
      </c>
      <c r="AS1672" s="63" t="str">
        <f ca="1">IF($AQ1672&lt;&gt;"", INDEX(Inputs!$B$3:$B$101, MATCH($AQ1672,Inputs!$A$3:$A$101,1)), "")</f>
        <v/>
      </c>
      <c r="AT1672" s="48" t="str">
        <f t="shared" ca="1" si="314"/>
        <v/>
      </c>
      <c r="AU1672" s="3" t="str">
        <f t="shared" ca="1" si="311"/>
        <v/>
      </c>
      <c r="AV1672" s="3" t="str">
        <f t="shared" ca="1" si="312"/>
        <v/>
      </c>
    </row>
    <row r="1673" spans="43:48" x14ac:dyDescent="0.2">
      <c r="AQ1673" s="4" t="str">
        <f t="shared" ca="1" si="313"/>
        <v/>
      </c>
      <c r="AR1673" s="3" t="str">
        <f t="shared" ca="1" si="310"/>
        <v/>
      </c>
      <c r="AS1673" s="63" t="str">
        <f ca="1">IF($AQ1673&lt;&gt;"", INDEX(Inputs!$B$3:$B$101, MATCH($AQ1673,Inputs!$A$3:$A$101,1)), "")</f>
        <v/>
      </c>
      <c r="AT1673" s="48" t="str">
        <f t="shared" ca="1" si="314"/>
        <v/>
      </c>
      <c r="AU1673" s="3" t="str">
        <f t="shared" ca="1" si="311"/>
        <v/>
      </c>
      <c r="AV1673" s="3" t="str">
        <f t="shared" ca="1" si="312"/>
        <v/>
      </c>
    </row>
    <row r="1674" spans="43:48" x14ac:dyDescent="0.2">
      <c r="AQ1674" s="4" t="str">
        <f t="shared" ca="1" si="313"/>
        <v/>
      </c>
      <c r="AR1674" s="3" t="str">
        <f t="shared" ca="1" si="310"/>
        <v/>
      </c>
      <c r="AS1674" s="63" t="str">
        <f ca="1">IF($AQ1674&lt;&gt;"", INDEX(Inputs!$B$3:$B$101, MATCH($AQ1674,Inputs!$A$3:$A$101,1)), "")</f>
        <v/>
      </c>
      <c r="AT1674" s="48" t="str">
        <f t="shared" ca="1" si="314"/>
        <v/>
      </c>
      <c r="AU1674" s="3" t="str">
        <f t="shared" ca="1" si="311"/>
        <v/>
      </c>
      <c r="AV1674" s="3" t="str">
        <f t="shared" ca="1" si="312"/>
        <v/>
      </c>
    </row>
    <row r="1675" spans="43:48" x14ac:dyDescent="0.2">
      <c r="AQ1675" s="4" t="str">
        <f t="shared" ca="1" si="313"/>
        <v/>
      </c>
      <c r="AR1675" s="3" t="str">
        <f t="shared" ca="1" si="310"/>
        <v/>
      </c>
      <c r="AS1675" s="63" t="str">
        <f ca="1">IF($AQ1675&lt;&gt;"", INDEX(Inputs!$B$3:$B$101, MATCH($AQ1675,Inputs!$A$3:$A$101,1)), "")</f>
        <v/>
      </c>
      <c r="AT1675" s="48" t="str">
        <f t="shared" ca="1" si="314"/>
        <v/>
      </c>
      <c r="AU1675" s="3" t="str">
        <f t="shared" ca="1" si="311"/>
        <v/>
      </c>
      <c r="AV1675" s="3" t="str">
        <f t="shared" ca="1" si="312"/>
        <v/>
      </c>
    </row>
    <row r="1676" spans="43:48" x14ac:dyDescent="0.2">
      <c r="AQ1676" s="4" t="str">
        <f t="shared" ca="1" si="313"/>
        <v/>
      </c>
      <c r="AR1676" s="3" t="str">
        <f t="shared" ca="1" si="310"/>
        <v/>
      </c>
      <c r="AS1676" s="63" t="str">
        <f ca="1">IF($AQ1676&lt;&gt;"", INDEX(Inputs!$B$3:$B$101, MATCH($AQ1676,Inputs!$A$3:$A$101,1)), "")</f>
        <v/>
      </c>
      <c r="AT1676" s="48" t="str">
        <f t="shared" ca="1" si="314"/>
        <v/>
      </c>
      <c r="AU1676" s="3" t="str">
        <f t="shared" ca="1" si="311"/>
        <v/>
      </c>
      <c r="AV1676" s="3" t="str">
        <f t="shared" ca="1" si="312"/>
        <v/>
      </c>
    </row>
    <row r="1677" spans="43:48" x14ac:dyDescent="0.2">
      <c r="AQ1677" s="4" t="str">
        <f t="shared" ca="1" si="313"/>
        <v/>
      </c>
      <c r="AR1677" s="3" t="str">
        <f t="shared" ca="1" si="310"/>
        <v/>
      </c>
      <c r="AS1677" s="63" t="str">
        <f ca="1">IF($AQ1677&lt;&gt;"", INDEX(Inputs!$B$3:$B$101, MATCH($AQ1677,Inputs!$A$3:$A$101,1)), "")</f>
        <v/>
      </c>
      <c r="AT1677" s="48" t="str">
        <f t="shared" ca="1" si="314"/>
        <v/>
      </c>
      <c r="AU1677" s="3" t="str">
        <f t="shared" ca="1" si="311"/>
        <v/>
      </c>
      <c r="AV1677" s="3" t="str">
        <f t="shared" ca="1" si="312"/>
        <v/>
      </c>
    </row>
    <row r="1678" spans="43:48" x14ac:dyDescent="0.2">
      <c r="AQ1678" s="4" t="str">
        <f t="shared" ca="1" si="313"/>
        <v/>
      </c>
      <c r="AR1678" s="3" t="str">
        <f t="shared" ca="1" si="310"/>
        <v/>
      </c>
      <c r="AS1678" s="63" t="str">
        <f ca="1">IF($AQ1678&lt;&gt;"", INDEX(Inputs!$B$3:$B$101, MATCH($AQ1678,Inputs!$A$3:$A$101,1)), "")</f>
        <v/>
      </c>
      <c r="AT1678" s="48" t="str">
        <f t="shared" ca="1" si="314"/>
        <v/>
      </c>
      <c r="AU1678" s="3" t="str">
        <f t="shared" ca="1" si="311"/>
        <v/>
      </c>
      <c r="AV1678" s="3" t="str">
        <f t="shared" ca="1" si="312"/>
        <v/>
      </c>
    </row>
    <row r="1679" spans="43:48" x14ac:dyDescent="0.2">
      <c r="AQ1679" s="4" t="str">
        <f t="shared" ca="1" si="313"/>
        <v/>
      </c>
      <c r="AR1679" s="3" t="str">
        <f t="shared" ca="1" si="310"/>
        <v/>
      </c>
      <c r="AS1679" s="63" t="str">
        <f ca="1">IF($AQ1679&lt;&gt;"", INDEX(Inputs!$B$3:$B$101, MATCH($AQ1679,Inputs!$A$3:$A$101,1)), "")</f>
        <v/>
      </c>
      <c r="AT1679" s="48" t="str">
        <f t="shared" ca="1" si="314"/>
        <v/>
      </c>
      <c r="AU1679" s="3" t="str">
        <f t="shared" ca="1" si="311"/>
        <v/>
      </c>
      <c r="AV1679" s="3" t="str">
        <f t="shared" ca="1" si="312"/>
        <v/>
      </c>
    </row>
    <row r="1680" spans="43:48" x14ac:dyDescent="0.2">
      <c r="AQ1680" s="4" t="str">
        <f t="shared" ca="1" si="313"/>
        <v/>
      </c>
      <c r="AR1680" s="3" t="str">
        <f t="shared" ca="1" si="310"/>
        <v/>
      </c>
      <c r="AS1680" s="63" t="str">
        <f ca="1">IF($AQ1680&lt;&gt;"", INDEX(Inputs!$B$3:$B$101, MATCH($AQ1680,Inputs!$A$3:$A$101,1)), "")</f>
        <v/>
      </c>
      <c r="AT1680" s="48" t="str">
        <f t="shared" ca="1" si="314"/>
        <v/>
      </c>
      <c r="AU1680" s="3" t="str">
        <f t="shared" ca="1" si="311"/>
        <v/>
      </c>
      <c r="AV1680" s="3" t="str">
        <f t="shared" ca="1" si="312"/>
        <v/>
      </c>
    </row>
    <row r="1681" spans="43:48" x14ac:dyDescent="0.2">
      <c r="AQ1681" s="4" t="str">
        <f t="shared" ca="1" si="313"/>
        <v/>
      </c>
      <c r="AR1681" s="3" t="str">
        <f t="shared" ca="1" si="310"/>
        <v/>
      </c>
      <c r="AS1681" s="63" t="str">
        <f ca="1">IF($AQ1681&lt;&gt;"", INDEX(Inputs!$B$3:$B$101, MATCH($AQ1681,Inputs!$A$3:$A$101,1)), "")</f>
        <v/>
      </c>
      <c r="AT1681" s="48" t="str">
        <f t="shared" ca="1" si="314"/>
        <v/>
      </c>
      <c r="AU1681" s="3" t="str">
        <f t="shared" ca="1" si="311"/>
        <v/>
      </c>
      <c r="AV1681" s="3" t="str">
        <f t="shared" ca="1" si="312"/>
        <v/>
      </c>
    </row>
    <row r="1682" spans="43:48" x14ac:dyDescent="0.2">
      <c r="AQ1682" s="4" t="str">
        <f t="shared" ca="1" si="313"/>
        <v/>
      </c>
      <c r="AR1682" s="3" t="str">
        <f t="shared" ca="1" si="310"/>
        <v/>
      </c>
      <c r="AS1682" s="63" t="str">
        <f ca="1">IF($AQ1682&lt;&gt;"", INDEX(Inputs!$B$3:$B$101, MATCH($AQ1682,Inputs!$A$3:$A$101,1)), "")</f>
        <v/>
      </c>
      <c r="AT1682" s="48" t="str">
        <f t="shared" ca="1" si="314"/>
        <v/>
      </c>
      <c r="AU1682" s="3" t="str">
        <f t="shared" ca="1" si="311"/>
        <v/>
      </c>
      <c r="AV1682" s="3" t="str">
        <f t="shared" ca="1" si="312"/>
        <v/>
      </c>
    </row>
    <row r="1683" spans="43:48" x14ac:dyDescent="0.2">
      <c r="AQ1683" s="4" t="str">
        <f t="shared" ca="1" si="313"/>
        <v/>
      </c>
      <c r="AR1683" s="3" t="str">
        <f t="shared" ca="1" si="310"/>
        <v/>
      </c>
      <c r="AS1683" s="63" t="str">
        <f ca="1">IF($AQ1683&lt;&gt;"", INDEX(Inputs!$B$3:$B$101, MATCH($AQ1683,Inputs!$A$3:$A$101,1)), "")</f>
        <v/>
      </c>
      <c r="AT1683" s="48" t="str">
        <f t="shared" ca="1" si="314"/>
        <v/>
      </c>
      <c r="AU1683" s="3" t="str">
        <f t="shared" ca="1" si="311"/>
        <v/>
      </c>
      <c r="AV1683" s="3" t="str">
        <f t="shared" ca="1" si="312"/>
        <v/>
      </c>
    </row>
    <row r="1684" spans="43:48" x14ac:dyDescent="0.2">
      <c r="AQ1684" s="4" t="str">
        <f t="shared" ca="1" si="313"/>
        <v/>
      </c>
      <c r="AR1684" s="3" t="str">
        <f t="shared" ca="1" si="310"/>
        <v/>
      </c>
      <c r="AS1684" s="63" t="str">
        <f ca="1">IF($AQ1684&lt;&gt;"", INDEX(Inputs!$B$3:$B$101, MATCH($AQ1684,Inputs!$A$3:$A$101,1)), "")</f>
        <v/>
      </c>
      <c r="AT1684" s="48" t="str">
        <f t="shared" ca="1" si="314"/>
        <v/>
      </c>
      <c r="AU1684" s="3" t="str">
        <f t="shared" ca="1" si="311"/>
        <v/>
      </c>
      <c r="AV1684" s="3" t="str">
        <f t="shared" ca="1" si="312"/>
        <v/>
      </c>
    </row>
    <row r="1685" spans="43:48" x14ac:dyDescent="0.2">
      <c r="AQ1685" s="4" t="str">
        <f t="shared" ca="1" si="313"/>
        <v/>
      </c>
      <c r="AR1685" s="3" t="str">
        <f t="shared" ca="1" si="310"/>
        <v/>
      </c>
      <c r="AS1685" s="63" t="str">
        <f ca="1">IF($AQ1685&lt;&gt;"", INDEX(Inputs!$B$3:$B$101, MATCH($AQ1685,Inputs!$A$3:$A$101,1)), "")</f>
        <v/>
      </c>
      <c r="AT1685" s="48" t="str">
        <f t="shared" ca="1" si="314"/>
        <v/>
      </c>
      <c r="AU1685" s="3" t="str">
        <f t="shared" ca="1" si="311"/>
        <v/>
      </c>
      <c r="AV1685" s="3" t="str">
        <f t="shared" ca="1" si="312"/>
        <v/>
      </c>
    </row>
    <row r="1686" spans="43:48" x14ac:dyDescent="0.2">
      <c r="AQ1686" s="4" t="str">
        <f t="shared" ca="1" si="313"/>
        <v/>
      </c>
      <c r="AR1686" s="3" t="str">
        <f t="shared" ca="1" si="310"/>
        <v/>
      </c>
      <c r="AS1686" s="63" t="str">
        <f ca="1">IF($AQ1686&lt;&gt;"", INDEX(Inputs!$B$3:$B$101, MATCH($AQ1686,Inputs!$A$3:$A$101,1)), "")</f>
        <v/>
      </c>
      <c r="AT1686" s="48" t="str">
        <f t="shared" ca="1" si="314"/>
        <v/>
      </c>
      <c r="AU1686" s="3" t="str">
        <f t="shared" ca="1" si="311"/>
        <v/>
      </c>
      <c r="AV1686" s="3" t="str">
        <f t="shared" ca="1" si="312"/>
        <v/>
      </c>
    </row>
    <row r="1687" spans="43:48" x14ac:dyDescent="0.2">
      <c r="AQ1687" s="4" t="str">
        <f t="shared" ca="1" si="313"/>
        <v/>
      </c>
      <c r="AR1687" s="3" t="str">
        <f t="shared" ca="1" si="310"/>
        <v/>
      </c>
      <c r="AS1687" s="63" t="str">
        <f ca="1">IF($AQ1687&lt;&gt;"", INDEX(Inputs!$B$3:$B$101, MATCH($AQ1687,Inputs!$A$3:$A$101,1)), "")</f>
        <v/>
      </c>
      <c r="AT1687" s="48" t="str">
        <f t="shared" ca="1" si="314"/>
        <v/>
      </c>
      <c r="AU1687" s="3" t="str">
        <f t="shared" ca="1" si="311"/>
        <v/>
      </c>
      <c r="AV1687" s="3" t="str">
        <f t="shared" ca="1" si="312"/>
        <v/>
      </c>
    </row>
    <row r="1688" spans="43:48" x14ac:dyDescent="0.2">
      <c r="AQ1688" s="4" t="str">
        <f t="shared" ca="1" si="313"/>
        <v/>
      </c>
      <c r="AR1688" s="3" t="str">
        <f t="shared" ca="1" si="310"/>
        <v/>
      </c>
      <c r="AS1688" s="63" t="str">
        <f ca="1">IF($AQ1688&lt;&gt;"", INDEX(Inputs!$B$3:$B$101, MATCH($AQ1688,Inputs!$A$3:$A$101,1)), "")</f>
        <v/>
      </c>
      <c r="AT1688" s="48" t="str">
        <f t="shared" ca="1" si="314"/>
        <v/>
      </c>
      <c r="AU1688" s="3" t="str">
        <f t="shared" ca="1" si="311"/>
        <v/>
      </c>
      <c r="AV1688" s="3" t="str">
        <f t="shared" ca="1" si="312"/>
        <v/>
      </c>
    </row>
    <row r="1689" spans="43:48" x14ac:dyDescent="0.2">
      <c r="AQ1689" s="4" t="str">
        <f t="shared" ca="1" si="313"/>
        <v/>
      </c>
      <c r="AR1689" s="3" t="str">
        <f t="shared" ref="AR1689:AR1752" ca="1" si="315">IF($AQ1689&lt;&gt;"", INDEX($AC$3:$AC$1055, MATCH($AQ1689,$A$3:$A$1055,1)), "")</f>
        <v/>
      </c>
      <c r="AS1689" s="63" t="str">
        <f ca="1">IF($AQ1689&lt;&gt;"", INDEX(Inputs!$B$3:$B$101, MATCH($AQ1689,Inputs!$A$3:$A$101,1)), "")</f>
        <v/>
      </c>
      <c r="AT1689" s="48" t="str">
        <f t="shared" ca="1" si="314"/>
        <v/>
      </c>
      <c r="AU1689" s="3" t="str">
        <f t="shared" ref="AU1689:AU1752" ca="1" si="316">IF($AQ1689&lt;&gt;"", SUMIFS($AL$3:$AL$1054, $A$3:$A$1054,$AQ1689) + SUMIFS($M$3:$M$1054, $A$3:$A$1054,$AQ1689)*IFERROR(AVERAGEIFS($L$3:$L$1054, $A$3:$A$1054,$AQ1689, $M$3:$M$1054,"&gt;0"),0) - AT1689, "")</f>
        <v/>
      </c>
      <c r="AV1689" s="3" t="str">
        <f t="shared" ca="1" si="312"/>
        <v/>
      </c>
    </row>
    <row r="1690" spans="43:48" x14ac:dyDescent="0.2">
      <c r="AQ1690" s="4" t="str">
        <f t="shared" ca="1" si="313"/>
        <v/>
      </c>
      <c r="AR1690" s="3" t="str">
        <f t="shared" ca="1" si="315"/>
        <v/>
      </c>
      <c r="AS1690" s="63" t="str">
        <f ca="1">IF($AQ1690&lt;&gt;"", INDEX(Inputs!$B$3:$B$101, MATCH($AQ1690,Inputs!$A$3:$A$101,1)), "")</f>
        <v/>
      </c>
      <c r="AT1690" s="48" t="str">
        <f t="shared" ca="1" si="314"/>
        <v/>
      </c>
      <c r="AU1690" s="3" t="str">
        <f t="shared" ca="1" si="316"/>
        <v/>
      </c>
      <c r="AV1690" s="3" t="str">
        <f t="shared" ca="1" si="312"/>
        <v/>
      </c>
    </row>
    <row r="1691" spans="43:48" x14ac:dyDescent="0.2">
      <c r="AQ1691" s="4" t="str">
        <f t="shared" ca="1" si="313"/>
        <v/>
      </c>
      <c r="AR1691" s="3" t="str">
        <f t="shared" ca="1" si="315"/>
        <v/>
      </c>
      <c r="AS1691" s="63" t="str">
        <f ca="1">IF($AQ1691&lt;&gt;"", INDEX(Inputs!$B$3:$B$101, MATCH($AQ1691,Inputs!$A$3:$A$101,1)), "")</f>
        <v/>
      </c>
      <c r="AT1691" s="48" t="str">
        <f t="shared" ca="1" si="314"/>
        <v/>
      </c>
      <c r="AU1691" s="3" t="str">
        <f t="shared" ca="1" si="316"/>
        <v/>
      </c>
      <c r="AV1691" s="3" t="str">
        <f t="shared" ca="1" si="312"/>
        <v/>
      </c>
    </row>
    <row r="1692" spans="43:48" x14ac:dyDescent="0.2">
      <c r="AQ1692" s="4" t="str">
        <f t="shared" ca="1" si="313"/>
        <v/>
      </c>
      <c r="AR1692" s="3" t="str">
        <f t="shared" ca="1" si="315"/>
        <v/>
      </c>
      <c r="AS1692" s="63" t="str">
        <f ca="1">IF($AQ1692&lt;&gt;"", INDEX(Inputs!$B$3:$B$101, MATCH($AQ1692,Inputs!$A$3:$A$101,1)), "")</f>
        <v/>
      </c>
      <c r="AT1692" s="48" t="str">
        <f t="shared" ca="1" si="314"/>
        <v/>
      </c>
      <c r="AU1692" s="3" t="str">
        <f t="shared" ca="1" si="316"/>
        <v/>
      </c>
      <c r="AV1692" s="3" t="str">
        <f t="shared" ca="1" si="312"/>
        <v/>
      </c>
    </row>
    <row r="1693" spans="43:48" x14ac:dyDescent="0.2">
      <c r="AQ1693" s="4" t="str">
        <f t="shared" ca="1" si="313"/>
        <v/>
      </c>
      <c r="AR1693" s="3" t="str">
        <f t="shared" ca="1" si="315"/>
        <v/>
      </c>
      <c r="AS1693" s="63" t="str">
        <f ca="1">IF($AQ1693&lt;&gt;"", INDEX(Inputs!$B$3:$B$101, MATCH($AQ1693,Inputs!$A$3:$A$101,1)), "")</f>
        <v/>
      </c>
      <c r="AT1693" s="48" t="str">
        <f t="shared" ca="1" si="314"/>
        <v/>
      </c>
      <c r="AU1693" s="3" t="str">
        <f t="shared" ca="1" si="316"/>
        <v/>
      </c>
      <c r="AV1693" s="3" t="str">
        <f t="shared" ca="1" si="312"/>
        <v/>
      </c>
    </row>
    <row r="1694" spans="43:48" x14ac:dyDescent="0.2">
      <c r="AQ1694" s="4" t="str">
        <f t="shared" ca="1" si="313"/>
        <v/>
      </c>
      <c r="AR1694" s="3" t="str">
        <f t="shared" ca="1" si="315"/>
        <v/>
      </c>
      <c r="AS1694" s="63" t="str">
        <f ca="1">IF($AQ1694&lt;&gt;"", INDEX(Inputs!$B$3:$B$101, MATCH($AQ1694,Inputs!$A$3:$A$101,1)), "")</f>
        <v/>
      </c>
      <c r="AT1694" s="48" t="str">
        <f t="shared" ca="1" si="314"/>
        <v/>
      </c>
      <c r="AU1694" s="3" t="str">
        <f t="shared" ca="1" si="316"/>
        <v/>
      </c>
      <c r="AV1694" s="3" t="str">
        <f t="shared" ca="1" si="312"/>
        <v/>
      </c>
    </row>
    <row r="1695" spans="43:48" x14ac:dyDescent="0.2">
      <c r="AQ1695" s="4" t="str">
        <f t="shared" ca="1" si="313"/>
        <v/>
      </c>
      <c r="AR1695" s="3" t="str">
        <f t="shared" ca="1" si="315"/>
        <v/>
      </c>
      <c r="AS1695" s="63" t="str">
        <f ca="1">IF($AQ1695&lt;&gt;"", INDEX(Inputs!$B$3:$B$101, MATCH($AQ1695,Inputs!$A$3:$A$101,1)), "")</f>
        <v/>
      </c>
      <c r="AT1695" s="48" t="str">
        <f t="shared" ca="1" si="314"/>
        <v/>
      </c>
      <c r="AU1695" s="3" t="str">
        <f t="shared" ca="1" si="316"/>
        <v/>
      </c>
      <c r="AV1695" s="3" t="str">
        <f t="shared" ca="1" si="312"/>
        <v/>
      </c>
    </row>
    <row r="1696" spans="43:48" x14ac:dyDescent="0.2">
      <c r="AQ1696" s="4" t="str">
        <f t="shared" ca="1" si="313"/>
        <v/>
      </c>
      <c r="AR1696" s="3" t="str">
        <f t="shared" ca="1" si="315"/>
        <v/>
      </c>
      <c r="AS1696" s="63" t="str">
        <f ca="1">IF($AQ1696&lt;&gt;"", INDEX(Inputs!$B$3:$B$101, MATCH($AQ1696,Inputs!$A$3:$A$101,1)), "")</f>
        <v/>
      </c>
      <c r="AT1696" s="48" t="str">
        <f t="shared" ca="1" si="314"/>
        <v/>
      </c>
      <c r="AU1696" s="3" t="str">
        <f t="shared" ca="1" si="316"/>
        <v/>
      </c>
      <c r="AV1696" s="3" t="str">
        <f t="shared" ref="AV1696:AV1759" ca="1" si="317">IF(AQ1696&lt;&gt;"", AU1696*(1+$X$9/CompoundingRate)^-((AQ1696-AQ$3)/(365/CompoundingRate)), "")</f>
        <v/>
      </c>
    </row>
    <row r="1697" spans="43:48" x14ac:dyDescent="0.2">
      <c r="AQ1697" s="4" t="str">
        <f t="shared" ca="1" si="313"/>
        <v/>
      </c>
      <c r="AR1697" s="3" t="str">
        <f t="shared" ca="1" si="315"/>
        <v/>
      </c>
      <c r="AS1697" s="63" t="str">
        <f ca="1">IF($AQ1697&lt;&gt;"", INDEX(Inputs!$B$3:$B$101, MATCH($AQ1697,Inputs!$A$3:$A$101,1)), "")</f>
        <v/>
      </c>
      <c r="AT1697" s="48" t="str">
        <f t="shared" ca="1" si="314"/>
        <v/>
      </c>
      <c r="AU1697" s="3" t="str">
        <f t="shared" ca="1" si="316"/>
        <v/>
      </c>
      <c r="AV1697" s="3" t="str">
        <f t="shared" ca="1" si="317"/>
        <v/>
      </c>
    </row>
    <row r="1698" spans="43:48" x14ac:dyDescent="0.2">
      <c r="AQ1698" s="4" t="str">
        <f t="shared" ca="1" si="313"/>
        <v/>
      </c>
      <c r="AR1698" s="3" t="str">
        <f t="shared" ca="1" si="315"/>
        <v/>
      </c>
      <c r="AS1698" s="63" t="str">
        <f ca="1">IF($AQ1698&lt;&gt;"", INDEX(Inputs!$B$3:$B$101, MATCH($AQ1698,Inputs!$A$3:$A$101,1)), "")</f>
        <v/>
      </c>
      <c r="AT1698" s="48" t="str">
        <f t="shared" ca="1" si="314"/>
        <v/>
      </c>
      <c r="AU1698" s="3" t="str">
        <f t="shared" ca="1" si="316"/>
        <v/>
      </c>
      <c r="AV1698" s="3" t="str">
        <f t="shared" ca="1" si="317"/>
        <v/>
      </c>
    </row>
    <row r="1699" spans="43:48" x14ac:dyDescent="0.2">
      <c r="AQ1699" s="4" t="str">
        <f t="shared" ca="1" si="313"/>
        <v/>
      </c>
      <c r="AR1699" s="3" t="str">
        <f t="shared" ca="1" si="315"/>
        <v/>
      </c>
      <c r="AS1699" s="63" t="str">
        <f ca="1">IF($AQ1699&lt;&gt;"", INDEX(Inputs!$B$3:$B$101, MATCH($AQ1699,Inputs!$A$3:$A$101,1)), "")</f>
        <v/>
      </c>
      <c r="AT1699" s="48" t="str">
        <f t="shared" ca="1" si="314"/>
        <v/>
      </c>
      <c r="AU1699" s="3" t="str">
        <f t="shared" ca="1" si="316"/>
        <v/>
      </c>
      <c r="AV1699" s="3" t="str">
        <f t="shared" ca="1" si="317"/>
        <v/>
      </c>
    </row>
    <row r="1700" spans="43:48" x14ac:dyDescent="0.2">
      <c r="AQ1700" s="4" t="str">
        <f t="shared" ca="1" si="313"/>
        <v/>
      </c>
      <c r="AR1700" s="3" t="str">
        <f t="shared" ca="1" si="315"/>
        <v/>
      </c>
      <c r="AS1700" s="63" t="str">
        <f ca="1">IF($AQ1700&lt;&gt;"", INDEX(Inputs!$B$3:$B$101, MATCH($AQ1700,Inputs!$A$3:$A$101,1)), "")</f>
        <v/>
      </c>
      <c r="AT1700" s="48" t="str">
        <f t="shared" ca="1" si="314"/>
        <v/>
      </c>
      <c r="AU1700" s="3" t="str">
        <f t="shared" ca="1" si="316"/>
        <v/>
      </c>
      <c r="AV1700" s="3" t="str">
        <f t="shared" ca="1" si="317"/>
        <v/>
      </c>
    </row>
    <row r="1701" spans="43:48" x14ac:dyDescent="0.2">
      <c r="AQ1701" s="4" t="str">
        <f t="shared" ca="1" si="313"/>
        <v/>
      </c>
      <c r="AR1701" s="3" t="str">
        <f t="shared" ca="1" si="315"/>
        <v/>
      </c>
      <c r="AS1701" s="63" t="str">
        <f ca="1">IF($AQ1701&lt;&gt;"", INDEX(Inputs!$B$3:$B$101, MATCH($AQ1701,Inputs!$A$3:$A$101,1)), "")</f>
        <v/>
      </c>
      <c r="AT1701" s="48" t="str">
        <f t="shared" ca="1" si="314"/>
        <v/>
      </c>
      <c r="AU1701" s="3" t="str">
        <f t="shared" ca="1" si="316"/>
        <v/>
      </c>
      <c r="AV1701" s="3" t="str">
        <f t="shared" ca="1" si="317"/>
        <v/>
      </c>
    </row>
    <row r="1702" spans="43:48" x14ac:dyDescent="0.2">
      <c r="AQ1702" s="4" t="str">
        <f t="shared" ca="1" si="313"/>
        <v/>
      </c>
      <c r="AR1702" s="3" t="str">
        <f t="shared" ca="1" si="315"/>
        <v/>
      </c>
      <c r="AS1702" s="63" t="str">
        <f ca="1">IF($AQ1702&lt;&gt;"", INDEX(Inputs!$B$3:$B$101, MATCH($AQ1702,Inputs!$A$3:$A$101,1)), "")</f>
        <v/>
      </c>
      <c r="AT1702" s="48" t="str">
        <f t="shared" ca="1" si="314"/>
        <v/>
      </c>
      <c r="AU1702" s="3" t="str">
        <f t="shared" ca="1" si="316"/>
        <v/>
      </c>
      <c r="AV1702" s="3" t="str">
        <f t="shared" ca="1" si="317"/>
        <v/>
      </c>
    </row>
    <row r="1703" spans="43:48" x14ac:dyDescent="0.2">
      <c r="AQ1703" s="4" t="str">
        <f t="shared" ca="1" si="313"/>
        <v/>
      </c>
      <c r="AR1703" s="3" t="str">
        <f t="shared" ca="1" si="315"/>
        <v/>
      </c>
      <c r="AS1703" s="63" t="str">
        <f ca="1">IF($AQ1703&lt;&gt;"", INDEX(Inputs!$B$3:$B$101, MATCH($AQ1703,Inputs!$A$3:$A$101,1)), "")</f>
        <v/>
      </c>
      <c r="AT1703" s="48" t="str">
        <f t="shared" ca="1" si="314"/>
        <v/>
      </c>
      <c r="AU1703" s="3" t="str">
        <f t="shared" ca="1" si="316"/>
        <v/>
      </c>
      <c r="AV1703" s="3" t="str">
        <f t="shared" ca="1" si="317"/>
        <v/>
      </c>
    </row>
    <row r="1704" spans="43:48" x14ac:dyDescent="0.2">
      <c r="AQ1704" s="4" t="str">
        <f t="shared" ca="1" si="313"/>
        <v/>
      </c>
      <c r="AR1704" s="3" t="str">
        <f t="shared" ca="1" si="315"/>
        <v/>
      </c>
      <c r="AS1704" s="63" t="str">
        <f ca="1">IF($AQ1704&lt;&gt;"", INDEX(Inputs!$B$3:$B$101, MATCH($AQ1704,Inputs!$A$3:$A$101,1)), "")</f>
        <v/>
      </c>
      <c r="AT1704" s="48" t="str">
        <f t="shared" ca="1" si="314"/>
        <v/>
      </c>
      <c r="AU1704" s="3" t="str">
        <f t="shared" ca="1" si="316"/>
        <v/>
      </c>
      <c r="AV1704" s="3" t="str">
        <f t="shared" ca="1" si="317"/>
        <v/>
      </c>
    </row>
    <row r="1705" spans="43:48" x14ac:dyDescent="0.2">
      <c r="AQ1705" s="4" t="str">
        <f t="shared" ca="1" si="313"/>
        <v/>
      </c>
      <c r="AR1705" s="3" t="str">
        <f t="shared" ca="1" si="315"/>
        <v/>
      </c>
      <c r="AS1705" s="63" t="str">
        <f ca="1">IF($AQ1705&lt;&gt;"", INDEX(Inputs!$B$3:$B$101, MATCH($AQ1705,Inputs!$A$3:$A$101,1)), "")</f>
        <v/>
      </c>
      <c r="AT1705" s="48" t="str">
        <f t="shared" ca="1" si="314"/>
        <v/>
      </c>
      <c r="AU1705" s="3" t="str">
        <f t="shared" ca="1" si="316"/>
        <v/>
      </c>
      <c r="AV1705" s="3" t="str">
        <f t="shared" ca="1" si="317"/>
        <v/>
      </c>
    </row>
    <row r="1706" spans="43:48" x14ac:dyDescent="0.2">
      <c r="AQ1706" s="4" t="str">
        <f t="shared" ca="1" si="313"/>
        <v/>
      </c>
      <c r="AR1706" s="3" t="str">
        <f t="shared" ca="1" si="315"/>
        <v/>
      </c>
      <c r="AS1706" s="63" t="str">
        <f ca="1">IF($AQ1706&lt;&gt;"", INDEX(Inputs!$B$3:$B$101, MATCH($AQ1706,Inputs!$A$3:$A$101,1)), "")</f>
        <v/>
      </c>
      <c r="AT1706" s="48" t="str">
        <f t="shared" ca="1" si="314"/>
        <v/>
      </c>
      <c r="AU1706" s="3" t="str">
        <f t="shared" ca="1" si="316"/>
        <v/>
      </c>
      <c r="AV1706" s="3" t="str">
        <f t="shared" ca="1" si="317"/>
        <v/>
      </c>
    </row>
    <row r="1707" spans="43:48" x14ac:dyDescent="0.2">
      <c r="AQ1707" s="4" t="str">
        <f t="shared" ca="1" si="313"/>
        <v/>
      </c>
      <c r="AR1707" s="3" t="str">
        <f t="shared" ca="1" si="315"/>
        <v/>
      </c>
      <c r="AS1707" s="63" t="str">
        <f ca="1">IF($AQ1707&lt;&gt;"", INDEX(Inputs!$B$3:$B$101, MATCH($AQ1707,Inputs!$A$3:$A$101,1)), "")</f>
        <v/>
      </c>
      <c r="AT1707" s="48" t="str">
        <f t="shared" ca="1" si="314"/>
        <v/>
      </c>
      <c r="AU1707" s="3" t="str">
        <f t="shared" ca="1" si="316"/>
        <v/>
      </c>
      <c r="AV1707" s="3" t="str">
        <f t="shared" ca="1" si="317"/>
        <v/>
      </c>
    </row>
    <row r="1708" spans="43:48" x14ac:dyDescent="0.2">
      <c r="AQ1708" s="4" t="str">
        <f t="shared" ca="1" si="313"/>
        <v/>
      </c>
      <c r="AR1708" s="3" t="str">
        <f t="shared" ca="1" si="315"/>
        <v/>
      </c>
      <c r="AS1708" s="63" t="str">
        <f ca="1">IF($AQ1708&lt;&gt;"", INDEX(Inputs!$B$3:$B$101, MATCH($AQ1708,Inputs!$A$3:$A$101,1)), "")</f>
        <v/>
      </c>
      <c r="AT1708" s="48" t="str">
        <f t="shared" ca="1" si="314"/>
        <v/>
      </c>
      <c r="AU1708" s="3" t="str">
        <f t="shared" ca="1" si="316"/>
        <v/>
      </c>
      <c r="AV1708" s="3" t="str">
        <f t="shared" ca="1" si="317"/>
        <v/>
      </c>
    </row>
    <row r="1709" spans="43:48" x14ac:dyDescent="0.2">
      <c r="AQ1709" s="4" t="str">
        <f t="shared" ca="1" si="313"/>
        <v/>
      </c>
      <c r="AR1709" s="3" t="str">
        <f t="shared" ca="1" si="315"/>
        <v/>
      </c>
      <c r="AS1709" s="63" t="str">
        <f ca="1">IF($AQ1709&lt;&gt;"", INDEX(Inputs!$B$3:$B$101, MATCH($AQ1709,Inputs!$A$3:$A$101,1)), "")</f>
        <v/>
      </c>
      <c r="AT1709" s="48" t="str">
        <f t="shared" ca="1" si="314"/>
        <v/>
      </c>
      <c r="AU1709" s="3" t="str">
        <f t="shared" ca="1" si="316"/>
        <v/>
      </c>
      <c r="AV1709" s="3" t="str">
        <f t="shared" ca="1" si="317"/>
        <v/>
      </c>
    </row>
    <row r="1710" spans="43:48" x14ac:dyDescent="0.2">
      <c r="AQ1710" s="4" t="str">
        <f t="shared" ca="1" si="313"/>
        <v/>
      </c>
      <c r="AR1710" s="3" t="str">
        <f t="shared" ca="1" si="315"/>
        <v/>
      </c>
      <c r="AS1710" s="63" t="str">
        <f ca="1">IF($AQ1710&lt;&gt;"", INDEX(Inputs!$B$3:$B$101, MATCH($AQ1710,Inputs!$A$3:$A$101,1)), "")</f>
        <v/>
      </c>
      <c r="AT1710" s="48" t="str">
        <f t="shared" ca="1" si="314"/>
        <v/>
      </c>
      <c r="AU1710" s="3" t="str">
        <f t="shared" ca="1" si="316"/>
        <v/>
      </c>
      <c r="AV1710" s="3" t="str">
        <f t="shared" ca="1" si="317"/>
        <v/>
      </c>
    </row>
    <row r="1711" spans="43:48" x14ac:dyDescent="0.2">
      <c r="AQ1711" s="4" t="str">
        <f t="shared" ca="1" si="313"/>
        <v/>
      </c>
      <c r="AR1711" s="3" t="str">
        <f t="shared" ca="1" si="315"/>
        <v/>
      </c>
      <c r="AS1711" s="63" t="str">
        <f ca="1">IF($AQ1711&lt;&gt;"", INDEX(Inputs!$B$3:$B$101, MATCH($AQ1711,Inputs!$A$3:$A$101,1)), "")</f>
        <v/>
      </c>
      <c r="AT1711" s="48" t="str">
        <f t="shared" ca="1" si="314"/>
        <v/>
      </c>
      <c r="AU1711" s="3" t="str">
        <f t="shared" ca="1" si="316"/>
        <v/>
      </c>
      <c r="AV1711" s="3" t="str">
        <f t="shared" ca="1" si="317"/>
        <v/>
      </c>
    </row>
    <row r="1712" spans="43:48" x14ac:dyDescent="0.2">
      <c r="AQ1712" s="4" t="str">
        <f t="shared" ca="1" si="313"/>
        <v/>
      </c>
      <c r="AR1712" s="3" t="str">
        <f t="shared" ca="1" si="315"/>
        <v/>
      </c>
      <c r="AS1712" s="63" t="str">
        <f ca="1">IF($AQ1712&lt;&gt;"", INDEX(Inputs!$B$3:$B$101, MATCH($AQ1712,Inputs!$A$3:$A$101,1)), "")</f>
        <v/>
      </c>
      <c r="AT1712" s="48" t="str">
        <f t="shared" ca="1" si="314"/>
        <v/>
      </c>
      <c r="AU1712" s="3" t="str">
        <f t="shared" ca="1" si="316"/>
        <v/>
      </c>
      <c r="AV1712" s="3" t="str">
        <f t="shared" ca="1" si="317"/>
        <v/>
      </c>
    </row>
    <row r="1713" spans="43:48" x14ac:dyDescent="0.2">
      <c r="AQ1713" s="4" t="str">
        <f t="shared" ca="1" si="313"/>
        <v/>
      </c>
      <c r="AR1713" s="3" t="str">
        <f t="shared" ca="1" si="315"/>
        <v/>
      </c>
      <c r="AS1713" s="63" t="str">
        <f ca="1">IF($AQ1713&lt;&gt;"", INDEX(Inputs!$B$3:$B$101, MATCH($AQ1713,Inputs!$A$3:$A$101,1)), "")</f>
        <v/>
      </c>
      <c r="AT1713" s="48" t="str">
        <f t="shared" ca="1" si="314"/>
        <v/>
      </c>
      <c r="AU1713" s="3" t="str">
        <f t="shared" ca="1" si="316"/>
        <v/>
      </c>
      <c r="AV1713" s="3" t="str">
        <f t="shared" ca="1" si="317"/>
        <v/>
      </c>
    </row>
    <row r="1714" spans="43:48" x14ac:dyDescent="0.2">
      <c r="AQ1714" s="4" t="str">
        <f t="shared" ca="1" si="313"/>
        <v/>
      </c>
      <c r="AR1714" s="3" t="str">
        <f t="shared" ca="1" si="315"/>
        <v/>
      </c>
      <c r="AS1714" s="63" t="str">
        <f ca="1">IF($AQ1714&lt;&gt;"", INDEX(Inputs!$B$3:$B$101, MATCH($AQ1714,Inputs!$A$3:$A$101,1)), "")</f>
        <v/>
      </c>
      <c r="AT1714" s="48" t="str">
        <f t="shared" ca="1" si="314"/>
        <v/>
      </c>
      <c r="AU1714" s="3" t="str">
        <f t="shared" ca="1" si="316"/>
        <v/>
      </c>
      <c r="AV1714" s="3" t="str">
        <f t="shared" ca="1" si="317"/>
        <v/>
      </c>
    </row>
    <row r="1715" spans="43:48" x14ac:dyDescent="0.2">
      <c r="AQ1715" s="4" t="str">
        <f t="shared" ca="1" si="313"/>
        <v/>
      </c>
      <c r="AR1715" s="3" t="str">
        <f t="shared" ca="1" si="315"/>
        <v/>
      </c>
      <c r="AS1715" s="63" t="str">
        <f ca="1">IF($AQ1715&lt;&gt;"", INDEX(Inputs!$B$3:$B$101, MATCH($AQ1715,Inputs!$A$3:$A$101,1)), "")</f>
        <v/>
      </c>
      <c r="AT1715" s="48" t="str">
        <f t="shared" ca="1" si="314"/>
        <v/>
      </c>
      <c r="AU1715" s="3" t="str">
        <f t="shared" ca="1" si="316"/>
        <v/>
      </c>
      <c r="AV1715" s="3" t="str">
        <f t="shared" ca="1" si="317"/>
        <v/>
      </c>
    </row>
    <row r="1716" spans="43:48" x14ac:dyDescent="0.2">
      <c r="AQ1716" s="4" t="str">
        <f t="shared" ca="1" si="313"/>
        <v/>
      </c>
      <c r="AR1716" s="3" t="str">
        <f t="shared" ca="1" si="315"/>
        <v/>
      </c>
      <c r="AS1716" s="63" t="str">
        <f ca="1">IF($AQ1716&lt;&gt;"", INDEX(Inputs!$B$3:$B$101, MATCH($AQ1716,Inputs!$A$3:$A$101,1)), "")</f>
        <v/>
      </c>
      <c r="AT1716" s="48" t="str">
        <f t="shared" ca="1" si="314"/>
        <v/>
      </c>
      <c r="AU1716" s="3" t="str">
        <f t="shared" ca="1" si="316"/>
        <v/>
      </c>
      <c r="AV1716" s="3" t="str">
        <f t="shared" ca="1" si="317"/>
        <v/>
      </c>
    </row>
    <row r="1717" spans="43:48" x14ac:dyDescent="0.2">
      <c r="AQ1717" s="4" t="str">
        <f t="shared" ca="1" si="313"/>
        <v/>
      </c>
      <c r="AR1717" s="3" t="str">
        <f t="shared" ca="1" si="315"/>
        <v/>
      </c>
      <c r="AS1717" s="63" t="str">
        <f ca="1">IF($AQ1717&lt;&gt;"", INDEX(Inputs!$B$3:$B$101, MATCH($AQ1717,Inputs!$A$3:$A$101,1)), "")</f>
        <v/>
      </c>
      <c r="AT1717" s="48" t="str">
        <f t="shared" ca="1" si="314"/>
        <v/>
      </c>
      <c r="AU1717" s="3" t="str">
        <f t="shared" ca="1" si="316"/>
        <v/>
      </c>
      <c r="AV1717" s="3" t="str">
        <f t="shared" ca="1" si="317"/>
        <v/>
      </c>
    </row>
    <row r="1718" spans="43:48" x14ac:dyDescent="0.2">
      <c r="AQ1718" s="4" t="str">
        <f t="shared" ca="1" si="313"/>
        <v/>
      </c>
      <c r="AR1718" s="3" t="str">
        <f t="shared" ca="1" si="315"/>
        <v/>
      </c>
      <c r="AS1718" s="63" t="str">
        <f ca="1">IF($AQ1718&lt;&gt;"", INDEX(Inputs!$B$3:$B$101, MATCH($AQ1718,Inputs!$A$3:$A$101,1)), "")</f>
        <v/>
      </c>
      <c r="AT1718" s="48" t="str">
        <f t="shared" ca="1" si="314"/>
        <v/>
      </c>
      <c r="AU1718" s="3" t="str">
        <f t="shared" ca="1" si="316"/>
        <v/>
      </c>
      <c r="AV1718" s="3" t="str">
        <f t="shared" ca="1" si="317"/>
        <v/>
      </c>
    </row>
    <row r="1719" spans="43:48" x14ac:dyDescent="0.2">
      <c r="AQ1719" s="4" t="str">
        <f t="shared" ca="1" si="313"/>
        <v/>
      </c>
      <c r="AR1719" s="3" t="str">
        <f t="shared" ca="1" si="315"/>
        <v/>
      </c>
      <c r="AS1719" s="63" t="str">
        <f ca="1">IF($AQ1719&lt;&gt;"", INDEX(Inputs!$B$3:$B$101, MATCH($AQ1719,Inputs!$A$3:$A$101,1)), "")</f>
        <v/>
      </c>
      <c r="AT1719" s="48" t="str">
        <f t="shared" ca="1" si="314"/>
        <v/>
      </c>
      <c r="AU1719" s="3" t="str">
        <f t="shared" ca="1" si="316"/>
        <v/>
      </c>
      <c r="AV1719" s="3" t="str">
        <f t="shared" ca="1" si="317"/>
        <v/>
      </c>
    </row>
    <row r="1720" spans="43:48" x14ac:dyDescent="0.2">
      <c r="AQ1720" s="4" t="str">
        <f t="shared" ca="1" si="313"/>
        <v/>
      </c>
      <c r="AR1720" s="3" t="str">
        <f t="shared" ca="1" si="315"/>
        <v/>
      </c>
      <c r="AS1720" s="63" t="str">
        <f ca="1">IF($AQ1720&lt;&gt;"", INDEX(Inputs!$B$3:$B$101, MATCH($AQ1720,Inputs!$A$3:$A$101,1)), "")</f>
        <v/>
      </c>
      <c r="AT1720" s="48" t="str">
        <f t="shared" ca="1" si="314"/>
        <v/>
      </c>
      <c r="AU1720" s="3" t="str">
        <f t="shared" ca="1" si="316"/>
        <v/>
      </c>
      <c r="AV1720" s="3" t="str">
        <f t="shared" ca="1" si="317"/>
        <v/>
      </c>
    </row>
    <row r="1721" spans="43:48" x14ac:dyDescent="0.2">
      <c r="AQ1721" s="4" t="str">
        <f t="shared" ref="AQ1721:AQ1784" ca="1" si="318">IF(AQ1720&lt;$AP$3,AQ1720+1,"")</f>
        <v/>
      </c>
      <c r="AR1721" s="3" t="str">
        <f t="shared" ca="1" si="315"/>
        <v/>
      </c>
      <c r="AS1721" s="63" t="str">
        <f ca="1">IF($AQ1721&lt;&gt;"", INDEX(Inputs!$B$3:$B$101, MATCH($AQ1721,Inputs!$A$3:$A$101,1)), "")</f>
        <v/>
      </c>
      <c r="AT1721" s="48" t="str">
        <f t="shared" ref="AT1721:AT1784" ca="1" si="319">IF($AQ1721&lt;&gt;"", AR1721*AS1721/365, "")</f>
        <v/>
      </c>
      <c r="AU1721" s="3" t="str">
        <f t="shared" ca="1" si="316"/>
        <v/>
      </c>
      <c r="AV1721" s="3" t="str">
        <f t="shared" ca="1" si="317"/>
        <v/>
      </c>
    </row>
    <row r="1722" spans="43:48" x14ac:dyDescent="0.2">
      <c r="AQ1722" s="4" t="str">
        <f t="shared" ca="1" si="318"/>
        <v/>
      </c>
      <c r="AR1722" s="3" t="str">
        <f t="shared" ca="1" si="315"/>
        <v/>
      </c>
      <c r="AS1722" s="63" t="str">
        <f ca="1">IF($AQ1722&lt;&gt;"", INDEX(Inputs!$B$3:$B$101, MATCH($AQ1722,Inputs!$A$3:$A$101,1)), "")</f>
        <v/>
      </c>
      <c r="AT1722" s="48" t="str">
        <f t="shared" ca="1" si="319"/>
        <v/>
      </c>
      <c r="AU1722" s="3" t="str">
        <f t="shared" ca="1" si="316"/>
        <v/>
      </c>
      <c r="AV1722" s="3" t="str">
        <f t="shared" ca="1" si="317"/>
        <v/>
      </c>
    </row>
    <row r="1723" spans="43:48" x14ac:dyDescent="0.2">
      <c r="AQ1723" s="4" t="str">
        <f t="shared" ca="1" si="318"/>
        <v/>
      </c>
      <c r="AR1723" s="3" t="str">
        <f t="shared" ca="1" si="315"/>
        <v/>
      </c>
      <c r="AS1723" s="63" t="str">
        <f ca="1">IF($AQ1723&lt;&gt;"", INDEX(Inputs!$B$3:$B$101, MATCH($AQ1723,Inputs!$A$3:$A$101,1)), "")</f>
        <v/>
      </c>
      <c r="AT1723" s="48" t="str">
        <f t="shared" ca="1" si="319"/>
        <v/>
      </c>
      <c r="AU1723" s="3" t="str">
        <f t="shared" ca="1" si="316"/>
        <v/>
      </c>
      <c r="AV1723" s="3" t="str">
        <f t="shared" ca="1" si="317"/>
        <v/>
      </c>
    </row>
    <row r="1724" spans="43:48" x14ac:dyDescent="0.2">
      <c r="AQ1724" s="4" t="str">
        <f t="shared" ca="1" si="318"/>
        <v/>
      </c>
      <c r="AR1724" s="3" t="str">
        <f t="shared" ca="1" si="315"/>
        <v/>
      </c>
      <c r="AS1724" s="63" t="str">
        <f ca="1">IF($AQ1724&lt;&gt;"", INDEX(Inputs!$B$3:$B$101, MATCH($AQ1724,Inputs!$A$3:$A$101,1)), "")</f>
        <v/>
      </c>
      <c r="AT1724" s="48" t="str">
        <f t="shared" ca="1" si="319"/>
        <v/>
      </c>
      <c r="AU1724" s="3" t="str">
        <f t="shared" ca="1" si="316"/>
        <v/>
      </c>
      <c r="AV1724" s="3" t="str">
        <f t="shared" ca="1" si="317"/>
        <v/>
      </c>
    </row>
    <row r="1725" spans="43:48" x14ac:dyDescent="0.2">
      <c r="AQ1725" s="4" t="str">
        <f t="shared" ca="1" si="318"/>
        <v/>
      </c>
      <c r="AR1725" s="3" t="str">
        <f t="shared" ca="1" si="315"/>
        <v/>
      </c>
      <c r="AS1725" s="63" t="str">
        <f ca="1">IF($AQ1725&lt;&gt;"", INDEX(Inputs!$B$3:$B$101, MATCH($AQ1725,Inputs!$A$3:$A$101,1)), "")</f>
        <v/>
      </c>
      <c r="AT1725" s="48" t="str">
        <f t="shared" ca="1" si="319"/>
        <v/>
      </c>
      <c r="AU1725" s="3" t="str">
        <f t="shared" ca="1" si="316"/>
        <v/>
      </c>
      <c r="AV1725" s="3" t="str">
        <f t="shared" ca="1" si="317"/>
        <v/>
      </c>
    </row>
    <row r="1726" spans="43:48" x14ac:dyDescent="0.2">
      <c r="AQ1726" s="4" t="str">
        <f t="shared" ca="1" si="318"/>
        <v/>
      </c>
      <c r="AR1726" s="3" t="str">
        <f t="shared" ca="1" si="315"/>
        <v/>
      </c>
      <c r="AS1726" s="63" t="str">
        <f ca="1">IF($AQ1726&lt;&gt;"", INDEX(Inputs!$B$3:$B$101, MATCH($AQ1726,Inputs!$A$3:$A$101,1)), "")</f>
        <v/>
      </c>
      <c r="AT1726" s="48" t="str">
        <f t="shared" ca="1" si="319"/>
        <v/>
      </c>
      <c r="AU1726" s="3" t="str">
        <f t="shared" ca="1" si="316"/>
        <v/>
      </c>
      <c r="AV1726" s="3" t="str">
        <f t="shared" ca="1" si="317"/>
        <v/>
      </c>
    </row>
    <row r="1727" spans="43:48" x14ac:dyDescent="0.2">
      <c r="AQ1727" s="4" t="str">
        <f t="shared" ca="1" si="318"/>
        <v/>
      </c>
      <c r="AR1727" s="3" t="str">
        <f t="shared" ca="1" si="315"/>
        <v/>
      </c>
      <c r="AS1727" s="63" t="str">
        <f ca="1">IF($AQ1727&lt;&gt;"", INDEX(Inputs!$B$3:$B$101, MATCH($AQ1727,Inputs!$A$3:$A$101,1)), "")</f>
        <v/>
      </c>
      <c r="AT1727" s="48" t="str">
        <f t="shared" ca="1" si="319"/>
        <v/>
      </c>
      <c r="AU1727" s="3" t="str">
        <f t="shared" ca="1" si="316"/>
        <v/>
      </c>
      <c r="AV1727" s="3" t="str">
        <f t="shared" ca="1" si="317"/>
        <v/>
      </c>
    </row>
    <row r="1728" spans="43:48" x14ac:dyDescent="0.2">
      <c r="AQ1728" s="4" t="str">
        <f t="shared" ca="1" si="318"/>
        <v/>
      </c>
      <c r="AR1728" s="3" t="str">
        <f t="shared" ca="1" si="315"/>
        <v/>
      </c>
      <c r="AS1728" s="63" t="str">
        <f ca="1">IF($AQ1728&lt;&gt;"", INDEX(Inputs!$B$3:$B$101, MATCH($AQ1728,Inputs!$A$3:$A$101,1)), "")</f>
        <v/>
      </c>
      <c r="AT1728" s="48" t="str">
        <f t="shared" ca="1" si="319"/>
        <v/>
      </c>
      <c r="AU1728" s="3" t="str">
        <f t="shared" ca="1" si="316"/>
        <v/>
      </c>
      <c r="AV1728" s="3" t="str">
        <f t="shared" ca="1" si="317"/>
        <v/>
      </c>
    </row>
    <row r="1729" spans="43:48" x14ac:dyDescent="0.2">
      <c r="AQ1729" s="4" t="str">
        <f t="shared" ca="1" si="318"/>
        <v/>
      </c>
      <c r="AR1729" s="3" t="str">
        <f t="shared" ca="1" si="315"/>
        <v/>
      </c>
      <c r="AS1729" s="63" t="str">
        <f ca="1">IF($AQ1729&lt;&gt;"", INDEX(Inputs!$B$3:$B$101, MATCH($AQ1729,Inputs!$A$3:$A$101,1)), "")</f>
        <v/>
      </c>
      <c r="AT1729" s="48" t="str">
        <f t="shared" ca="1" si="319"/>
        <v/>
      </c>
      <c r="AU1729" s="3" t="str">
        <f t="shared" ca="1" si="316"/>
        <v/>
      </c>
      <c r="AV1729" s="3" t="str">
        <f t="shared" ca="1" si="317"/>
        <v/>
      </c>
    </row>
    <row r="1730" spans="43:48" x14ac:dyDescent="0.2">
      <c r="AQ1730" s="4" t="str">
        <f t="shared" ca="1" si="318"/>
        <v/>
      </c>
      <c r="AR1730" s="3" t="str">
        <f t="shared" ca="1" si="315"/>
        <v/>
      </c>
      <c r="AS1730" s="63" t="str">
        <f ca="1">IF($AQ1730&lt;&gt;"", INDEX(Inputs!$B$3:$B$101, MATCH($AQ1730,Inputs!$A$3:$A$101,1)), "")</f>
        <v/>
      </c>
      <c r="AT1730" s="48" t="str">
        <f t="shared" ca="1" si="319"/>
        <v/>
      </c>
      <c r="AU1730" s="3" t="str">
        <f t="shared" ca="1" si="316"/>
        <v/>
      </c>
      <c r="AV1730" s="3" t="str">
        <f t="shared" ca="1" si="317"/>
        <v/>
      </c>
    </row>
    <row r="1731" spans="43:48" x14ac:dyDescent="0.2">
      <c r="AQ1731" s="4" t="str">
        <f t="shared" ca="1" si="318"/>
        <v/>
      </c>
      <c r="AR1731" s="3" t="str">
        <f t="shared" ca="1" si="315"/>
        <v/>
      </c>
      <c r="AS1731" s="63" t="str">
        <f ca="1">IF($AQ1731&lt;&gt;"", INDEX(Inputs!$B$3:$B$101, MATCH($AQ1731,Inputs!$A$3:$A$101,1)), "")</f>
        <v/>
      </c>
      <c r="AT1731" s="48" t="str">
        <f t="shared" ca="1" si="319"/>
        <v/>
      </c>
      <c r="AU1731" s="3" t="str">
        <f t="shared" ca="1" si="316"/>
        <v/>
      </c>
      <c r="AV1731" s="3" t="str">
        <f t="shared" ca="1" si="317"/>
        <v/>
      </c>
    </row>
    <row r="1732" spans="43:48" x14ac:dyDescent="0.2">
      <c r="AQ1732" s="4" t="str">
        <f t="shared" ca="1" si="318"/>
        <v/>
      </c>
      <c r="AR1732" s="3" t="str">
        <f t="shared" ca="1" si="315"/>
        <v/>
      </c>
      <c r="AS1732" s="63" t="str">
        <f ca="1">IF($AQ1732&lt;&gt;"", INDEX(Inputs!$B$3:$B$101, MATCH($AQ1732,Inputs!$A$3:$A$101,1)), "")</f>
        <v/>
      </c>
      <c r="AT1732" s="48" t="str">
        <f t="shared" ca="1" si="319"/>
        <v/>
      </c>
      <c r="AU1732" s="3" t="str">
        <f t="shared" ca="1" si="316"/>
        <v/>
      </c>
      <c r="AV1732" s="3" t="str">
        <f t="shared" ca="1" si="317"/>
        <v/>
      </c>
    </row>
    <row r="1733" spans="43:48" x14ac:dyDescent="0.2">
      <c r="AQ1733" s="4" t="str">
        <f t="shared" ca="1" si="318"/>
        <v/>
      </c>
      <c r="AR1733" s="3" t="str">
        <f t="shared" ca="1" si="315"/>
        <v/>
      </c>
      <c r="AS1733" s="63" t="str">
        <f ca="1">IF($AQ1733&lt;&gt;"", INDEX(Inputs!$B$3:$B$101, MATCH($AQ1733,Inputs!$A$3:$A$101,1)), "")</f>
        <v/>
      </c>
      <c r="AT1733" s="48" t="str">
        <f t="shared" ca="1" si="319"/>
        <v/>
      </c>
      <c r="AU1733" s="3" t="str">
        <f t="shared" ca="1" si="316"/>
        <v/>
      </c>
      <c r="AV1733" s="3" t="str">
        <f t="shared" ca="1" si="317"/>
        <v/>
      </c>
    </row>
    <row r="1734" spans="43:48" x14ac:dyDescent="0.2">
      <c r="AQ1734" s="4" t="str">
        <f t="shared" ca="1" si="318"/>
        <v/>
      </c>
      <c r="AR1734" s="3" t="str">
        <f t="shared" ca="1" si="315"/>
        <v/>
      </c>
      <c r="AS1734" s="63" t="str">
        <f ca="1">IF($AQ1734&lt;&gt;"", INDEX(Inputs!$B$3:$B$101, MATCH($AQ1734,Inputs!$A$3:$A$101,1)), "")</f>
        <v/>
      </c>
      <c r="AT1734" s="48" t="str">
        <f t="shared" ca="1" si="319"/>
        <v/>
      </c>
      <c r="AU1734" s="3" t="str">
        <f t="shared" ca="1" si="316"/>
        <v/>
      </c>
      <c r="AV1734" s="3" t="str">
        <f t="shared" ca="1" si="317"/>
        <v/>
      </c>
    </row>
    <row r="1735" spans="43:48" x14ac:dyDescent="0.2">
      <c r="AQ1735" s="4" t="str">
        <f t="shared" ca="1" si="318"/>
        <v/>
      </c>
      <c r="AR1735" s="3" t="str">
        <f t="shared" ca="1" si="315"/>
        <v/>
      </c>
      <c r="AS1735" s="63" t="str">
        <f ca="1">IF($AQ1735&lt;&gt;"", INDEX(Inputs!$B$3:$B$101, MATCH($AQ1735,Inputs!$A$3:$A$101,1)), "")</f>
        <v/>
      </c>
      <c r="AT1735" s="48" t="str">
        <f t="shared" ca="1" si="319"/>
        <v/>
      </c>
      <c r="AU1735" s="3" t="str">
        <f t="shared" ca="1" si="316"/>
        <v/>
      </c>
      <c r="AV1735" s="3" t="str">
        <f t="shared" ca="1" si="317"/>
        <v/>
      </c>
    </row>
    <row r="1736" spans="43:48" x14ac:dyDescent="0.2">
      <c r="AQ1736" s="4" t="str">
        <f t="shared" ca="1" si="318"/>
        <v/>
      </c>
      <c r="AR1736" s="3" t="str">
        <f t="shared" ca="1" si="315"/>
        <v/>
      </c>
      <c r="AS1736" s="63" t="str">
        <f ca="1">IF($AQ1736&lt;&gt;"", INDEX(Inputs!$B$3:$B$101, MATCH($AQ1736,Inputs!$A$3:$A$101,1)), "")</f>
        <v/>
      </c>
      <c r="AT1736" s="48" t="str">
        <f t="shared" ca="1" si="319"/>
        <v/>
      </c>
      <c r="AU1736" s="3" t="str">
        <f t="shared" ca="1" si="316"/>
        <v/>
      </c>
      <c r="AV1736" s="3" t="str">
        <f t="shared" ca="1" si="317"/>
        <v/>
      </c>
    </row>
    <row r="1737" spans="43:48" x14ac:dyDescent="0.2">
      <c r="AQ1737" s="4" t="str">
        <f t="shared" ca="1" si="318"/>
        <v/>
      </c>
      <c r="AR1737" s="3" t="str">
        <f t="shared" ca="1" si="315"/>
        <v/>
      </c>
      <c r="AS1737" s="63" t="str">
        <f ca="1">IF($AQ1737&lt;&gt;"", INDEX(Inputs!$B$3:$B$101, MATCH($AQ1737,Inputs!$A$3:$A$101,1)), "")</f>
        <v/>
      </c>
      <c r="AT1737" s="48" t="str">
        <f t="shared" ca="1" si="319"/>
        <v/>
      </c>
      <c r="AU1737" s="3" t="str">
        <f t="shared" ca="1" si="316"/>
        <v/>
      </c>
      <c r="AV1737" s="3" t="str">
        <f t="shared" ca="1" si="317"/>
        <v/>
      </c>
    </row>
    <row r="1738" spans="43:48" x14ac:dyDescent="0.2">
      <c r="AQ1738" s="4" t="str">
        <f t="shared" ca="1" si="318"/>
        <v/>
      </c>
      <c r="AR1738" s="3" t="str">
        <f t="shared" ca="1" si="315"/>
        <v/>
      </c>
      <c r="AS1738" s="63" t="str">
        <f ca="1">IF($AQ1738&lt;&gt;"", INDEX(Inputs!$B$3:$B$101, MATCH($AQ1738,Inputs!$A$3:$A$101,1)), "")</f>
        <v/>
      </c>
      <c r="AT1738" s="48" t="str">
        <f t="shared" ca="1" si="319"/>
        <v/>
      </c>
      <c r="AU1738" s="3" t="str">
        <f t="shared" ca="1" si="316"/>
        <v/>
      </c>
      <c r="AV1738" s="3" t="str">
        <f t="shared" ca="1" si="317"/>
        <v/>
      </c>
    </row>
    <row r="1739" spans="43:48" x14ac:dyDescent="0.2">
      <c r="AQ1739" s="4" t="str">
        <f t="shared" ca="1" si="318"/>
        <v/>
      </c>
      <c r="AR1739" s="3" t="str">
        <f t="shared" ca="1" si="315"/>
        <v/>
      </c>
      <c r="AS1739" s="63" t="str">
        <f ca="1">IF($AQ1739&lt;&gt;"", INDEX(Inputs!$B$3:$B$101, MATCH($AQ1739,Inputs!$A$3:$A$101,1)), "")</f>
        <v/>
      </c>
      <c r="AT1739" s="48" t="str">
        <f t="shared" ca="1" si="319"/>
        <v/>
      </c>
      <c r="AU1739" s="3" t="str">
        <f t="shared" ca="1" si="316"/>
        <v/>
      </c>
      <c r="AV1739" s="3" t="str">
        <f t="shared" ca="1" si="317"/>
        <v/>
      </c>
    </row>
    <row r="1740" spans="43:48" x14ac:dyDescent="0.2">
      <c r="AQ1740" s="4" t="str">
        <f t="shared" ca="1" si="318"/>
        <v/>
      </c>
      <c r="AR1740" s="3" t="str">
        <f t="shared" ca="1" si="315"/>
        <v/>
      </c>
      <c r="AS1740" s="63" t="str">
        <f ca="1">IF($AQ1740&lt;&gt;"", INDEX(Inputs!$B$3:$B$101, MATCH($AQ1740,Inputs!$A$3:$A$101,1)), "")</f>
        <v/>
      </c>
      <c r="AT1740" s="48" t="str">
        <f t="shared" ca="1" si="319"/>
        <v/>
      </c>
      <c r="AU1740" s="3" t="str">
        <f t="shared" ca="1" si="316"/>
        <v/>
      </c>
      <c r="AV1740" s="3" t="str">
        <f t="shared" ca="1" si="317"/>
        <v/>
      </c>
    </row>
    <row r="1741" spans="43:48" x14ac:dyDescent="0.2">
      <c r="AQ1741" s="4" t="str">
        <f t="shared" ca="1" si="318"/>
        <v/>
      </c>
      <c r="AR1741" s="3" t="str">
        <f t="shared" ca="1" si="315"/>
        <v/>
      </c>
      <c r="AS1741" s="63" t="str">
        <f ca="1">IF($AQ1741&lt;&gt;"", INDEX(Inputs!$B$3:$B$101, MATCH($AQ1741,Inputs!$A$3:$A$101,1)), "")</f>
        <v/>
      </c>
      <c r="AT1741" s="48" t="str">
        <f t="shared" ca="1" si="319"/>
        <v/>
      </c>
      <c r="AU1741" s="3" t="str">
        <f t="shared" ca="1" si="316"/>
        <v/>
      </c>
      <c r="AV1741" s="3" t="str">
        <f t="shared" ca="1" si="317"/>
        <v/>
      </c>
    </row>
    <row r="1742" spans="43:48" x14ac:dyDescent="0.2">
      <c r="AQ1742" s="4" t="str">
        <f t="shared" ca="1" si="318"/>
        <v/>
      </c>
      <c r="AR1742" s="3" t="str">
        <f t="shared" ca="1" si="315"/>
        <v/>
      </c>
      <c r="AS1742" s="63" t="str">
        <f ca="1">IF($AQ1742&lt;&gt;"", INDEX(Inputs!$B$3:$B$101, MATCH($AQ1742,Inputs!$A$3:$A$101,1)), "")</f>
        <v/>
      </c>
      <c r="AT1742" s="48" t="str">
        <f t="shared" ca="1" si="319"/>
        <v/>
      </c>
      <c r="AU1742" s="3" t="str">
        <f t="shared" ca="1" si="316"/>
        <v/>
      </c>
      <c r="AV1742" s="3" t="str">
        <f t="shared" ca="1" si="317"/>
        <v/>
      </c>
    </row>
    <row r="1743" spans="43:48" x14ac:dyDescent="0.2">
      <c r="AQ1743" s="4" t="str">
        <f t="shared" ca="1" si="318"/>
        <v/>
      </c>
      <c r="AR1743" s="3" t="str">
        <f t="shared" ca="1" si="315"/>
        <v/>
      </c>
      <c r="AS1743" s="63" t="str">
        <f ca="1">IF($AQ1743&lt;&gt;"", INDEX(Inputs!$B$3:$B$101, MATCH($AQ1743,Inputs!$A$3:$A$101,1)), "")</f>
        <v/>
      </c>
      <c r="AT1743" s="48" t="str">
        <f t="shared" ca="1" si="319"/>
        <v/>
      </c>
      <c r="AU1743" s="3" t="str">
        <f t="shared" ca="1" si="316"/>
        <v/>
      </c>
      <c r="AV1743" s="3" t="str">
        <f t="shared" ca="1" si="317"/>
        <v/>
      </c>
    </row>
    <row r="1744" spans="43:48" x14ac:dyDescent="0.2">
      <c r="AQ1744" s="4" t="str">
        <f t="shared" ca="1" si="318"/>
        <v/>
      </c>
      <c r="AR1744" s="3" t="str">
        <f t="shared" ca="1" si="315"/>
        <v/>
      </c>
      <c r="AS1744" s="63" t="str">
        <f ca="1">IF($AQ1744&lt;&gt;"", INDEX(Inputs!$B$3:$B$101, MATCH($AQ1744,Inputs!$A$3:$A$101,1)), "")</f>
        <v/>
      </c>
      <c r="AT1744" s="48" t="str">
        <f t="shared" ca="1" si="319"/>
        <v/>
      </c>
      <c r="AU1744" s="3" t="str">
        <f t="shared" ca="1" si="316"/>
        <v/>
      </c>
      <c r="AV1744" s="3" t="str">
        <f t="shared" ca="1" si="317"/>
        <v/>
      </c>
    </row>
    <row r="1745" spans="43:48" x14ac:dyDescent="0.2">
      <c r="AQ1745" s="4" t="str">
        <f t="shared" ca="1" si="318"/>
        <v/>
      </c>
      <c r="AR1745" s="3" t="str">
        <f t="shared" ca="1" si="315"/>
        <v/>
      </c>
      <c r="AS1745" s="63" t="str">
        <f ca="1">IF($AQ1745&lt;&gt;"", INDEX(Inputs!$B$3:$B$101, MATCH($AQ1745,Inputs!$A$3:$A$101,1)), "")</f>
        <v/>
      </c>
      <c r="AT1745" s="48" t="str">
        <f t="shared" ca="1" si="319"/>
        <v/>
      </c>
      <c r="AU1745" s="3" t="str">
        <f t="shared" ca="1" si="316"/>
        <v/>
      </c>
      <c r="AV1745" s="3" t="str">
        <f t="shared" ca="1" si="317"/>
        <v/>
      </c>
    </row>
    <row r="1746" spans="43:48" x14ac:dyDescent="0.2">
      <c r="AQ1746" s="4" t="str">
        <f t="shared" ca="1" si="318"/>
        <v/>
      </c>
      <c r="AR1746" s="3" t="str">
        <f t="shared" ca="1" si="315"/>
        <v/>
      </c>
      <c r="AS1746" s="63" t="str">
        <f ca="1">IF($AQ1746&lt;&gt;"", INDEX(Inputs!$B$3:$B$101, MATCH($AQ1746,Inputs!$A$3:$A$101,1)), "")</f>
        <v/>
      </c>
      <c r="AT1746" s="48" t="str">
        <f t="shared" ca="1" si="319"/>
        <v/>
      </c>
      <c r="AU1746" s="3" t="str">
        <f t="shared" ca="1" si="316"/>
        <v/>
      </c>
      <c r="AV1746" s="3" t="str">
        <f t="shared" ca="1" si="317"/>
        <v/>
      </c>
    </row>
    <row r="1747" spans="43:48" x14ac:dyDescent="0.2">
      <c r="AQ1747" s="4" t="str">
        <f t="shared" ca="1" si="318"/>
        <v/>
      </c>
      <c r="AR1747" s="3" t="str">
        <f t="shared" ca="1" si="315"/>
        <v/>
      </c>
      <c r="AS1747" s="63" t="str">
        <f ca="1">IF($AQ1747&lt;&gt;"", INDEX(Inputs!$B$3:$B$101, MATCH($AQ1747,Inputs!$A$3:$A$101,1)), "")</f>
        <v/>
      </c>
      <c r="AT1747" s="48" t="str">
        <f t="shared" ca="1" si="319"/>
        <v/>
      </c>
      <c r="AU1747" s="3" t="str">
        <f t="shared" ca="1" si="316"/>
        <v/>
      </c>
      <c r="AV1747" s="3" t="str">
        <f t="shared" ca="1" si="317"/>
        <v/>
      </c>
    </row>
    <row r="1748" spans="43:48" x14ac:dyDescent="0.2">
      <c r="AQ1748" s="4" t="str">
        <f t="shared" ca="1" si="318"/>
        <v/>
      </c>
      <c r="AR1748" s="3" t="str">
        <f t="shared" ca="1" si="315"/>
        <v/>
      </c>
      <c r="AS1748" s="63" t="str">
        <f ca="1">IF($AQ1748&lt;&gt;"", INDEX(Inputs!$B$3:$B$101, MATCH($AQ1748,Inputs!$A$3:$A$101,1)), "")</f>
        <v/>
      </c>
      <c r="AT1748" s="48" t="str">
        <f t="shared" ca="1" si="319"/>
        <v/>
      </c>
      <c r="AU1748" s="3" t="str">
        <f t="shared" ca="1" si="316"/>
        <v/>
      </c>
      <c r="AV1748" s="3" t="str">
        <f t="shared" ca="1" si="317"/>
        <v/>
      </c>
    </row>
    <row r="1749" spans="43:48" x14ac:dyDescent="0.2">
      <c r="AQ1749" s="4" t="str">
        <f t="shared" ca="1" si="318"/>
        <v/>
      </c>
      <c r="AR1749" s="3" t="str">
        <f t="shared" ca="1" si="315"/>
        <v/>
      </c>
      <c r="AS1749" s="63" t="str">
        <f ca="1">IF($AQ1749&lt;&gt;"", INDEX(Inputs!$B$3:$B$101, MATCH($AQ1749,Inputs!$A$3:$A$101,1)), "")</f>
        <v/>
      </c>
      <c r="AT1749" s="48" t="str">
        <f t="shared" ca="1" si="319"/>
        <v/>
      </c>
      <c r="AU1749" s="3" t="str">
        <f t="shared" ca="1" si="316"/>
        <v/>
      </c>
      <c r="AV1749" s="3" t="str">
        <f t="shared" ca="1" si="317"/>
        <v/>
      </c>
    </row>
    <row r="1750" spans="43:48" x14ac:dyDescent="0.2">
      <c r="AQ1750" s="4" t="str">
        <f t="shared" ca="1" si="318"/>
        <v/>
      </c>
      <c r="AR1750" s="3" t="str">
        <f t="shared" ca="1" si="315"/>
        <v/>
      </c>
      <c r="AS1750" s="63" t="str">
        <f ca="1">IF($AQ1750&lt;&gt;"", INDEX(Inputs!$B$3:$B$101, MATCH($AQ1750,Inputs!$A$3:$A$101,1)), "")</f>
        <v/>
      </c>
      <c r="AT1750" s="48" t="str">
        <f t="shared" ca="1" si="319"/>
        <v/>
      </c>
      <c r="AU1750" s="3" t="str">
        <f t="shared" ca="1" si="316"/>
        <v/>
      </c>
      <c r="AV1750" s="3" t="str">
        <f t="shared" ca="1" si="317"/>
        <v/>
      </c>
    </row>
    <row r="1751" spans="43:48" x14ac:dyDescent="0.2">
      <c r="AQ1751" s="4" t="str">
        <f t="shared" ca="1" si="318"/>
        <v/>
      </c>
      <c r="AR1751" s="3" t="str">
        <f t="shared" ca="1" si="315"/>
        <v/>
      </c>
      <c r="AS1751" s="63" t="str">
        <f ca="1">IF($AQ1751&lt;&gt;"", INDEX(Inputs!$B$3:$B$101, MATCH($AQ1751,Inputs!$A$3:$A$101,1)), "")</f>
        <v/>
      </c>
      <c r="AT1751" s="48" t="str">
        <f t="shared" ca="1" si="319"/>
        <v/>
      </c>
      <c r="AU1751" s="3" t="str">
        <f t="shared" ca="1" si="316"/>
        <v/>
      </c>
      <c r="AV1751" s="3" t="str">
        <f t="shared" ca="1" si="317"/>
        <v/>
      </c>
    </row>
    <row r="1752" spans="43:48" x14ac:dyDescent="0.2">
      <c r="AQ1752" s="4" t="str">
        <f t="shared" ca="1" si="318"/>
        <v/>
      </c>
      <c r="AR1752" s="3" t="str">
        <f t="shared" ca="1" si="315"/>
        <v/>
      </c>
      <c r="AS1752" s="63" t="str">
        <f ca="1">IF($AQ1752&lt;&gt;"", INDEX(Inputs!$B$3:$B$101, MATCH($AQ1752,Inputs!$A$3:$A$101,1)), "")</f>
        <v/>
      </c>
      <c r="AT1752" s="48" t="str">
        <f t="shared" ca="1" si="319"/>
        <v/>
      </c>
      <c r="AU1752" s="3" t="str">
        <f t="shared" ca="1" si="316"/>
        <v/>
      </c>
      <c r="AV1752" s="3" t="str">
        <f t="shared" ca="1" si="317"/>
        <v/>
      </c>
    </row>
    <row r="1753" spans="43:48" x14ac:dyDescent="0.2">
      <c r="AQ1753" s="4" t="str">
        <f t="shared" ca="1" si="318"/>
        <v/>
      </c>
      <c r="AR1753" s="3" t="str">
        <f t="shared" ref="AR1753:AR1816" ca="1" si="320">IF($AQ1753&lt;&gt;"", INDEX($AC$3:$AC$1055, MATCH($AQ1753,$A$3:$A$1055,1)), "")</f>
        <v/>
      </c>
      <c r="AS1753" s="63" t="str">
        <f ca="1">IF($AQ1753&lt;&gt;"", INDEX(Inputs!$B$3:$B$101, MATCH($AQ1753,Inputs!$A$3:$A$101,1)), "")</f>
        <v/>
      </c>
      <c r="AT1753" s="48" t="str">
        <f t="shared" ca="1" si="319"/>
        <v/>
      </c>
      <c r="AU1753" s="3" t="str">
        <f t="shared" ref="AU1753:AU1816" ca="1" si="321">IF($AQ1753&lt;&gt;"", SUMIFS($AL$3:$AL$1054, $A$3:$A$1054,$AQ1753) + SUMIFS($M$3:$M$1054, $A$3:$A$1054,$AQ1753)*IFERROR(AVERAGEIFS($L$3:$L$1054, $A$3:$A$1054,$AQ1753, $M$3:$M$1054,"&gt;0"),0) - AT1753, "")</f>
        <v/>
      </c>
      <c r="AV1753" s="3" t="str">
        <f t="shared" ca="1" si="317"/>
        <v/>
      </c>
    </row>
    <row r="1754" spans="43:48" x14ac:dyDescent="0.2">
      <c r="AQ1754" s="4" t="str">
        <f t="shared" ca="1" si="318"/>
        <v/>
      </c>
      <c r="AR1754" s="3" t="str">
        <f t="shared" ca="1" si="320"/>
        <v/>
      </c>
      <c r="AS1754" s="63" t="str">
        <f ca="1">IF($AQ1754&lt;&gt;"", INDEX(Inputs!$B$3:$B$101, MATCH($AQ1754,Inputs!$A$3:$A$101,1)), "")</f>
        <v/>
      </c>
      <c r="AT1754" s="48" t="str">
        <f t="shared" ca="1" si="319"/>
        <v/>
      </c>
      <c r="AU1754" s="3" t="str">
        <f t="shared" ca="1" si="321"/>
        <v/>
      </c>
      <c r="AV1754" s="3" t="str">
        <f t="shared" ca="1" si="317"/>
        <v/>
      </c>
    </row>
    <row r="1755" spans="43:48" x14ac:dyDescent="0.2">
      <c r="AQ1755" s="4" t="str">
        <f t="shared" ca="1" si="318"/>
        <v/>
      </c>
      <c r="AR1755" s="3" t="str">
        <f t="shared" ca="1" si="320"/>
        <v/>
      </c>
      <c r="AS1755" s="63" t="str">
        <f ca="1">IF($AQ1755&lt;&gt;"", INDEX(Inputs!$B$3:$B$101, MATCH($AQ1755,Inputs!$A$3:$A$101,1)), "")</f>
        <v/>
      </c>
      <c r="AT1755" s="48" t="str">
        <f t="shared" ca="1" si="319"/>
        <v/>
      </c>
      <c r="AU1755" s="3" t="str">
        <f t="shared" ca="1" si="321"/>
        <v/>
      </c>
      <c r="AV1755" s="3" t="str">
        <f t="shared" ca="1" si="317"/>
        <v/>
      </c>
    </row>
    <row r="1756" spans="43:48" x14ac:dyDescent="0.2">
      <c r="AQ1756" s="4" t="str">
        <f t="shared" ca="1" si="318"/>
        <v/>
      </c>
      <c r="AR1756" s="3" t="str">
        <f t="shared" ca="1" si="320"/>
        <v/>
      </c>
      <c r="AS1756" s="63" t="str">
        <f ca="1">IF($AQ1756&lt;&gt;"", INDEX(Inputs!$B$3:$B$101, MATCH($AQ1756,Inputs!$A$3:$A$101,1)), "")</f>
        <v/>
      </c>
      <c r="AT1756" s="48" t="str">
        <f t="shared" ca="1" si="319"/>
        <v/>
      </c>
      <c r="AU1756" s="3" t="str">
        <f t="shared" ca="1" si="321"/>
        <v/>
      </c>
      <c r="AV1756" s="3" t="str">
        <f t="shared" ca="1" si="317"/>
        <v/>
      </c>
    </row>
    <row r="1757" spans="43:48" x14ac:dyDescent="0.2">
      <c r="AQ1757" s="4" t="str">
        <f t="shared" ca="1" si="318"/>
        <v/>
      </c>
      <c r="AR1757" s="3" t="str">
        <f t="shared" ca="1" si="320"/>
        <v/>
      </c>
      <c r="AS1757" s="63" t="str">
        <f ca="1">IF($AQ1757&lt;&gt;"", INDEX(Inputs!$B$3:$B$101, MATCH($AQ1757,Inputs!$A$3:$A$101,1)), "")</f>
        <v/>
      </c>
      <c r="AT1757" s="48" t="str">
        <f t="shared" ca="1" si="319"/>
        <v/>
      </c>
      <c r="AU1757" s="3" t="str">
        <f t="shared" ca="1" si="321"/>
        <v/>
      </c>
      <c r="AV1757" s="3" t="str">
        <f t="shared" ca="1" si="317"/>
        <v/>
      </c>
    </row>
    <row r="1758" spans="43:48" x14ac:dyDescent="0.2">
      <c r="AQ1758" s="4" t="str">
        <f t="shared" ca="1" si="318"/>
        <v/>
      </c>
      <c r="AR1758" s="3" t="str">
        <f t="shared" ca="1" si="320"/>
        <v/>
      </c>
      <c r="AS1758" s="63" t="str">
        <f ca="1">IF($AQ1758&lt;&gt;"", INDEX(Inputs!$B$3:$B$101, MATCH($AQ1758,Inputs!$A$3:$A$101,1)), "")</f>
        <v/>
      </c>
      <c r="AT1758" s="48" t="str">
        <f t="shared" ca="1" si="319"/>
        <v/>
      </c>
      <c r="AU1758" s="3" t="str">
        <f t="shared" ca="1" si="321"/>
        <v/>
      </c>
      <c r="AV1758" s="3" t="str">
        <f t="shared" ca="1" si="317"/>
        <v/>
      </c>
    </row>
    <row r="1759" spans="43:48" x14ac:dyDescent="0.2">
      <c r="AQ1759" s="4" t="str">
        <f t="shared" ca="1" si="318"/>
        <v/>
      </c>
      <c r="AR1759" s="3" t="str">
        <f t="shared" ca="1" si="320"/>
        <v/>
      </c>
      <c r="AS1759" s="63" t="str">
        <f ca="1">IF($AQ1759&lt;&gt;"", INDEX(Inputs!$B$3:$B$101, MATCH($AQ1759,Inputs!$A$3:$A$101,1)), "")</f>
        <v/>
      </c>
      <c r="AT1759" s="48" t="str">
        <f t="shared" ca="1" si="319"/>
        <v/>
      </c>
      <c r="AU1759" s="3" t="str">
        <f t="shared" ca="1" si="321"/>
        <v/>
      </c>
      <c r="AV1759" s="3" t="str">
        <f t="shared" ca="1" si="317"/>
        <v/>
      </c>
    </row>
    <row r="1760" spans="43:48" x14ac:dyDescent="0.2">
      <c r="AQ1760" s="4" t="str">
        <f t="shared" ca="1" si="318"/>
        <v/>
      </c>
      <c r="AR1760" s="3" t="str">
        <f t="shared" ca="1" si="320"/>
        <v/>
      </c>
      <c r="AS1760" s="63" t="str">
        <f ca="1">IF($AQ1760&lt;&gt;"", INDEX(Inputs!$B$3:$B$101, MATCH($AQ1760,Inputs!$A$3:$A$101,1)), "")</f>
        <v/>
      </c>
      <c r="AT1760" s="48" t="str">
        <f t="shared" ca="1" si="319"/>
        <v/>
      </c>
      <c r="AU1760" s="3" t="str">
        <f t="shared" ca="1" si="321"/>
        <v/>
      </c>
      <c r="AV1760" s="3" t="str">
        <f t="shared" ref="AV1760:AV1823" ca="1" si="322">IF(AQ1760&lt;&gt;"", AU1760*(1+$X$9/CompoundingRate)^-((AQ1760-AQ$3)/(365/CompoundingRate)), "")</f>
        <v/>
      </c>
    </row>
    <row r="1761" spans="43:48" x14ac:dyDescent="0.2">
      <c r="AQ1761" s="4" t="str">
        <f t="shared" ca="1" si="318"/>
        <v/>
      </c>
      <c r="AR1761" s="3" t="str">
        <f t="shared" ca="1" si="320"/>
        <v/>
      </c>
      <c r="AS1761" s="63" t="str">
        <f ca="1">IF($AQ1761&lt;&gt;"", INDEX(Inputs!$B$3:$B$101, MATCH($AQ1761,Inputs!$A$3:$A$101,1)), "")</f>
        <v/>
      </c>
      <c r="AT1761" s="48" t="str">
        <f t="shared" ca="1" si="319"/>
        <v/>
      </c>
      <c r="AU1761" s="3" t="str">
        <f t="shared" ca="1" si="321"/>
        <v/>
      </c>
      <c r="AV1761" s="3" t="str">
        <f t="shared" ca="1" si="322"/>
        <v/>
      </c>
    </row>
    <row r="1762" spans="43:48" x14ac:dyDescent="0.2">
      <c r="AQ1762" s="4" t="str">
        <f t="shared" ca="1" si="318"/>
        <v/>
      </c>
      <c r="AR1762" s="3" t="str">
        <f t="shared" ca="1" si="320"/>
        <v/>
      </c>
      <c r="AS1762" s="63" t="str">
        <f ca="1">IF($AQ1762&lt;&gt;"", INDEX(Inputs!$B$3:$B$101, MATCH($AQ1762,Inputs!$A$3:$A$101,1)), "")</f>
        <v/>
      </c>
      <c r="AT1762" s="48" t="str">
        <f t="shared" ca="1" si="319"/>
        <v/>
      </c>
      <c r="AU1762" s="3" t="str">
        <f t="shared" ca="1" si="321"/>
        <v/>
      </c>
      <c r="AV1762" s="3" t="str">
        <f t="shared" ca="1" si="322"/>
        <v/>
      </c>
    </row>
    <row r="1763" spans="43:48" x14ac:dyDescent="0.2">
      <c r="AQ1763" s="4" t="str">
        <f t="shared" ca="1" si="318"/>
        <v/>
      </c>
      <c r="AR1763" s="3" t="str">
        <f t="shared" ca="1" si="320"/>
        <v/>
      </c>
      <c r="AS1763" s="63" t="str">
        <f ca="1">IF($AQ1763&lt;&gt;"", INDEX(Inputs!$B$3:$B$101, MATCH($AQ1763,Inputs!$A$3:$A$101,1)), "")</f>
        <v/>
      </c>
      <c r="AT1763" s="48" t="str">
        <f t="shared" ca="1" si="319"/>
        <v/>
      </c>
      <c r="AU1763" s="3" t="str">
        <f t="shared" ca="1" si="321"/>
        <v/>
      </c>
      <c r="AV1763" s="3" t="str">
        <f t="shared" ca="1" si="322"/>
        <v/>
      </c>
    </row>
    <row r="1764" spans="43:48" x14ac:dyDescent="0.2">
      <c r="AQ1764" s="4" t="str">
        <f t="shared" ca="1" si="318"/>
        <v/>
      </c>
      <c r="AR1764" s="3" t="str">
        <f t="shared" ca="1" si="320"/>
        <v/>
      </c>
      <c r="AS1764" s="63" t="str">
        <f ca="1">IF($AQ1764&lt;&gt;"", INDEX(Inputs!$B$3:$B$101, MATCH($AQ1764,Inputs!$A$3:$A$101,1)), "")</f>
        <v/>
      </c>
      <c r="AT1764" s="48" t="str">
        <f t="shared" ca="1" si="319"/>
        <v/>
      </c>
      <c r="AU1764" s="3" t="str">
        <f t="shared" ca="1" si="321"/>
        <v/>
      </c>
      <c r="AV1764" s="3" t="str">
        <f t="shared" ca="1" si="322"/>
        <v/>
      </c>
    </row>
    <row r="1765" spans="43:48" x14ac:dyDescent="0.2">
      <c r="AQ1765" s="4" t="str">
        <f t="shared" ca="1" si="318"/>
        <v/>
      </c>
      <c r="AR1765" s="3" t="str">
        <f t="shared" ca="1" si="320"/>
        <v/>
      </c>
      <c r="AS1765" s="63" t="str">
        <f ca="1">IF($AQ1765&lt;&gt;"", INDEX(Inputs!$B$3:$B$101, MATCH($AQ1765,Inputs!$A$3:$A$101,1)), "")</f>
        <v/>
      </c>
      <c r="AT1765" s="48" t="str">
        <f t="shared" ca="1" si="319"/>
        <v/>
      </c>
      <c r="AU1765" s="3" t="str">
        <f t="shared" ca="1" si="321"/>
        <v/>
      </c>
      <c r="AV1765" s="3" t="str">
        <f t="shared" ca="1" si="322"/>
        <v/>
      </c>
    </row>
    <row r="1766" spans="43:48" x14ac:dyDescent="0.2">
      <c r="AQ1766" s="4" t="str">
        <f t="shared" ca="1" si="318"/>
        <v/>
      </c>
      <c r="AR1766" s="3" t="str">
        <f t="shared" ca="1" si="320"/>
        <v/>
      </c>
      <c r="AS1766" s="63" t="str">
        <f ca="1">IF($AQ1766&lt;&gt;"", INDEX(Inputs!$B$3:$B$101, MATCH($AQ1766,Inputs!$A$3:$A$101,1)), "")</f>
        <v/>
      </c>
      <c r="AT1766" s="48" t="str">
        <f t="shared" ca="1" si="319"/>
        <v/>
      </c>
      <c r="AU1766" s="3" t="str">
        <f t="shared" ca="1" si="321"/>
        <v/>
      </c>
      <c r="AV1766" s="3" t="str">
        <f t="shared" ca="1" si="322"/>
        <v/>
      </c>
    </row>
    <row r="1767" spans="43:48" x14ac:dyDescent="0.2">
      <c r="AQ1767" s="4" t="str">
        <f t="shared" ca="1" si="318"/>
        <v/>
      </c>
      <c r="AR1767" s="3" t="str">
        <f t="shared" ca="1" si="320"/>
        <v/>
      </c>
      <c r="AS1767" s="63" t="str">
        <f ca="1">IF($AQ1767&lt;&gt;"", INDEX(Inputs!$B$3:$B$101, MATCH($AQ1767,Inputs!$A$3:$A$101,1)), "")</f>
        <v/>
      </c>
      <c r="AT1767" s="48" t="str">
        <f t="shared" ca="1" si="319"/>
        <v/>
      </c>
      <c r="AU1767" s="3" t="str">
        <f t="shared" ca="1" si="321"/>
        <v/>
      </c>
      <c r="AV1767" s="3" t="str">
        <f t="shared" ca="1" si="322"/>
        <v/>
      </c>
    </row>
    <row r="1768" spans="43:48" x14ac:dyDescent="0.2">
      <c r="AQ1768" s="4" t="str">
        <f t="shared" ca="1" si="318"/>
        <v/>
      </c>
      <c r="AR1768" s="3" t="str">
        <f t="shared" ca="1" si="320"/>
        <v/>
      </c>
      <c r="AS1768" s="63" t="str">
        <f ca="1">IF($AQ1768&lt;&gt;"", INDEX(Inputs!$B$3:$B$101, MATCH($AQ1768,Inputs!$A$3:$A$101,1)), "")</f>
        <v/>
      </c>
      <c r="AT1768" s="48" t="str">
        <f t="shared" ca="1" si="319"/>
        <v/>
      </c>
      <c r="AU1768" s="3" t="str">
        <f t="shared" ca="1" si="321"/>
        <v/>
      </c>
      <c r="AV1768" s="3" t="str">
        <f t="shared" ca="1" si="322"/>
        <v/>
      </c>
    </row>
    <row r="1769" spans="43:48" x14ac:dyDescent="0.2">
      <c r="AQ1769" s="4" t="str">
        <f t="shared" ca="1" si="318"/>
        <v/>
      </c>
      <c r="AR1769" s="3" t="str">
        <f t="shared" ca="1" si="320"/>
        <v/>
      </c>
      <c r="AS1769" s="63" t="str">
        <f ca="1">IF($AQ1769&lt;&gt;"", INDEX(Inputs!$B$3:$B$101, MATCH($AQ1769,Inputs!$A$3:$A$101,1)), "")</f>
        <v/>
      </c>
      <c r="AT1769" s="48" t="str">
        <f t="shared" ca="1" si="319"/>
        <v/>
      </c>
      <c r="AU1769" s="3" t="str">
        <f t="shared" ca="1" si="321"/>
        <v/>
      </c>
      <c r="AV1769" s="3" t="str">
        <f t="shared" ca="1" si="322"/>
        <v/>
      </c>
    </row>
    <row r="1770" spans="43:48" x14ac:dyDescent="0.2">
      <c r="AQ1770" s="4" t="str">
        <f t="shared" ca="1" si="318"/>
        <v/>
      </c>
      <c r="AR1770" s="3" t="str">
        <f t="shared" ca="1" si="320"/>
        <v/>
      </c>
      <c r="AS1770" s="63" t="str">
        <f ca="1">IF($AQ1770&lt;&gt;"", INDEX(Inputs!$B$3:$B$101, MATCH($AQ1770,Inputs!$A$3:$A$101,1)), "")</f>
        <v/>
      </c>
      <c r="AT1770" s="48" t="str">
        <f t="shared" ca="1" si="319"/>
        <v/>
      </c>
      <c r="AU1770" s="3" t="str">
        <f t="shared" ca="1" si="321"/>
        <v/>
      </c>
      <c r="AV1770" s="3" t="str">
        <f t="shared" ca="1" si="322"/>
        <v/>
      </c>
    </row>
    <row r="1771" spans="43:48" x14ac:dyDescent="0.2">
      <c r="AQ1771" s="4" t="str">
        <f t="shared" ca="1" si="318"/>
        <v/>
      </c>
      <c r="AR1771" s="3" t="str">
        <f t="shared" ca="1" si="320"/>
        <v/>
      </c>
      <c r="AS1771" s="63" t="str">
        <f ca="1">IF($AQ1771&lt;&gt;"", INDEX(Inputs!$B$3:$B$101, MATCH($AQ1771,Inputs!$A$3:$A$101,1)), "")</f>
        <v/>
      </c>
      <c r="AT1771" s="48" t="str">
        <f t="shared" ca="1" si="319"/>
        <v/>
      </c>
      <c r="AU1771" s="3" t="str">
        <f t="shared" ca="1" si="321"/>
        <v/>
      </c>
      <c r="AV1771" s="3" t="str">
        <f t="shared" ca="1" si="322"/>
        <v/>
      </c>
    </row>
    <row r="1772" spans="43:48" x14ac:dyDescent="0.2">
      <c r="AQ1772" s="4" t="str">
        <f t="shared" ca="1" si="318"/>
        <v/>
      </c>
      <c r="AR1772" s="3" t="str">
        <f t="shared" ca="1" si="320"/>
        <v/>
      </c>
      <c r="AS1772" s="63" t="str">
        <f ca="1">IF($AQ1772&lt;&gt;"", INDEX(Inputs!$B$3:$B$101, MATCH($AQ1772,Inputs!$A$3:$A$101,1)), "")</f>
        <v/>
      </c>
      <c r="AT1772" s="48" t="str">
        <f t="shared" ca="1" si="319"/>
        <v/>
      </c>
      <c r="AU1772" s="3" t="str">
        <f t="shared" ca="1" si="321"/>
        <v/>
      </c>
      <c r="AV1772" s="3" t="str">
        <f t="shared" ca="1" si="322"/>
        <v/>
      </c>
    </row>
    <row r="1773" spans="43:48" x14ac:dyDescent="0.2">
      <c r="AQ1773" s="4" t="str">
        <f t="shared" ca="1" si="318"/>
        <v/>
      </c>
      <c r="AR1773" s="3" t="str">
        <f t="shared" ca="1" si="320"/>
        <v/>
      </c>
      <c r="AS1773" s="63" t="str">
        <f ca="1">IF($AQ1773&lt;&gt;"", INDEX(Inputs!$B$3:$B$101, MATCH($AQ1773,Inputs!$A$3:$A$101,1)), "")</f>
        <v/>
      </c>
      <c r="AT1773" s="48" t="str">
        <f t="shared" ca="1" si="319"/>
        <v/>
      </c>
      <c r="AU1773" s="3" t="str">
        <f t="shared" ca="1" si="321"/>
        <v/>
      </c>
      <c r="AV1773" s="3" t="str">
        <f t="shared" ca="1" si="322"/>
        <v/>
      </c>
    </row>
    <row r="1774" spans="43:48" x14ac:dyDescent="0.2">
      <c r="AQ1774" s="4" t="str">
        <f t="shared" ca="1" si="318"/>
        <v/>
      </c>
      <c r="AR1774" s="3" t="str">
        <f t="shared" ca="1" si="320"/>
        <v/>
      </c>
      <c r="AS1774" s="63" t="str">
        <f ca="1">IF($AQ1774&lt;&gt;"", INDEX(Inputs!$B$3:$B$101, MATCH($AQ1774,Inputs!$A$3:$A$101,1)), "")</f>
        <v/>
      </c>
      <c r="AT1774" s="48" t="str">
        <f t="shared" ca="1" si="319"/>
        <v/>
      </c>
      <c r="AU1774" s="3" t="str">
        <f t="shared" ca="1" si="321"/>
        <v/>
      </c>
      <c r="AV1774" s="3" t="str">
        <f t="shared" ca="1" si="322"/>
        <v/>
      </c>
    </row>
    <row r="1775" spans="43:48" x14ac:dyDescent="0.2">
      <c r="AQ1775" s="4" t="str">
        <f t="shared" ca="1" si="318"/>
        <v/>
      </c>
      <c r="AR1775" s="3" t="str">
        <f t="shared" ca="1" si="320"/>
        <v/>
      </c>
      <c r="AS1775" s="63" t="str">
        <f ca="1">IF($AQ1775&lt;&gt;"", INDEX(Inputs!$B$3:$B$101, MATCH($AQ1775,Inputs!$A$3:$A$101,1)), "")</f>
        <v/>
      </c>
      <c r="AT1775" s="48" t="str">
        <f t="shared" ca="1" si="319"/>
        <v/>
      </c>
      <c r="AU1775" s="3" t="str">
        <f t="shared" ca="1" si="321"/>
        <v/>
      </c>
      <c r="AV1775" s="3" t="str">
        <f t="shared" ca="1" si="322"/>
        <v/>
      </c>
    </row>
    <row r="1776" spans="43:48" x14ac:dyDescent="0.2">
      <c r="AQ1776" s="4" t="str">
        <f t="shared" ca="1" si="318"/>
        <v/>
      </c>
      <c r="AR1776" s="3" t="str">
        <f t="shared" ca="1" si="320"/>
        <v/>
      </c>
      <c r="AS1776" s="63" t="str">
        <f ca="1">IF($AQ1776&lt;&gt;"", INDEX(Inputs!$B$3:$B$101, MATCH($AQ1776,Inputs!$A$3:$A$101,1)), "")</f>
        <v/>
      </c>
      <c r="AT1776" s="48" t="str">
        <f t="shared" ca="1" si="319"/>
        <v/>
      </c>
      <c r="AU1776" s="3" t="str">
        <f t="shared" ca="1" si="321"/>
        <v/>
      </c>
      <c r="AV1776" s="3" t="str">
        <f t="shared" ca="1" si="322"/>
        <v/>
      </c>
    </row>
    <row r="1777" spans="43:48" x14ac:dyDescent="0.2">
      <c r="AQ1777" s="4" t="str">
        <f t="shared" ca="1" si="318"/>
        <v/>
      </c>
      <c r="AR1777" s="3" t="str">
        <f t="shared" ca="1" si="320"/>
        <v/>
      </c>
      <c r="AS1777" s="63" t="str">
        <f ca="1">IF($AQ1777&lt;&gt;"", INDEX(Inputs!$B$3:$B$101, MATCH($AQ1777,Inputs!$A$3:$A$101,1)), "")</f>
        <v/>
      </c>
      <c r="AT1777" s="48" t="str">
        <f t="shared" ca="1" si="319"/>
        <v/>
      </c>
      <c r="AU1777" s="3" t="str">
        <f t="shared" ca="1" si="321"/>
        <v/>
      </c>
      <c r="AV1777" s="3" t="str">
        <f t="shared" ca="1" si="322"/>
        <v/>
      </c>
    </row>
    <row r="1778" spans="43:48" x14ac:dyDescent="0.2">
      <c r="AQ1778" s="4" t="str">
        <f t="shared" ca="1" si="318"/>
        <v/>
      </c>
      <c r="AR1778" s="3" t="str">
        <f t="shared" ca="1" si="320"/>
        <v/>
      </c>
      <c r="AS1778" s="63" t="str">
        <f ca="1">IF($AQ1778&lt;&gt;"", INDEX(Inputs!$B$3:$B$101, MATCH($AQ1778,Inputs!$A$3:$A$101,1)), "")</f>
        <v/>
      </c>
      <c r="AT1778" s="48" t="str">
        <f t="shared" ca="1" si="319"/>
        <v/>
      </c>
      <c r="AU1778" s="3" t="str">
        <f t="shared" ca="1" si="321"/>
        <v/>
      </c>
      <c r="AV1778" s="3" t="str">
        <f t="shared" ca="1" si="322"/>
        <v/>
      </c>
    </row>
    <row r="1779" spans="43:48" x14ac:dyDescent="0.2">
      <c r="AQ1779" s="4" t="str">
        <f t="shared" ca="1" si="318"/>
        <v/>
      </c>
      <c r="AR1779" s="3" t="str">
        <f t="shared" ca="1" si="320"/>
        <v/>
      </c>
      <c r="AS1779" s="63" t="str">
        <f ca="1">IF($AQ1779&lt;&gt;"", INDEX(Inputs!$B$3:$B$101, MATCH($AQ1779,Inputs!$A$3:$A$101,1)), "")</f>
        <v/>
      </c>
      <c r="AT1779" s="48" t="str">
        <f t="shared" ca="1" si="319"/>
        <v/>
      </c>
      <c r="AU1779" s="3" t="str">
        <f t="shared" ca="1" si="321"/>
        <v/>
      </c>
      <c r="AV1779" s="3" t="str">
        <f t="shared" ca="1" si="322"/>
        <v/>
      </c>
    </row>
    <row r="1780" spans="43:48" x14ac:dyDescent="0.2">
      <c r="AQ1780" s="4" t="str">
        <f t="shared" ca="1" si="318"/>
        <v/>
      </c>
      <c r="AR1780" s="3" t="str">
        <f t="shared" ca="1" si="320"/>
        <v/>
      </c>
      <c r="AS1780" s="63" t="str">
        <f ca="1">IF($AQ1780&lt;&gt;"", INDEX(Inputs!$B$3:$B$101, MATCH($AQ1780,Inputs!$A$3:$A$101,1)), "")</f>
        <v/>
      </c>
      <c r="AT1780" s="48" t="str">
        <f t="shared" ca="1" si="319"/>
        <v/>
      </c>
      <c r="AU1780" s="3" t="str">
        <f t="shared" ca="1" si="321"/>
        <v/>
      </c>
      <c r="AV1780" s="3" t="str">
        <f t="shared" ca="1" si="322"/>
        <v/>
      </c>
    </row>
    <row r="1781" spans="43:48" x14ac:dyDescent="0.2">
      <c r="AQ1781" s="4" t="str">
        <f t="shared" ca="1" si="318"/>
        <v/>
      </c>
      <c r="AR1781" s="3" t="str">
        <f t="shared" ca="1" si="320"/>
        <v/>
      </c>
      <c r="AS1781" s="63" t="str">
        <f ca="1">IF($AQ1781&lt;&gt;"", INDEX(Inputs!$B$3:$B$101, MATCH($AQ1781,Inputs!$A$3:$A$101,1)), "")</f>
        <v/>
      </c>
      <c r="AT1781" s="48" t="str">
        <f t="shared" ca="1" si="319"/>
        <v/>
      </c>
      <c r="AU1781" s="3" t="str">
        <f t="shared" ca="1" si="321"/>
        <v/>
      </c>
      <c r="AV1781" s="3" t="str">
        <f t="shared" ca="1" si="322"/>
        <v/>
      </c>
    </row>
    <row r="1782" spans="43:48" x14ac:dyDescent="0.2">
      <c r="AQ1782" s="4" t="str">
        <f t="shared" ca="1" si="318"/>
        <v/>
      </c>
      <c r="AR1782" s="3" t="str">
        <f t="shared" ca="1" si="320"/>
        <v/>
      </c>
      <c r="AS1782" s="63" t="str">
        <f ca="1">IF($AQ1782&lt;&gt;"", INDEX(Inputs!$B$3:$B$101, MATCH($AQ1782,Inputs!$A$3:$A$101,1)), "")</f>
        <v/>
      </c>
      <c r="AT1782" s="48" t="str">
        <f t="shared" ca="1" si="319"/>
        <v/>
      </c>
      <c r="AU1782" s="3" t="str">
        <f t="shared" ca="1" si="321"/>
        <v/>
      </c>
      <c r="AV1782" s="3" t="str">
        <f t="shared" ca="1" si="322"/>
        <v/>
      </c>
    </row>
    <row r="1783" spans="43:48" x14ac:dyDescent="0.2">
      <c r="AQ1783" s="4" t="str">
        <f t="shared" ca="1" si="318"/>
        <v/>
      </c>
      <c r="AR1783" s="3" t="str">
        <f t="shared" ca="1" si="320"/>
        <v/>
      </c>
      <c r="AS1783" s="63" t="str">
        <f ca="1">IF($AQ1783&lt;&gt;"", INDEX(Inputs!$B$3:$B$101, MATCH($AQ1783,Inputs!$A$3:$A$101,1)), "")</f>
        <v/>
      </c>
      <c r="AT1783" s="48" t="str">
        <f t="shared" ca="1" si="319"/>
        <v/>
      </c>
      <c r="AU1783" s="3" t="str">
        <f t="shared" ca="1" si="321"/>
        <v/>
      </c>
      <c r="AV1783" s="3" t="str">
        <f t="shared" ca="1" si="322"/>
        <v/>
      </c>
    </row>
    <row r="1784" spans="43:48" x14ac:dyDescent="0.2">
      <c r="AQ1784" s="4" t="str">
        <f t="shared" ca="1" si="318"/>
        <v/>
      </c>
      <c r="AR1784" s="3" t="str">
        <f t="shared" ca="1" si="320"/>
        <v/>
      </c>
      <c r="AS1784" s="63" t="str">
        <f ca="1">IF($AQ1784&lt;&gt;"", INDEX(Inputs!$B$3:$B$101, MATCH($AQ1784,Inputs!$A$3:$A$101,1)), "")</f>
        <v/>
      </c>
      <c r="AT1784" s="48" t="str">
        <f t="shared" ca="1" si="319"/>
        <v/>
      </c>
      <c r="AU1784" s="3" t="str">
        <f t="shared" ca="1" si="321"/>
        <v/>
      </c>
      <c r="AV1784" s="3" t="str">
        <f t="shared" ca="1" si="322"/>
        <v/>
      </c>
    </row>
    <row r="1785" spans="43:48" x14ac:dyDescent="0.2">
      <c r="AQ1785" s="4" t="str">
        <f t="shared" ref="AQ1785:AQ1848" ca="1" si="323">IF(AQ1784&lt;$AP$3,AQ1784+1,"")</f>
        <v/>
      </c>
      <c r="AR1785" s="3" t="str">
        <f t="shared" ca="1" si="320"/>
        <v/>
      </c>
      <c r="AS1785" s="63" t="str">
        <f ca="1">IF($AQ1785&lt;&gt;"", INDEX(Inputs!$B$3:$B$101, MATCH($AQ1785,Inputs!$A$3:$A$101,1)), "")</f>
        <v/>
      </c>
      <c r="AT1785" s="48" t="str">
        <f t="shared" ref="AT1785:AT1848" ca="1" si="324">IF($AQ1785&lt;&gt;"", AR1785*AS1785/365, "")</f>
        <v/>
      </c>
      <c r="AU1785" s="3" t="str">
        <f t="shared" ca="1" si="321"/>
        <v/>
      </c>
      <c r="AV1785" s="3" t="str">
        <f t="shared" ca="1" si="322"/>
        <v/>
      </c>
    </row>
    <row r="1786" spans="43:48" x14ac:dyDescent="0.2">
      <c r="AQ1786" s="4" t="str">
        <f t="shared" ca="1" si="323"/>
        <v/>
      </c>
      <c r="AR1786" s="3" t="str">
        <f t="shared" ca="1" si="320"/>
        <v/>
      </c>
      <c r="AS1786" s="63" t="str">
        <f ca="1">IF($AQ1786&lt;&gt;"", INDEX(Inputs!$B$3:$B$101, MATCH($AQ1786,Inputs!$A$3:$A$101,1)), "")</f>
        <v/>
      </c>
      <c r="AT1786" s="48" t="str">
        <f t="shared" ca="1" si="324"/>
        <v/>
      </c>
      <c r="AU1786" s="3" t="str">
        <f t="shared" ca="1" si="321"/>
        <v/>
      </c>
      <c r="AV1786" s="3" t="str">
        <f t="shared" ca="1" si="322"/>
        <v/>
      </c>
    </row>
    <row r="1787" spans="43:48" x14ac:dyDescent="0.2">
      <c r="AQ1787" s="4" t="str">
        <f t="shared" ca="1" si="323"/>
        <v/>
      </c>
      <c r="AR1787" s="3" t="str">
        <f t="shared" ca="1" si="320"/>
        <v/>
      </c>
      <c r="AS1787" s="63" t="str">
        <f ca="1">IF($AQ1787&lt;&gt;"", INDEX(Inputs!$B$3:$B$101, MATCH($AQ1787,Inputs!$A$3:$A$101,1)), "")</f>
        <v/>
      </c>
      <c r="AT1787" s="48" t="str">
        <f t="shared" ca="1" si="324"/>
        <v/>
      </c>
      <c r="AU1787" s="3" t="str">
        <f t="shared" ca="1" si="321"/>
        <v/>
      </c>
      <c r="AV1787" s="3" t="str">
        <f t="shared" ca="1" si="322"/>
        <v/>
      </c>
    </row>
    <row r="1788" spans="43:48" x14ac:dyDescent="0.2">
      <c r="AQ1788" s="4" t="str">
        <f t="shared" ca="1" si="323"/>
        <v/>
      </c>
      <c r="AR1788" s="3" t="str">
        <f t="shared" ca="1" si="320"/>
        <v/>
      </c>
      <c r="AS1788" s="63" t="str">
        <f ca="1">IF($AQ1788&lt;&gt;"", INDEX(Inputs!$B$3:$B$101, MATCH($AQ1788,Inputs!$A$3:$A$101,1)), "")</f>
        <v/>
      </c>
      <c r="AT1788" s="48" t="str">
        <f t="shared" ca="1" si="324"/>
        <v/>
      </c>
      <c r="AU1788" s="3" t="str">
        <f t="shared" ca="1" si="321"/>
        <v/>
      </c>
      <c r="AV1788" s="3" t="str">
        <f t="shared" ca="1" si="322"/>
        <v/>
      </c>
    </row>
    <row r="1789" spans="43:48" x14ac:dyDescent="0.2">
      <c r="AQ1789" s="4" t="str">
        <f t="shared" ca="1" si="323"/>
        <v/>
      </c>
      <c r="AR1789" s="3" t="str">
        <f t="shared" ca="1" si="320"/>
        <v/>
      </c>
      <c r="AS1789" s="63" t="str">
        <f ca="1">IF($AQ1789&lt;&gt;"", INDEX(Inputs!$B$3:$B$101, MATCH($AQ1789,Inputs!$A$3:$A$101,1)), "")</f>
        <v/>
      </c>
      <c r="AT1789" s="48" t="str">
        <f t="shared" ca="1" si="324"/>
        <v/>
      </c>
      <c r="AU1789" s="3" t="str">
        <f t="shared" ca="1" si="321"/>
        <v/>
      </c>
      <c r="AV1789" s="3" t="str">
        <f t="shared" ca="1" si="322"/>
        <v/>
      </c>
    </row>
    <row r="1790" spans="43:48" x14ac:dyDescent="0.2">
      <c r="AQ1790" s="4" t="str">
        <f t="shared" ca="1" si="323"/>
        <v/>
      </c>
      <c r="AR1790" s="3" t="str">
        <f t="shared" ca="1" si="320"/>
        <v/>
      </c>
      <c r="AS1790" s="63" t="str">
        <f ca="1">IF($AQ1790&lt;&gt;"", INDEX(Inputs!$B$3:$B$101, MATCH($AQ1790,Inputs!$A$3:$A$101,1)), "")</f>
        <v/>
      </c>
      <c r="AT1790" s="48" t="str">
        <f t="shared" ca="1" si="324"/>
        <v/>
      </c>
      <c r="AU1790" s="3" t="str">
        <f t="shared" ca="1" si="321"/>
        <v/>
      </c>
      <c r="AV1790" s="3" t="str">
        <f t="shared" ca="1" si="322"/>
        <v/>
      </c>
    </row>
    <row r="1791" spans="43:48" x14ac:dyDescent="0.2">
      <c r="AQ1791" s="4" t="str">
        <f t="shared" ca="1" si="323"/>
        <v/>
      </c>
      <c r="AR1791" s="3" t="str">
        <f t="shared" ca="1" si="320"/>
        <v/>
      </c>
      <c r="AS1791" s="63" t="str">
        <f ca="1">IF($AQ1791&lt;&gt;"", INDEX(Inputs!$B$3:$B$101, MATCH($AQ1791,Inputs!$A$3:$A$101,1)), "")</f>
        <v/>
      </c>
      <c r="AT1791" s="48" t="str">
        <f t="shared" ca="1" si="324"/>
        <v/>
      </c>
      <c r="AU1791" s="3" t="str">
        <f t="shared" ca="1" si="321"/>
        <v/>
      </c>
      <c r="AV1791" s="3" t="str">
        <f t="shared" ca="1" si="322"/>
        <v/>
      </c>
    </row>
    <row r="1792" spans="43:48" x14ac:dyDescent="0.2">
      <c r="AQ1792" s="4" t="str">
        <f t="shared" ca="1" si="323"/>
        <v/>
      </c>
      <c r="AR1792" s="3" t="str">
        <f t="shared" ca="1" si="320"/>
        <v/>
      </c>
      <c r="AS1792" s="63" t="str">
        <f ca="1">IF($AQ1792&lt;&gt;"", INDEX(Inputs!$B$3:$B$101, MATCH($AQ1792,Inputs!$A$3:$A$101,1)), "")</f>
        <v/>
      </c>
      <c r="AT1792" s="48" t="str">
        <f t="shared" ca="1" si="324"/>
        <v/>
      </c>
      <c r="AU1792" s="3" t="str">
        <f t="shared" ca="1" si="321"/>
        <v/>
      </c>
      <c r="AV1792" s="3" t="str">
        <f t="shared" ca="1" si="322"/>
        <v/>
      </c>
    </row>
    <row r="1793" spans="43:48" x14ac:dyDescent="0.2">
      <c r="AQ1793" s="4" t="str">
        <f t="shared" ca="1" si="323"/>
        <v/>
      </c>
      <c r="AR1793" s="3" t="str">
        <f t="shared" ca="1" si="320"/>
        <v/>
      </c>
      <c r="AS1793" s="63" t="str">
        <f ca="1">IF($AQ1793&lt;&gt;"", INDEX(Inputs!$B$3:$B$101, MATCH($AQ1793,Inputs!$A$3:$A$101,1)), "")</f>
        <v/>
      </c>
      <c r="AT1793" s="48" t="str">
        <f t="shared" ca="1" si="324"/>
        <v/>
      </c>
      <c r="AU1793" s="3" t="str">
        <f t="shared" ca="1" si="321"/>
        <v/>
      </c>
      <c r="AV1793" s="3" t="str">
        <f t="shared" ca="1" si="322"/>
        <v/>
      </c>
    </row>
    <row r="1794" spans="43:48" x14ac:dyDescent="0.2">
      <c r="AQ1794" s="4" t="str">
        <f t="shared" ca="1" si="323"/>
        <v/>
      </c>
      <c r="AR1794" s="3" t="str">
        <f t="shared" ca="1" si="320"/>
        <v/>
      </c>
      <c r="AS1794" s="63" t="str">
        <f ca="1">IF($AQ1794&lt;&gt;"", INDEX(Inputs!$B$3:$B$101, MATCH($AQ1794,Inputs!$A$3:$A$101,1)), "")</f>
        <v/>
      </c>
      <c r="AT1794" s="48" t="str">
        <f t="shared" ca="1" si="324"/>
        <v/>
      </c>
      <c r="AU1794" s="3" t="str">
        <f t="shared" ca="1" si="321"/>
        <v/>
      </c>
      <c r="AV1794" s="3" t="str">
        <f t="shared" ca="1" si="322"/>
        <v/>
      </c>
    </row>
    <row r="1795" spans="43:48" x14ac:dyDescent="0.2">
      <c r="AQ1795" s="4" t="str">
        <f t="shared" ca="1" si="323"/>
        <v/>
      </c>
      <c r="AR1795" s="3" t="str">
        <f t="shared" ca="1" si="320"/>
        <v/>
      </c>
      <c r="AS1795" s="63" t="str">
        <f ca="1">IF($AQ1795&lt;&gt;"", INDEX(Inputs!$B$3:$B$101, MATCH($AQ1795,Inputs!$A$3:$A$101,1)), "")</f>
        <v/>
      </c>
      <c r="AT1795" s="48" t="str">
        <f t="shared" ca="1" si="324"/>
        <v/>
      </c>
      <c r="AU1795" s="3" t="str">
        <f t="shared" ca="1" si="321"/>
        <v/>
      </c>
      <c r="AV1795" s="3" t="str">
        <f t="shared" ca="1" si="322"/>
        <v/>
      </c>
    </row>
    <row r="1796" spans="43:48" x14ac:dyDescent="0.2">
      <c r="AQ1796" s="4" t="str">
        <f t="shared" ca="1" si="323"/>
        <v/>
      </c>
      <c r="AR1796" s="3" t="str">
        <f t="shared" ca="1" si="320"/>
        <v/>
      </c>
      <c r="AS1796" s="63" t="str">
        <f ca="1">IF($AQ1796&lt;&gt;"", INDEX(Inputs!$B$3:$B$101, MATCH($AQ1796,Inputs!$A$3:$A$101,1)), "")</f>
        <v/>
      </c>
      <c r="AT1796" s="48" t="str">
        <f t="shared" ca="1" si="324"/>
        <v/>
      </c>
      <c r="AU1796" s="3" t="str">
        <f t="shared" ca="1" si="321"/>
        <v/>
      </c>
      <c r="AV1796" s="3" t="str">
        <f t="shared" ca="1" si="322"/>
        <v/>
      </c>
    </row>
    <row r="1797" spans="43:48" x14ac:dyDescent="0.2">
      <c r="AQ1797" s="4" t="str">
        <f t="shared" ca="1" si="323"/>
        <v/>
      </c>
      <c r="AR1797" s="3" t="str">
        <f t="shared" ca="1" si="320"/>
        <v/>
      </c>
      <c r="AS1797" s="63" t="str">
        <f ca="1">IF($AQ1797&lt;&gt;"", INDEX(Inputs!$B$3:$B$101, MATCH($AQ1797,Inputs!$A$3:$A$101,1)), "")</f>
        <v/>
      </c>
      <c r="AT1797" s="48" t="str">
        <f t="shared" ca="1" si="324"/>
        <v/>
      </c>
      <c r="AU1797" s="3" t="str">
        <f t="shared" ca="1" si="321"/>
        <v/>
      </c>
      <c r="AV1797" s="3" t="str">
        <f t="shared" ca="1" si="322"/>
        <v/>
      </c>
    </row>
    <row r="1798" spans="43:48" x14ac:dyDescent="0.2">
      <c r="AQ1798" s="4" t="str">
        <f t="shared" ca="1" si="323"/>
        <v/>
      </c>
      <c r="AR1798" s="3" t="str">
        <f t="shared" ca="1" si="320"/>
        <v/>
      </c>
      <c r="AS1798" s="63" t="str">
        <f ca="1">IF($AQ1798&lt;&gt;"", INDEX(Inputs!$B$3:$B$101, MATCH($AQ1798,Inputs!$A$3:$A$101,1)), "")</f>
        <v/>
      </c>
      <c r="AT1798" s="48" t="str">
        <f t="shared" ca="1" si="324"/>
        <v/>
      </c>
      <c r="AU1798" s="3" t="str">
        <f t="shared" ca="1" si="321"/>
        <v/>
      </c>
      <c r="AV1798" s="3" t="str">
        <f t="shared" ca="1" si="322"/>
        <v/>
      </c>
    </row>
    <row r="1799" spans="43:48" x14ac:dyDescent="0.2">
      <c r="AQ1799" s="4" t="str">
        <f t="shared" ca="1" si="323"/>
        <v/>
      </c>
      <c r="AR1799" s="3" t="str">
        <f t="shared" ca="1" si="320"/>
        <v/>
      </c>
      <c r="AS1799" s="63" t="str">
        <f ca="1">IF($AQ1799&lt;&gt;"", INDEX(Inputs!$B$3:$B$101, MATCH($AQ1799,Inputs!$A$3:$A$101,1)), "")</f>
        <v/>
      </c>
      <c r="AT1799" s="48" t="str">
        <f t="shared" ca="1" si="324"/>
        <v/>
      </c>
      <c r="AU1799" s="3" t="str">
        <f t="shared" ca="1" si="321"/>
        <v/>
      </c>
      <c r="AV1799" s="3" t="str">
        <f t="shared" ca="1" si="322"/>
        <v/>
      </c>
    </row>
    <row r="1800" spans="43:48" x14ac:dyDescent="0.2">
      <c r="AQ1800" s="4" t="str">
        <f t="shared" ca="1" si="323"/>
        <v/>
      </c>
      <c r="AR1800" s="3" t="str">
        <f t="shared" ca="1" si="320"/>
        <v/>
      </c>
      <c r="AS1800" s="63" t="str">
        <f ca="1">IF($AQ1800&lt;&gt;"", INDEX(Inputs!$B$3:$B$101, MATCH($AQ1800,Inputs!$A$3:$A$101,1)), "")</f>
        <v/>
      </c>
      <c r="AT1800" s="48" t="str">
        <f t="shared" ca="1" si="324"/>
        <v/>
      </c>
      <c r="AU1800" s="3" t="str">
        <f t="shared" ca="1" si="321"/>
        <v/>
      </c>
      <c r="AV1800" s="3" t="str">
        <f t="shared" ca="1" si="322"/>
        <v/>
      </c>
    </row>
    <row r="1801" spans="43:48" x14ac:dyDescent="0.2">
      <c r="AQ1801" s="4" t="str">
        <f t="shared" ca="1" si="323"/>
        <v/>
      </c>
      <c r="AR1801" s="3" t="str">
        <f t="shared" ca="1" si="320"/>
        <v/>
      </c>
      <c r="AS1801" s="63" t="str">
        <f ca="1">IF($AQ1801&lt;&gt;"", INDEX(Inputs!$B$3:$B$101, MATCH($AQ1801,Inputs!$A$3:$A$101,1)), "")</f>
        <v/>
      </c>
      <c r="AT1801" s="48" t="str">
        <f t="shared" ca="1" si="324"/>
        <v/>
      </c>
      <c r="AU1801" s="3" t="str">
        <f t="shared" ca="1" si="321"/>
        <v/>
      </c>
      <c r="AV1801" s="3" t="str">
        <f t="shared" ca="1" si="322"/>
        <v/>
      </c>
    </row>
    <row r="1802" spans="43:48" x14ac:dyDescent="0.2">
      <c r="AQ1802" s="4" t="str">
        <f t="shared" ca="1" si="323"/>
        <v/>
      </c>
      <c r="AR1802" s="3" t="str">
        <f t="shared" ca="1" si="320"/>
        <v/>
      </c>
      <c r="AS1802" s="63" t="str">
        <f ca="1">IF($AQ1802&lt;&gt;"", INDEX(Inputs!$B$3:$B$101, MATCH($AQ1802,Inputs!$A$3:$A$101,1)), "")</f>
        <v/>
      </c>
      <c r="AT1802" s="48" t="str">
        <f t="shared" ca="1" si="324"/>
        <v/>
      </c>
      <c r="AU1802" s="3" t="str">
        <f t="shared" ca="1" si="321"/>
        <v/>
      </c>
      <c r="AV1802" s="3" t="str">
        <f t="shared" ca="1" si="322"/>
        <v/>
      </c>
    </row>
    <row r="1803" spans="43:48" x14ac:dyDescent="0.2">
      <c r="AQ1803" s="4" t="str">
        <f t="shared" ca="1" si="323"/>
        <v/>
      </c>
      <c r="AR1803" s="3" t="str">
        <f t="shared" ca="1" si="320"/>
        <v/>
      </c>
      <c r="AS1803" s="63" t="str">
        <f ca="1">IF($AQ1803&lt;&gt;"", INDEX(Inputs!$B$3:$B$101, MATCH($AQ1803,Inputs!$A$3:$A$101,1)), "")</f>
        <v/>
      </c>
      <c r="AT1803" s="48" t="str">
        <f t="shared" ca="1" si="324"/>
        <v/>
      </c>
      <c r="AU1803" s="3" t="str">
        <f t="shared" ca="1" si="321"/>
        <v/>
      </c>
      <c r="AV1803" s="3" t="str">
        <f t="shared" ca="1" si="322"/>
        <v/>
      </c>
    </row>
    <row r="1804" spans="43:48" x14ac:dyDescent="0.2">
      <c r="AQ1804" s="4" t="str">
        <f t="shared" ca="1" si="323"/>
        <v/>
      </c>
      <c r="AR1804" s="3" t="str">
        <f t="shared" ca="1" si="320"/>
        <v/>
      </c>
      <c r="AS1804" s="63" t="str">
        <f ca="1">IF($AQ1804&lt;&gt;"", INDEX(Inputs!$B$3:$B$101, MATCH($AQ1804,Inputs!$A$3:$A$101,1)), "")</f>
        <v/>
      </c>
      <c r="AT1804" s="48" t="str">
        <f t="shared" ca="1" si="324"/>
        <v/>
      </c>
      <c r="AU1804" s="3" t="str">
        <f t="shared" ca="1" si="321"/>
        <v/>
      </c>
      <c r="AV1804" s="3" t="str">
        <f t="shared" ca="1" si="322"/>
        <v/>
      </c>
    </row>
    <row r="1805" spans="43:48" x14ac:dyDescent="0.2">
      <c r="AQ1805" s="4" t="str">
        <f t="shared" ca="1" si="323"/>
        <v/>
      </c>
      <c r="AR1805" s="3" t="str">
        <f t="shared" ca="1" si="320"/>
        <v/>
      </c>
      <c r="AS1805" s="63" t="str">
        <f ca="1">IF($AQ1805&lt;&gt;"", INDEX(Inputs!$B$3:$B$101, MATCH($AQ1805,Inputs!$A$3:$A$101,1)), "")</f>
        <v/>
      </c>
      <c r="AT1805" s="48" t="str">
        <f t="shared" ca="1" si="324"/>
        <v/>
      </c>
      <c r="AU1805" s="3" t="str">
        <f t="shared" ca="1" si="321"/>
        <v/>
      </c>
      <c r="AV1805" s="3" t="str">
        <f t="shared" ca="1" si="322"/>
        <v/>
      </c>
    </row>
    <row r="1806" spans="43:48" x14ac:dyDescent="0.2">
      <c r="AQ1806" s="4" t="str">
        <f t="shared" ca="1" si="323"/>
        <v/>
      </c>
      <c r="AR1806" s="3" t="str">
        <f t="shared" ca="1" si="320"/>
        <v/>
      </c>
      <c r="AS1806" s="63" t="str">
        <f ca="1">IF($AQ1806&lt;&gt;"", INDEX(Inputs!$B$3:$B$101, MATCH($AQ1806,Inputs!$A$3:$A$101,1)), "")</f>
        <v/>
      </c>
      <c r="AT1806" s="48" t="str">
        <f t="shared" ca="1" si="324"/>
        <v/>
      </c>
      <c r="AU1806" s="3" t="str">
        <f t="shared" ca="1" si="321"/>
        <v/>
      </c>
      <c r="AV1806" s="3" t="str">
        <f t="shared" ca="1" si="322"/>
        <v/>
      </c>
    </row>
    <row r="1807" spans="43:48" x14ac:dyDescent="0.2">
      <c r="AQ1807" s="4" t="str">
        <f t="shared" ca="1" si="323"/>
        <v/>
      </c>
      <c r="AR1807" s="3" t="str">
        <f t="shared" ca="1" si="320"/>
        <v/>
      </c>
      <c r="AS1807" s="63" t="str">
        <f ca="1">IF($AQ1807&lt;&gt;"", INDEX(Inputs!$B$3:$B$101, MATCH($AQ1807,Inputs!$A$3:$A$101,1)), "")</f>
        <v/>
      </c>
      <c r="AT1807" s="48" t="str">
        <f t="shared" ca="1" si="324"/>
        <v/>
      </c>
      <c r="AU1807" s="3" t="str">
        <f t="shared" ca="1" si="321"/>
        <v/>
      </c>
      <c r="AV1807" s="3" t="str">
        <f t="shared" ca="1" si="322"/>
        <v/>
      </c>
    </row>
    <row r="1808" spans="43:48" x14ac:dyDescent="0.2">
      <c r="AQ1808" s="4" t="str">
        <f t="shared" ca="1" si="323"/>
        <v/>
      </c>
      <c r="AR1808" s="3" t="str">
        <f t="shared" ca="1" si="320"/>
        <v/>
      </c>
      <c r="AS1808" s="63" t="str">
        <f ca="1">IF($AQ1808&lt;&gt;"", INDEX(Inputs!$B$3:$B$101, MATCH($AQ1808,Inputs!$A$3:$A$101,1)), "")</f>
        <v/>
      </c>
      <c r="AT1808" s="48" t="str">
        <f t="shared" ca="1" si="324"/>
        <v/>
      </c>
      <c r="AU1808" s="3" t="str">
        <f t="shared" ca="1" si="321"/>
        <v/>
      </c>
      <c r="AV1808" s="3" t="str">
        <f t="shared" ca="1" si="322"/>
        <v/>
      </c>
    </row>
    <row r="1809" spans="43:48" x14ac:dyDescent="0.2">
      <c r="AQ1809" s="4" t="str">
        <f t="shared" ca="1" si="323"/>
        <v/>
      </c>
      <c r="AR1809" s="3" t="str">
        <f t="shared" ca="1" si="320"/>
        <v/>
      </c>
      <c r="AS1809" s="63" t="str">
        <f ca="1">IF($AQ1809&lt;&gt;"", INDEX(Inputs!$B$3:$B$101, MATCH($AQ1809,Inputs!$A$3:$A$101,1)), "")</f>
        <v/>
      </c>
      <c r="AT1809" s="48" t="str">
        <f t="shared" ca="1" si="324"/>
        <v/>
      </c>
      <c r="AU1809" s="3" t="str">
        <f t="shared" ca="1" si="321"/>
        <v/>
      </c>
      <c r="AV1809" s="3" t="str">
        <f t="shared" ca="1" si="322"/>
        <v/>
      </c>
    </row>
    <row r="1810" spans="43:48" x14ac:dyDescent="0.2">
      <c r="AQ1810" s="4" t="str">
        <f t="shared" ca="1" si="323"/>
        <v/>
      </c>
      <c r="AR1810" s="3" t="str">
        <f t="shared" ca="1" si="320"/>
        <v/>
      </c>
      <c r="AS1810" s="63" t="str">
        <f ca="1">IF($AQ1810&lt;&gt;"", INDEX(Inputs!$B$3:$B$101, MATCH($AQ1810,Inputs!$A$3:$A$101,1)), "")</f>
        <v/>
      </c>
      <c r="AT1810" s="48" t="str">
        <f t="shared" ca="1" si="324"/>
        <v/>
      </c>
      <c r="AU1810" s="3" t="str">
        <f t="shared" ca="1" si="321"/>
        <v/>
      </c>
      <c r="AV1810" s="3" t="str">
        <f t="shared" ca="1" si="322"/>
        <v/>
      </c>
    </row>
    <row r="1811" spans="43:48" x14ac:dyDescent="0.2">
      <c r="AQ1811" s="4" t="str">
        <f t="shared" ca="1" si="323"/>
        <v/>
      </c>
      <c r="AR1811" s="3" t="str">
        <f t="shared" ca="1" si="320"/>
        <v/>
      </c>
      <c r="AS1811" s="63" t="str">
        <f ca="1">IF($AQ1811&lt;&gt;"", INDEX(Inputs!$B$3:$B$101, MATCH($AQ1811,Inputs!$A$3:$A$101,1)), "")</f>
        <v/>
      </c>
      <c r="AT1811" s="48" t="str">
        <f t="shared" ca="1" si="324"/>
        <v/>
      </c>
      <c r="AU1811" s="3" t="str">
        <f t="shared" ca="1" si="321"/>
        <v/>
      </c>
      <c r="AV1811" s="3" t="str">
        <f t="shared" ca="1" si="322"/>
        <v/>
      </c>
    </row>
    <row r="1812" spans="43:48" x14ac:dyDescent="0.2">
      <c r="AQ1812" s="4" t="str">
        <f t="shared" ca="1" si="323"/>
        <v/>
      </c>
      <c r="AR1812" s="3" t="str">
        <f t="shared" ca="1" si="320"/>
        <v/>
      </c>
      <c r="AS1812" s="63" t="str">
        <f ca="1">IF($AQ1812&lt;&gt;"", INDEX(Inputs!$B$3:$B$101, MATCH($AQ1812,Inputs!$A$3:$A$101,1)), "")</f>
        <v/>
      </c>
      <c r="AT1812" s="48" t="str">
        <f t="shared" ca="1" si="324"/>
        <v/>
      </c>
      <c r="AU1812" s="3" t="str">
        <f t="shared" ca="1" si="321"/>
        <v/>
      </c>
      <c r="AV1812" s="3" t="str">
        <f t="shared" ca="1" si="322"/>
        <v/>
      </c>
    </row>
    <row r="1813" spans="43:48" x14ac:dyDescent="0.2">
      <c r="AQ1813" s="4" t="str">
        <f t="shared" ca="1" si="323"/>
        <v/>
      </c>
      <c r="AR1813" s="3" t="str">
        <f t="shared" ca="1" si="320"/>
        <v/>
      </c>
      <c r="AS1813" s="63" t="str">
        <f ca="1">IF($AQ1813&lt;&gt;"", INDEX(Inputs!$B$3:$B$101, MATCH($AQ1813,Inputs!$A$3:$A$101,1)), "")</f>
        <v/>
      </c>
      <c r="AT1813" s="48" t="str">
        <f t="shared" ca="1" si="324"/>
        <v/>
      </c>
      <c r="AU1813" s="3" t="str">
        <f t="shared" ca="1" si="321"/>
        <v/>
      </c>
      <c r="AV1813" s="3" t="str">
        <f t="shared" ca="1" si="322"/>
        <v/>
      </c>
    </row>
    <row r="1814" spans="43:48" x14ac:dyDescent="0.2">
      <c r="AQ1814" s="4" t="str">
        <f t="shared" ca="1" si="323"/>
        <v/>
      </c>
      <c r="AR1814" s="3" t="str">
        <f t="shared" ca="1" si="320"/>
        <v/>
      </c>
      <c r="AS1814" s="63" t="str">
        <f ca="1">IF($AQ1814&lt;&gt;"", INDEX(Inputs!$B$3:$B$101, MATCH($AQ1814,Inputs!$A$3:$A$101,1)), "")</f>
        <v/>
      </c>
      <c r="AT1814" s="48" t="str">
        <f t="shared" ca="1" si="324"/>
        <v/>
      </c>
      <c r="AU1814" s="3" t="str">
        <f t="shared" ca="1" si="321"/>
        <v/>
      </c>
      <c r="AV1814" s="3" t="str">
        <f t="shared" ca="1" si="322"/>
        <v/>
      </c>
    </row>
    <row r="1815" spans="43:48" x14ac:dyDescent="0.2">
      <c r="AQ1815" s="4" t="str">
        <f t="shared" ca="1" si="323"/>
        <v/>
      </c>
      <c r="AR1815" s="3" t="str">
        <f t="shared" ca="1" si="320"/>
        <v/>
      </c>
      <c r="AS1815" s="63" t="str">
        <f ca="1">IF($AQ1815&lt;&gt;"", INDEX(Inputs!$B$3:$B$101, MATCH($AQ1815,Inputs!$A$3:$A$101,1)), "")</f>
        <v/>
      </c>
      <c r="AT1815" s="48" t="str">
        <f t="shared" ca="1" si="324"/>
        <v/>
      </c>
      <c r="AU1815" s="3" t="str">
        <f t="shared" ca="1" si="321"/>
        <v/>
      </c>
      <c r="AV1815" s="3" t="str">
        <f t="shared" ca="1" si="322"/>
        <v/>
      </c>
    </row>
    <row r="1816" spans="43:48" x14ac:dyDescent="0.2">
      <c r="AQ1816" s="4" t="str">
        <f t="shared" ca="1" si="323"/>
        <v/>
      </c>
      <c r="AR1816" s="3" t="str">
        <f t="shared" ca="1" si="320"/>
        <v/>
      </c>
      <c r="AS1816" s="63" t="str">
        <f ca="1">IF($AQ1816&lt;&gt;"", INDEX(Inputs!$B$3:$B$101, MATCH($AQ1816,Inputs!$A$3:$A$101,1)), "")</f>
        <v/>
      </c>
      <c r="AT1816" s="48" t="str">
        <f t="shared" ca="1" si="324"/>
        <v/>
      </c>
      <c r="AU1816" s="3" t="str">
        <f t="shared" ca="1" si="321"/>
        <v/>
      </c>
      <c r="AV1816" s="3" t="str">
        <f t="shared" ca="1" si="322"/>
        <v/>
      </c>
    </row>
    <row r="1817" spans="43:48" x14ac:dyDescent="0.2">
      <c r="AQ1817" s="4" t="str">
        <f t="shared" ca="1" si="323"/>
        <v/>
      </c>
      <c r="AR1817" s="3" t="str">
        <f t="shared" ref="AR1817:AR1880" ca="1" si="325">IF($AQ1817&lt;&gt;"", INDEX($AC$3:$AC$1055, MATCH($AQ1817,$A$3:$A$1055,1)), "")</f>
        <v/>
      </c>
      <c r="AS1817" s="63" t="str">
        <f ca="1">IF($AQ1817&lt;&gt;"", INDEX(Inputs!$B$3:$B$101, MATCH($AQ1817,Inputs!$A$3:$A$101,1)), "")</f>
        <v/>
      </c>
      <c r="AT1817" s="48" t="str">
        <f t="shared" ca="1" si="324"/>
        <v/>
      </c>
      <c r="AU1817" s="3" t="str">
        <f t="shared" ref="AU1817:AU1880" ca="1" si="326">IF($AQ1817&lt;&gt;"", SUMIFS($AL$3:$AL$1054, $A$3:$A$1054,$AQ1817) + SUMIFS($M$3:$M$1054, $A$3:$A$1054,$AQ1817)*IFERROR(AVERAGEIFS($L$3:$L$1054, $A$3:$A$1054,$AQ1817, $M$3:$M$1054,"&gt;0"),0) - AT1817, "")</f>
        <v/>
      </c>
      <c r="AV1817" s="3" t="str">
        <f t="shared" ca="1" si="322"/>
        <v/>
      </c>
    </row>
    <row r="1818" spans="43:48" x14ac:dyDescent="0.2">
      <c r="AQ1818" s="4" t="str">
        <f t="shared" ca="1" si="323"/>
        <v/>
      </c>
      <c r="AR1818" s="3" t="str">
        <f t="shared" ca="1" si="325"/>
        <v/>
      </c>
      <c r="AS1818" s="63" t="str">
        <f ca="1">IF($AQ1818&lt;&gt;"", INDEX(Inputs!$B$3:$B$101, MATCH($AQ1818,Inputs!$A$3:$A$101,1)), "")</f>
        <v/>
      </c>
      <c r="AT1818" s="48" t="str">
        <f t="shared" ca="1" si="324"/>
        <v/>
      </c>
      <c r="AU1818" s="3" t="str">
        <f t="shared" ca="1" si="326"/>
        <v/>
      </c>
      <c r="AV1818" s="3" t="str">
        <f t="shared" ca="1" si="322"/>
        <v/>
      </c>
    </row>
    <row r="1819" spans="43:48" x14ac:dyDescent="0.2">
      <c r="AQ1819" s="4" t="str">
        <f t="shared" ca="1" si="323"/>
        <v/>
      </c>
      <c r="AR1819" s="3" t="str">
        <f t="shared" ca="1" si="325"/>
        <v/>
      </c>
      <c r="AS1819" s="63" t="str">
        <f ca="1">IF($AQ1819&lt;&gt;"", INDEX(Inputs!$B$3:$B$101, MATCH($AQ1819,Inputs!$A$3:$A$101,1)), "")</f>
        <v/>
      </c>
      <c r="AT1819" s="48" t="str">
        <f t="shared" ca="1" si="324"/>
        <v/>
      </c>
      <c r="AU1819" s="3" t="str">
        <f t="shared" ca="1" si="326"/>
        <v/>
      </c>
      <c r="AV1819" s="3" t="str">
        <f t="shared" ca="1" si="322"/>
        <v/>
      </c>
    </row>
    <row r="1820" spans="43:48" x14ac:dyDescent="0.2">
      <c r="AQ1820" s="4" t="str">
        <f t="shared" ca="1" si="323"/>
        <v/>
      </c>
      <c r="AR1820" s="3" t="str">
        <f t="shared" ca="1" si="325"/>
        <v/>
      </c>
      <c r="AS1820" s="63" t="str">
        <f ca="1">IF($AQ1820&lt;&gt;"", INDEX(Inputs!$B$3:$B$101, MATCH($AQ1820,Inputs!$A$3:$A$101,1)), "")</f>
        <v/>
      </c>
      <c r="AT1820" s="48" t="str">
        <f t="shared" ca="1" si="324"/>
        <v/>
      </c>
      <c r="AU1820" s="3" t="str">
        <f t="shared" ca="1" si="326"/>
        <v/>
      </c>
      <c r="AV1820" s="3" t="str">
        <f t="shared" ca="1" si="322"/>
        <v/>
      </c>
    </row>
    <row r="1821" spans="43:48" x14ac:dyDescent="0.2">
      <c r="AQ1821" s="4" t="str">
        <f t="shared" ca="1" si="323"/>
        <v/>
      </c>
      <c r="AR1821" s="3" t="str">
        <f t="shared" ca="1" si="325"/>
        <v/>
      </c>
      <c r="AS1821" s="63" t="str">
        <f ca="1">IF($AQ1821&lt;&gt;"", INDEX(Inputs!$B$3:$B$101, MATCH($AQ1821,Inputs!$A$3:$A$101,1)), "")</f>
        <v/>
      </c>
      <c r="AT1821" s="48" t="str">
        <f t="shared" ca="1" si="324"/>
        <v/>
      </c>
      <c r="AU1821" s="3" t="str">
        <f t="shared" ca="1" si="326"/>
        <v/>
      </c>
      <c r="AV1821" s="3" t="str">
        <f t="shared" ca="1" si="322"/>
        <v/>
      </c>
    </row>
    <row r="1822" spans="43:48" x14ac:dyDescent="0.2">
      <c r="AQ1822" s="4" t="str">
        <f t="shared" ca="1" si="323"/>
        <v/>
      </c>
      <c r="AR1822" s="3" t="str">
        <f t="shared" ca="1" si="325"/>
        <v/>
      </c>
      <c r="AS1822" s="63" t="str">
        <f ca="1">IF($AQ1822&lt;&gt;"", INDEX(Inputs!$B$3:$B$101, MATCH($AQ1822,Inputs!$A$3:$A$101,1)), "")</f>
        <v/>
      </c>
      <c r="AT1822" s="48" t="str">
        <f t="shared" ca="1" si="324"/>
        <v/>
      </c>
      <c r="AU1822" s="3" t="str">
        <f t="shared" ca="1" si="326"/>
        <v/>
      </c>
      <c r="AV1822" s="3" t="str">
        <f t="shared" ca="1" si="322"/>
        <v/>
      </c>
    </row>
    <row r="1823" spans="43:48" x14ac:dyDescent="0.2">
      <c r="AQ1823" s="4" t="str">
        <f t="shared" ca="1" si="323"/>
        <v/>
      </c>
      <c r="AR1823" s="3" t="str">
        <f t="shared" ca="1" si="325"/>
        <v/>
      </c>
      <c r="AS1823" s="63" t="str">
        <f ca="1">IF($AQ1823&lt;&gt;"", INDEX(Inputs!$B$3:$B$101, MATCH($AQ1823,Inputs!$A$3:$A$101,1)), "")</f>
        <v/>
      </c>
      <c r="AT1823" s="48" t="str">
        <f t="shared" ca="1" si="324"/>
        <v/>
      </c>
      <c r="AU1823" s="3" t="str">
        <f t="shared" ca="1" si="326"/>
        <v/>
      </c>
      <c r="AV1823" s="3" t="str">
        <f t="shared" ca="1" si="322"/>
        <v/>
      </c>
    </row>
    <row r="1824" spans="43:48" x14ac:dyDescent="0.2">
      <c r="AQ1824" s="4" t="str">
        <f t="shared" ca="1" si="323"/>
        <v/>
      </c>
      <c r="AR1824" s="3" t="str">
        <f t="shared" ca="1" si="325"/>
        <v/>
      </c>
      <c r="AS1824" s="63" t="str">
        <f ca="1">IF($AQ1824&lt;&gt;"", INDEX(Inputs!$B$3:$B$101, MATCH($AQ1824,Inputs!$A$3:$A$101,1)), "")</f>
        <v/>
      </c>
      <c r="AT1824" s="48" t="str">
        <f t="shared" ca="1" si="324"/>
        <v/>
      </c>
      <c r="AU1824" s="3" t="str">
        <f t="shared" ca="1" si="326"/>
        <v/>
      </c>
      <c r="AV1824" s="3" t="str">
        <f t="shared" ref="AV1824:AV1887" ca="1" si="327">IF(AQ1824&lt;&gt;"", AU1824*(1+$X$9/CompoundingRate)^-((AQ1824-AQ$3)/(365/CompoundingRate)), "")</f>
        <v/>
      </c>
    </row>
    <row r="1825" spans="43:48" x14ac:dyDescent="0.2">
      <c r="AQ1825" s="4" t="str">
        <f t="shared" ca="1" si="323"/>
        <v/>
      </c>
      <c r="AR1825" s="3" t="str">
        <f t="shared" ca="1" si="325"/>
        <v/>
      </c>
      <c r="AS1825" s="63" t="str">
        <f ca="1">IF($AQ1825&lt;&gt;"", INDEX(Inputs!$B$3:$B$101, MATCH($AQ1825,Inputs!$A$3:$A$101,1)), "")</f>
        <v/>
      </c>
      <c r="AT1825" s="48" t="str">
        <f t="shared" ca="1" si="324"/>
        <v/>
      </c>
      <c r="AU1825" s="3" t="str">
        <f t="shared" ca="1" si="326"/>
        <v/>
      </c>
      <c r="AV1825" s="3" t="str">
        <f t="shared" ca="1" si="327"/>
        <v/>
      </c>
    </row>
    <row r="1826" spans="43:48" x14ac:dyDescent="0.2">
      <c r="AQ1826" s="4" t="str">
        <f t="shared" ca="1" si="323"/>
        <v/>
      </c>
      <c r="AR1826" s="3" t="str">
        <f t="shared" ca="1" si="325"/>
        <v/>
      </c>
      <c r="AS1826" s="63" t="str">
        <f ca="1">IF($AQ1826&lt;&gt;"", INDEX(Inputs!$B$3:$B$101, MATCH($AQ1826,Inputs!$A$3:$A$101,1)), "")</f>
        <v/>
      </c>
      <c r="AT1826" s="48" t="str">
        <f t="shared" ca="1" si="324"/>
        <v/>
      </c>
      <c r="AU1826" s="3" t="str">
        <f t="shared" ca="1" si="326"/>
        <v/>
      </c>
      <c r="AV1826" s="3" t="str">
        <f t="shared" ca="1" si="327"/>
        <v/>
      </c>
    </row>
    <row r="1827" spans="43:48" x14ac:dyDescent="0.2">
      <c r="AQ1827" s="4" t="str">
        <f t="shared" ca="1" si="323"/>
        <v/>
      </c>
      <c r="AR1827" s="3" t="str">
        <f t="shared" ca="1" si="325"/>
        <v/>
      </c>
      <c r="AS1827" s="63" t="str">
        <f ca="1">IF($AQ1827&lt;&gt;"", INDEX(Inputs!$B$3:$B$101, MATCH($AQ1827,Inputs!$A$3:$A$101,1)), "")</f>
        <v/>
      </c>
      <c r="AT1827" s="48" t="str">
        <f t="shared" ca="1" si="324"/>
        <v/>
      </c>
      <c r="AU1827" s="3" t="str">
        <f t="shared" ca="1" si="326"/>
        <v/>
      </c>
      <c r="AV1827" s="3" t="str">
        <f t="shared" ca="1" si="327"/>
        <v/>
      </c>
    </row>
    <row r="1828" spans="43:48" x14ac:dyDescent="0.2">
      <c r="AQ1828" s="4" t="str">
        <f t="shared" ca="1" si="323"/>
        <v/>
      </c>
      <c r="AR1828" s="3" t="str">
        <f t="shared" ca="1" si="325"/>
        <v/>
      </c>
      <c r="AS1828" s="63" t="str">
        <f ca="1">IF($AQ1828&lt;&gt;"", INDEX(Inputs!$B$3:$B$101, MATCH($AQ1828,Inputs!$A$3:$A$101,1)), "")</f>
        <v/>
      </c>
      <c r="AT1828" s="48" t="str">
        <f t="shared" ca="1" si="324"/>
        <v/>
      </c>
      <c r="AU1828" s="3" t="str">
        <f t="shared" ca="1" si="326"/>
        <v/>
      </c>
      <c r="AV1828" s="3" t="str">
        <f t="shared" ca="1" si="327"/>
        <v/>
      </c>
    </row>
    <row r="1829" spans="43:48" x14ac:dyDescent="0.2">
      <c r="AQ1829" s="4" t="str">
        <f t="shared" ca="1" si="323"/>
        <v/>
      </c>
      <c r="AR1829" s="3" t="str">
        <f t="shared" ca="1" si="325"/>
        <v/>
      </c>
      <c r="AS1829" s="63" t="str">
        <f ca="1">IF($AQ1829&lt;&gt;"", INDEX(Inputs!$B$3:$B$101, MATCH($AQ1829,Inputs!$A$3:$A$101,1)), "")</f>
        <v/>
      </c>
      <c r="AT1829" s="48" t="str">
        <f t="shared" ca="1" si="324"/>
        <v/>
      </c>
      <c r="AU1829" s="3" t="str">
        <f t="shared" ca="1" si="326"/>
        <v/>
      </c>
      <c r="AV1829" s="3" t="str">
        <f t="shared" ca="1" si="327"/>
        <v/>
      </c>
    </row>
    <row r="1830" spans="43:48" x14ac:dyDescent="0.2">
      <c r="AQ1830" s="4" t="str">
        <f t="shared" ca="1" si="323"/>
        <v/>
      </c>
      <c r="AR1830" s="3" t="str">
        <f t="shared" ca="1" si="325"/>
        <v/>
      </c>
      <c r="AS1830" s="63" t="str">
        <f ca="1">IF($AQ1830&lt;&gt;"", INDEX(Inputs!$B$3:$B$101, MATCH($AQ1830,Inputs!$A$3:$A$101,1)), "")</f>
        <v/>
      </c>
      <c r="AT1830" s="48" t="str">
        <f t="shared" ca="1" si="324"/>
        <v/>
      </c>
      <c r="AU1830" s="3" t="str">
        <f t="shared" ca="1" si="326"/>
        <v/>
      </c>
      <c r="AV1830" s="3" t="str">
        <f t="shared" ca="1" si="327"/>
        <v/>
      </c>
    </row>
    <row r="1831" spans="43:48" x14ac:dyDescent="0.2">
      <c r="AQ1831" s="4" t="str">
        <f t="shared" ca="1" si="323"/>
        <v/>
      </c>
      <c r="AR1831" s="3" t="str">
        <f t="shared" ca="1" si="325"/>
        <v/>
      </c>
      <c r="AS1831" s="63" t="str">
        <f ca="1">IF($AQ1831&lt;&gt;"", INDEX(Inputs!$B$3:$B$101, MATCH($AQ1831,Inputs!$A$3:$A$101,1)), "")</f>
        <v/>
      </c>
      <c r="AT1831" s="48" t="str">
        <f t="shared" ca="1" si="324"/>
        <v/>
      </c>
      <c r="AU1831" s="3" t="str">
        <f t="shared" ca="1" si="326"/>
        <v/>
      </c>
      <c r="AV1831" s="3" t="str">
        <f t="shared" ca="1" si="327"/>
        <v/>
      </c>
    </row>
    <row r="1832" spans="43:48" x14ac:dyDescent="0.2">
      <c r="AQ1832" s="4" t="str">
        <f t="shared" ca="1" si="323"/>
        <v/>
      </c>
      <c r="AR1832" s="3" t="str">
        <f t="shared" ca="1" si="325"/>
        <v/>
      </c>
      <c r="AS1832" s="63" t="str">
        <f ca="1">IF($AQ1832&lt;&gt;"", INDEX(Inputs!$B$3:$B$101, MATCH($AQ1832,Inputs!$A$3:$A$101,1)), "")</f>
        <v/>
      </c>
      <c r="AT1832" s="48" t="str">
        <f t="shared" ca="1" si="324"/>
        <v/>
      </c>
      <c r="AU1832" s="3" t="str">
        <f t="shared" ca="1" si="326"/>
        <v/>
      </c>
      <c r="AV1832" s="3" t="str">
        <f t="shared" ca="1" si="327"/>
        <v/>
      </c>
    </row>
    <row r="1833" spans="43:48" x14ac:dyDescent="0.2">
      <c r="AQ1833" s="4" t="str">
        <f t="shared" ca="1" si="323"/>
        <v/>
      </c>
      <c r="AR1833" s="3" t="str">
        <f t="shared" ca="1" si="325"/>
        <v/>
      </c>
      <c r="AS1833" s="63" t="str">
        <f ca="1">IF($AQ1833&lt;&gt;"", INDEX(Inputs!$B$3:$B$101, MATCH($AQ1833,Inputs!$A$3:$A$101,1)), "")</f>
        <v/>
      </c>
      <c r="AT1833" s="48" t="str">
        <f t="shared" ca="1" si="324"/>
        <v/>
      </c>
      <c r="AU1833" s="3" t="str">
        <f t="shared" ca="1" si="326"/>
        <v/>
      </c>
      <c r="AV1833" s="3" t="str">
        <f t="shared" ca="1" si="327"/>
        <v/>
      </c>
    </row>
    <row r="1834" spans="43:48" x14ac:dyDescent="0.2">
      <c r="AQ1834" s="4" t="str">
        <f t="shared" ca="1" si="323"/>
        <v/>
      </c>
      <c r="AR1834" s="3" t="str">
        <f t="shared" ca="1" si="325"/>
        <v/>
      </c>
      <c r="AS1834" s="63" t="str">
        <f ca="1">IF($AQ1834&lt;&gt;"", INDEX(Inputs!$B$3:$B$101, MATCH($AQ1834,Inputs!$A$3:$A$101,1)), "")</f>
        <v/>
      </c>
      <c r="AT1834" s="48" t="str">
        <f t="shared" ca="1" si="324"/>
        <v/>
      </c>
      <c r="AU1834" s="3" t="str">
        <f t="shared" ca="1" si="326"/>
        <v/>
      </c>
      <c r="AV1834" s="3" t="str">
        <f t="shared" ca="1" si="327"/>
        <v/>
      </c>
    </row>
    <row r="1835" spans="43:48" x14ac:dyDescent="0.2">
      <c r="AQ1835" s="4" t="str">
        <f t="shared" ca="1" si="323"/>
        <v/>
      </c>
      <c r="AR1835" s="3" t="str">
        <f t="shared" ca="1" si="325"/>
        <v/>
      </c>
      <c r="AS1835" s="63" t="str">
        <f ca="1">IF($AQ1835&lt;&gt;"", INDEX(Inputs!$B$3:$B$101, MATCH($AQ1835,Inputs!$A$3:$A$101,1)), "")</f>
        <v/>
      </c>
      <c r="AT1835" s="48" t="str">
        <f t="shared" ca="1" si="324"/>
        <v/>
      </c>
      <c r="AU1835" s="3" t="str">
        <f t="shared" ca="1" si="326"/>
        <v/>
      </c>
      <c r="AV1835" s="3" t="str">
        <f t="shared" ca="1" si="327"/>
        <v/>
      </c>
    </row>
    <row r="1836" spans="43:48" x14ac:dyDescent="0.2">
      <c r="AQ1836" s="4" t="str">
        <f t="shared" ca="1" si="323"/>
        <v/>
      </c>
      <c r="AR1836" s="3" t="str">
        <f t="shared" ca="1" si="325"/>
        <v/>
      </c>
      <c r="AS1836" s="63" t="str">
        <f ca="1">IF($AQ1836&lt;&gt;"", INDEX(Inputs!$B$3:$B$101, MATCH($AQ1836,Inputs!$A$3:$A$101,1)), "")</f>
        <v/>
      </c>
      <c r="AT1836" s="48" t="str">
        <f t="shared" ca="1" si="324"/>
        <v/>
      </c>
      <c r="AU1836" s="3" t="str">
        <f t="shared" ca="1" si="326"/>
        <v/>
      </c>
      <c r="AV1836" s="3" t="str">
        <f t="shared" ca="1" si="327"/>
        <v/>
      </c>
    </row>
    <row r="1837" spans="43:48" x14ac:dyDescent="0.2">
      <c r="AQ1837" s="4" t="str">
        <f t="shared" ca="1" si="323"/>
        <v/>
      </c>
      <c r="AR1837" s="3" t="str">
        <f t="shared" ca="1" si="325"/>
        <v/>
      </c>
      <c r="AS1837" s="63" t="str">
        <f ca="1">IF($AQ1837&lt;&gt;"", INDEX(Inputs!$B$3:$B$101, MATCH($AQ1837,Inputs!$A$3:$A$101,1)), "")</f>
        <v/>
      </c>
      <c r="AT1837" s="48" t="str">
        <f t="shared" ca="1" si="324"/>
        <v/>
      </c>
      <c r="AU1837" s="3" t="str">
        <f t="shared" ca="1" si="326"/>
        <v/>
      </c>
      <c r="AV1837" s="3" t="str">
        <f t="shared" ca="1" si="327"/>
        <v/>
      </c>
    </row>
    <row r="1838" spans="43:48" x14ac:dyDescent="0.2">
      <c r="AQ1838" s="4" t="str">
        <f t="shared" ca="1" si="323"/>
        <v/>
      </c>
      <c r="AR1838" s="3" t="str">
        <f t="shared" ca="1" si="325"/>
        <v/>
      </c>
      <c r="AS1838" s="63" t="str">
        <f ca="1">IF($AQ1838&lt;&gt;"", INDEX(Inputs!$B$3:$B$101, MATCH($AQ1838,Inputs!$A$3:$A$101,1)), "")</f>
        <v/>
      </c>
      <c r="AT1838" s="48" t="str">
        <f t="shared" ca="1" si="324"/>
        <v/>
      </c>
      <c r="AU1838" s="3" t="str">
        <f t="shared" ca="1" si="326"/>
        <v/>
      </c>
      <c r="AV1838" s="3" t="str">
        <f t="shared" ca="1" si="327"/>
        <v/>
      </c>
    </row>
    <row r="1839" spans="43:48" x14ac:dyDescent="0.2">
      <c r="AQ1839" s="4" t="str">
        <f t="shared" ca="1" si="323"/>
        <v/>
      </c>
      <c r="AR1839" s="3" t="str">
        <f t="shared" ca="1" si="325"/>
        <v/>
      </c>
      <c r="AS1839" s="63" t="str">
        <f ca="1">IF($AQ1839&lt;&gt;"", INDEX(Inputs!$B$3:$B$101, MATCH($AQ1839,Inputs!$A$3:$A$101,1)), "")</f>
        <v/>
      </c>
      <c r="AT1839" s="48" t="str">
        <f t="shared" ca="1" si="324"/>
        <v/>
      </c>
      <c r="AU1839" s="3" t="str">
        <f t="shared" ca="1" si="326"/>
        <v/>
      </c>
      <c r="AV1839" s="3" t="str">
        <f t="shared" ca="1" si="327"/>
        <v/>
      </c>
    </row>
    <row r="1840" spans="43:48" x14ac:dyDescent="0.2">
      <c r="AQ1840" s="4" t="str">
        <f t="shared" ca="1" si="323"/>
        <v/>
      </c>
      <c r="AR1840" s="3" t="str">
        <f t="shared" ca="1" si="325"/>
        <v/>
      </c>
      <c r="AS1840" s="63" t="str">
        <f ca="1">IF($AQ1840&lt;&gt;"", INDEX(Inputs!$B$3:$B$101, MATCH($AQ1840,Inputs!$A$3:$A$101,1)), "")</f>
        <v/>
      </c>
      <c r="AT1840" s="48" t="str">
        <f t="shared" ca="1" si="324"/>
        <v/>
      </c>
      <c r="AU1840" s="3" t="str">
        <f t="shared" ca="1" si="326"/>
        <v/>
      </c>
      <c r="AV1840" s="3" t="str">
        <f t="shared" ca="1" si="327"/>
        <v/>
      </c>
    </row>
    <row r="1841" spans="43:48" x14ac:dyDescent="0.2">
      <c r="AQ1841" s="4" t="str">
        <f t="shared" ca="1" si="323"/>
        <v/>
      </c>
      <c r="AR1841" s="3" t="str">
        <f t="shared" ca="1" si="325"/>
        <v/>
      </c>
      <c r="AS1841" s="63" t="str">
        <f ca="1">IF($AQ1841&lt;&gt;"", INDEX(Inputs!$B$3:$B$101, MATCH($AQ1841,Inputs!$A$3:$A$101,1)), "")</f>
        <v/>
      </c>
      <c r="AT1841" s="48" t="str">
        <f t="shared" ca="1" si="324"/>
        <v/>
      </c>
      <c r="AU1841" s="3" t="str">
        <f t="shared" ca="1" si="326"/>
        <v/>
      </c>
      <c r="AV1841" s="3" t="str">
        <f t="shared" ca="1" si="327"/>
        <v/>
      </c>
    </row>
    <row r="1842" spans="43:48" x14ac:dyDescent="0.2">
      <c r="AQ1842" s="4" t="str">
        <f t="shared" ca="1" si="323"/>
        <v/>
      </c>
      <c r="AR1842" s="3" t="str">
        <f t="shared" ca="1" si="325"/>
        <v/>
      </c>
      <c r="AS1842" s="63" t="str">
        <f ca="1">IF($AQ1842&lt;&gt;"", INDEX(Inputs!$B$3:$B$101, MATCH($AQ1842,Inputs!$A$3:$A$101,1)), "")</f>
        <v/>
      </c>
      <c r="AT1842" s="48" t="str">
        <f t="shared" ca="1" si="324"/>
        <v/>
      </c>
      <c r="AU1842" s="3" t="str">
        <f t="shared" ca="1" si="326"/>
        <v/>
      </c>
      <c r="AV1842" s="3" t="str">
        <f t="shared" ca="1" si="327"/>
        <v/>
      </c>
    </row>
    <row r="1843" spans="43:48" x14ac:dyDescent="0.2">
      <c r="AQ1843" s="4" t="str">
        <f t="shared" ca="1" si="323"/>
        <v/>
      </c>
      <c r="AR1843" s="3" t="str">
        <f t="shared" ca="1" si="325"/>
        <v/>
      </c>
      <c r="AS1843" s="63" t="str">
        <f ca="1">IF($AQ1843&lt;&gt;"", INDEX(Inputs!$B$3:$B$101, MATCH($AQ1843,Inputs!$A$3:$A$101,1)), "")</f>
        <v/>
      </c>
      <c r="AT1843" s="48" t="str">
        <f t="shared" ca="1" si="324"/>
        <v/>
      </c>
      <c r="AU1843" s="3" t="str">
        <f t="shared" ca="1" si="326"/>
        <v/>
      </c>
      <c r="AV1843" s="3" t="str">
        <f t="shared" ca="1" si="327"/>
        <v/>
      </c>
    </row>
    <row r="1844" spans="43:48" x14ac:dyDescent="0.2">
      <c r="AQ1844" s="4" t="str">
        <f t="shared" ca="1" si="323"/>
        <v/>
      </c>
      <c r="AR1844" s="3" t="str">
        <f t="shared" ca="1" si="325"/>
        <v/>
      </c>
      <c r="AS1844" s="63" t="str">
        <f ca="1">IF($AQ1844&lt;&gt;"", INDEX(Inputs!$B$3:$B$101, MATCH($AQ1844,Inputs!$A$3:$A$101,1)), "")</f>
        <v/>
      </c>
      <c r="AT1844" s="48" t="str">
        <f t="shared" ca="1" si="324"/>
        <v/>
      </c>
      <c r="AU1844" s="3" t="str">
        <f t="shared" ca="1" si="326"/>
        <v/>
      </c>
      <c r="AV1844" s="3" t="str">
        <f t="shared" ca="1" si="327"/>
        <v/>
      </c>
    </row>
    <row r="1845" spans="43:48" x14ac:dyDescent="0.2">
      <c r="AQ1845" s="4" t="str">
        <f t="shared" ca="1" si="323"/>
        <v/>
      </c>
      <c r="AR1845" s="3" t="str">
        <f t="shared" ca="1" si="325"/>
        <v/>
      </c>
      <c r="AS1845" s="63" t="str">
        <f ca="1">IF($AQ1845&lt;&gt;"", INDEX(Inputs!$B$3:$B$101, MATCH($AQ1845,Inputs!$A$3:$A$101,1)), "")</f>
        <v/>
      </c>
      <c r="AT1845" s="48" t="str">
        <f t="shared" ca="1" si="324"/>
        <v/>
      </c>
      <c r="AU1845" s="3" t="str">
        <f t="shared" ca="1" si="326"/>
        <v/>
      </c>
      <c r="AV1845" s="3" t="str">
        <f t="shared" ca="1" si="327"/>
        <v/>
      </c>
    </row>
    <row r="1846" spans="43:48" x14ac:dyDescent="0.2">
      <c r="AQ1846" s="4" t="str">
        <f t="shared" ca="1" si="323"/>
        <v/>
      </c>
      <c r="AR1846" s="3" t="str">
        <f t="shared" ca="1" si="325"/>
        <v/>
      </c>
      <c r="AS1846" s="63" t="str">
        <f ca="1">IF($AQ1846&lt;&gt;"", INDEX(Inputs!$B$3:$B$101, MATCH($AQ1846,Inputs!$A$3:$A$101,1)), "")</f>
        <v/>
      </c>
      <c r="AT1846" s="48" t="str">
        <f t="shared" ca="1" si="324"/>
        <v/>
      </c>
      <c r="AU1846" s="3" t="str">
        <f t="shared" ca="1" si="326"/>
        <v/>
      </c>
      <c r="AV1846" s="3" t="str">
        <f t="shared" ca="1" si="327"/>
        <v/>
      </c>
    </row>
    <row r="1847" spans="43:48" x14ac:dyDescent="0.2">
      <c r="AQ1847" s="4" t="str">
        <f t="shared" ca="1" si="323"/>
        <v/>
      </c>
      <c r="AR1847" s="3" t="str">
        <f t="shared" ca="1" si="325"/>
        <v/>
      </c>
      <c r="AS1847" s="63" t="str">
        <f ca="1">IF($AQ1847&lt;&gt;"", INDEX(Inputs!$B$3:$B$101, MATCH($AQ1847,Inputs!$A$3:$A$101,1)), "")</f>
        <v/>
      </c>
      <c r="AT1847" s="48" t="str">
        <f t="shared" ca="1" si="324"/>
        <v/>
      </c>
      <c r="AU1847" s="3" t="str">
        <f t="shared" ca="1" si="326"/>
        <v/>
      </c>
      <c r="AV1847" s="3" t="str">
        <f t="shared" ca="1" si="327"/>
        <v/>
      </c>
    </row>
    <row r="1848" spans="43:48" x14ac:dyDescent="0.2">
      <c r="AQ1848" s="4" t="str">
        <f t="shared" ca="1" si="323"/>
        <v/>
      </c>
      <c r="AR1848" s="3" t="str">
        <f t="shared" ca="1" si="325"/>
        <v/>
      </c>
      <c r="AS1848" s="63" t="str">
        <f ca="1">IF($AQ1848&lt;&gt;"", INDEX(Inputs!$B$3:$B$101, MATCH($AQ1848,Inputs!$A$3:$A$101,1)), "")</f>
        <v/>
      </c>
      <c r="AT1848" s="48" t="str">
        <f t="shared" ca="1" si="324"/>
        <v/>
      </c>
      <c r="AU1848" s="3" t="str">
        <f t="shared" ca="1" si="326"/>
        <v/>
      </c>
      <c r="AV1848" s="3" t="str">
        <f t="shared" ca="1" si="327"/>
        <v/>
      </c>
    </row>
    <row r="1849" spans="43:48" x14ac:dyDescent="0.2">
      <c r="AQ1849" s="4" t="str">
        <f t="shared" ref="AQ1849:AQ1912" ca="1" si="328">IF(AQ1848&lt;$AP$3,AQ1848+1,"")</f>
        <v/>
      </c>
      <c r="AR1849" s="3" t="str">
        <f t="shared" ca="1" si="325"/>
        <v/>
      </c>
      <c r="AS1849" s="63" t="str">
        <f ca="1">IF($AQ1849&lt;&gt;"", INDEX(Inputs!$B$3:$B$101, MATCH($AQ1849,Inputs!$A$3:$A$101,1)), "")</f>
        <v/>
      </c>
      <c r="AT1849" s="48" t="str">
        <f t="shared" ref="AT1849:AT1912" ca="1" si="329">IF($AQ1849&lt;&gt;"", AR1849*AS1849/365, "")</f>
        <v/>
      </c>
      <c r="AU1849" s="3" t="str">
        <f t="shared" ca="1" si="326"/>
        <v/>
      </c>
      <c r="AV1849" s="3" t="str">
        <f t="shared" ca="1" si="327"/>
        <v/>
      </c>
    </row>
    <row r="1850" spans="43:48" x14ac:dyDescent="0.2">
      <c r="AQ1850" s="4" t="str">
        <f t="shared" ca="1" si="328"/>
        <v/>
      </c>
      <c r="AR1850" s="3" t="str">
        <f t="shared" ca="1" si="325"/>
        <v/>
      </c>
      <c r="AS1850" s="63" t="str">
        <f ca="1">IF($AQ1850&lt;&gt;"", INDEX(Inputs!$B$3:$B$101, MATCH($AQ1850,Inputs!$A$3:$A$101,1)), "")</f>
        <v/>
      </c>
      <c r="AT1850" s="48" t="str">
        <f t="shared" ca="1" si="329"/>
        <v/>
      </c>
      <c r="AU1850" s="3" t="str">
        <f t="shared" ca="1" si="326"/>
        <v/>
      </c>
      <c r="AV1850" s="3" t="str">
        <f t="shared" ca="1" si="327"/>
        <v/>
      </c>
    </row>
    <row r="1851" spans="43:48" x14ac:dyDescent="0.2">
      <c r="AQ1851" s="4" t="str">
        <f t="shared" ca="1" si="328"/>
        <v/>
      </c>
      <c r="AR1851" s="3" t="str">
        <f t="shared" ca="1" si="325"/>
        <v/>
      </c>
      <c r="AS1851" s="63" t="str">
        <f ca="1">IF($AQ1851&lt;&gt;"", INDEX(Inputs!$B$3:$B$101, MATCH($AQ1851,Inputs!$A$3:$A$101,1)), "")</f>
        <v/>
      </c>
      <c r="AT1851" s="48" t="str">
        <f t="shared" ca="1" si="329"/>
        <v/>
      </c>
      <c r="AU1851" s="3" t="str">
        <f t="shared" ca="1" si="326"/>
        <v/>
      </c>
      <c r="AV1851" s="3" t="str">
        <f t="shared" ca="1" si="327"/>
        <v/>
      </c>
    </row>
    <row r="1852" spans="43:48" x14ac:dyDescent="0.2">
      <c r="AQ1852" s="4" t="str">
        <f t="shared" ca="1" si="328"/>
        <v/>
      </c>
      <c r="AR1852" s="3" t="str">
        <f t="shared" ca="1" si="325"/>
        <v/>
      </c>
      <c r="AS1852" s="63" t="str">
        <f ca="1">IF($AQ1852&lt;&gt;"", INDEX(Inputs!$B$3:$B$101, MATCH($AQ1852,Inputs!$A$3:$A$101,1)), "")</f>
        <v/>
      </c>
      <c r="AT1852" s="48" t="str">
        <f t="shared" ca="1" si="329"/>
        <v/>
      </c>
      <c r="AU1852" s="3" t="str">
        <f t="shared" ca="1" si="326"/>
        <v/>
      </c>
      <c r="AV1852" s="3" t="str">
        <f t="shared" ca="1" si="327"/>
        <v/>
      </c>
    </row>
    <row r="1853" spans="43:48" x14ac:dyDescent="0.2">
      <c r="AQ1853" s="4" t="str">
        <f t="shared" ca="1" si="328"/>
        <v/>
      </c>
      <c r="AR1853" s="3" t="str">
        <f t="shared" ca="1" si="325"/>
        <v/>
      </c>
      <c r="AS1853" s="63" t="str">
        <f ca="1">IF($AQ1853&lt;&gt;"", INDEX(Inputs!$B$3:$B$101, MATCH($AQ1853,Inputs!$A$3:$A$101,1)), "")</f>
        <v/>
      </c>
      <c r="AT1853" s="48" t="str">
        <f t="shared" ca="1" si="329"/>
        <v/>
      </c>
      <c r="AU1853" s="3" t="str">
        <f t="shared" ca="1" si="326"/>
        <v/>
      </c>
      <c r="AV1853" s="3" t="str">
        <f t="shared" ca="1" si="327"/>
        <v/>
      </c>
    </row>
    <row r="1854" spans="43:48" x14ac:dyDescent="0.2">
      <c r="AQ1854" s="4" t="str">
        <f t="shared" ca="1" si="328"/>
        <v/>
      </c>
      <c r="AR1854" s="3" t="str">
        <f t="shared" ca="1" si="325"/>
        <v/>
      </c>
      <c r="AS1854" s="63" t="str">
        <f ca="1">IF($AQ1854&lt;&gt;"", INDEX(Inputs!$B$3:$B$101, MATCH($AQ1854,Inputs!$A$3:$A$101,1)), "")</f>
        <v/>
      </c>
      <c r="AT1854" s="48" t="str">
        <f t="shared" ca="1" si="329"/>
        <v/>
      </c>
      <c r="AU1854" s="3" t="str">
        <f t="shared" ca="1" si="326"/>
        <v/>
      </c>
      <c r="AV1854" s="3" t="str">
        <f t="shared" ca="1" si="327"/>
        <v/>
      </c>
    </row>
    <row r="1855" spans="43:48" x14ac:dyDescent="0.2">
      <c r="AQ1855" s="4" t="str">
        <f t="shared" ca="1" si="328"/>
        <v/>
      </c>
      <c r="AR1855" s="3" t="str">
        <f t="shared" ca="1" si="325"/>
        <v/>
      </c>
      <c r="AS1855" s="63" t="str">
        <f ca="1">IF($AQ1855&lt;&gt;"", INDEX(Inputs!$B$3:$B$101, MATCH($AQ1855,Inputs!$A$3:$A$101,1)), "")</f>
        <v/>
      </c>
      <c r="AT1855" s="48" t="str">
        <f t="shared" ca="1" si="329"/>
        <v/>
      </c>
      <c r="AU1855" s="3" t="str">
        <f t="shared" ca="1" si="326"/>
        <v/>
      </c>
      <c r="AV1855" s="3" t="str">
        <f t="shared" ca="1" si="327"/>
        <v/>
      </c>
    </row>
    <row r="1856" spans="43:48" x14ac:dyDescent="0.2">
      <c r="AQ1856" s="4" t="str">
        <f t="shared" ca="1" si="328"/>
        <v/>
      </c>
      <c r="AR1856" s="3" t="str">
        <f t="shared" ca="1" si="325"/>
        <v/>
      </c>
      <c r="AS1856" s="63" t="str">
        <f ca="1">IF($AQ1856&lt;&gt;"", INDEX(Inputs!$B$3:$B$101, MATCH($AQ1856,Inputs!$A$3:$A$101,1)), "")</f>
        <v/>
      </c>
      <c r="AT1856" s="48" t="str">
        <f t="shared" ca="1" si="329"/>
        <v/>
      </c>
      <c r="AU1856" s="3" t="str">
        <f t="shared" ca="1" si="326"/>
        <v/>
      </c>
      <c r="AV1856" s="3" t="str">
        <f t="shared" ca="1" si="327"/>
        <v/>
      </c>
    </row>
    <row r="1857" spans="43:48" x14ac:dyDescent="0.2">
      <c r="AQ1857" s="4" t="str">
        <f t="shared" ca="1" si="328"/>
        <v/>
      </c>
      <c r="AR1857" s="3" t="str">
        <f t="shared" ca="1" si="325"/>
        <v/>
      </c>
      <c r="AS1857" s="63" t="str">
        <f ca="1">IF($AQ1857&lt;&gt;"", INDEX(Inputs!$B$3:$B$101, MATCH($AQ1857,Inputs!$A$3:$A$101,1)), "")</f>
        <v/>
      </c>
      <c r="AT1857" s="48" t="str">
        <f t="shared" ca="1" si="329"/>
        <v/>
      </c>
      <c r="AU1857" s="3" t="str">
        <f t="shared" ca="1" si="326"/>
        <v/>
      </c>
      <c r="AV1857" s="3" t="str">
        <f t="shared" ca="1" si="327"/>
        <v/>
      </c>
    </row>
    <row r="1858" spans="43:48" x14ac:dyDescent="0.2">
      <c r="AQ1858" s="4" t="str">
        <f t="shared" ca="1" si="328"/>
        <v/>
      </c>
      <c r="AR1858" s="3" t="str">
        <f t="shared" ca="1" si="325"/>
        <v/>
      </c>
      <c r="AS1858" s="63" t="str">
        <f ca="1">IF($AQ1858&lt;&gt;"", INDEX(Inputs!$B$3:$B$101, MATCH($AQ1858,Inputs!$A$3:$A$101,1)), "")</f>
        <v/>
      </c>
      <c r="AT1858" s="48" t="str">
        <f t="shared" ca="1" si="329"/>
        <v/>
      </c>
      <c r="AU1858" s="3" t="str">
        <f t="shared" ca="1" si="326"/>
        <v/>
      </c>
      <c r="AV1858" s="3" t="str">
        <f t="shared" ca="1" si="327"/>
        <v/>
      </c>
    </row>
    <row r="1859" spans="43:48" x14ac:dyDescent="0.2">
      <c r="AQ1859" s="4" t="str">
        <f t="shared" ca="1" si="328"/>
        <v/>
      </c>
      <c r="AR1859" s="3" t="str">
        <f t="shared" ca="1" si="325"/>
        <v/>
      </c>
      <c r="AS1859" s="63" t="str">
        <f ca="1">IF($AQ1859&lt;&gt;"", INDEX(Inputs!$B$3:$B$101, MATCH($AQ1859,Inputs!$A$3:$A$101,1)), "")</f>
        <v/>
      </c>
      <c r="AT1859" s="48" t="str">
        <f t="shared" ca="1" si="329"/>
        <v/>
      </c>
      <c r="AU1859" s="3" t="str">
        <f t="shared" ca="1" si="326"/>
        <v/>
      </c>
      <c r="AV1859" s="3" t="str">
        <f t="shared" ca="1" si="327"/>
        <v/>
      </c>
    </row>
    <row r="1860" spans="43:48" x14ac:dyDescent="0.2">
      <c r="AQ1860" s="4" t="str">
        <f t="shared" ca="1" si="328"/>
        <v/>
      </c>
      <c r="AR1860" s="3" t="str">
        <f t="shared" ca="1" si="325"/>
        <v/>
      </c>
      <c r="AS1860" s="63" t="str">
        <f ca="1">IF($AQ1860&lt;&gt;"", INDEX(Inputs!$B$3:$B$101, MATCH($AQ1860,Inputs!$A$3:$A$101,1)), "")</f>
        <v/>
      </c>
      <c r="AT1860" s="48" t="str">
        <f t="shared" ca="1" si="329"/>
        <v/>
      </c>
      <c r="AU1860" s="3" t="str">
        <f t="shared" ca="1" si="326"/>
        <v/>
      </c>
      <c r="AV1860" s="3" t="str">
        <f t="shared" ca="1" si="327"/>
        <v/>
      </c>
    </row>
    <row r="1861" spans="43:48" x14ac:dyDescent="0.2">
      <c r="AQ1861" s="4" t="str">
        <f t="shared" ca="1" si="328"/>
        <v/>
      </c>
      <c r="AR1861" s="3" t="str">
        <f t="shared" ca="1" si="325"/>
        <v/>
      </c>
      <c r="AS1861" s="63" t="str">
        <f ca="1">IF($AQ1861&lt;&gt;"", INDEX(Inputs!$B$3:$B$101, MATCH($AQ1861,Inputs!$A$3:$A$101,1)), "")</f>
        <v/>
      </c>
      <c r="AT1861" s="48" t="str">
        <f t="shared" ca="1" si="329"/>
        <v/>
      </c>
      <c r="AU1861" s="3" t="str">
        <f t="shared" ca="1" si="326"/>
        <v/>
      </c>
      <c r="AV1861" s="3" t="str">
        <f t="shared" ca="1" si="327"/>
        <v/>
      </c>
    </row>
    <row r="1862" spans="43:48" x14ac:dyDescent="0.2">
      <c r="AQ1862" s="4" t="str">
        <f t="shared" ca="1" si="328"/>
        <v/>
      </c>
      <c r="AR1862" s="3" t="str">
        <f t="shared" ca="1" si="325"/>
        <v/>
      </c>
      <c r="AS1862" s="63" t="str">
        <f ca="1">IF($AQ1862&lt;&gt;"", INDEX(Inputs!$B$3:$B$101, MATCH($AQ1862,Inputs!$A$3:$A$101,1)), "")</f>
        <v/>
      </c>
      <c r="AT1862" s="48" t="str">
        <f t="shared" ca="1" si="329"/>
        <v/>
      </c>
      <c r="AU1862" s="3" t="str">
        <f t="shared" ca="1" si="326"/>
        <v/>
      </c>
      <c r="AV1862" s="3" t="str">
        <f t="shared" ca="1" si="327"/>
        <v/>
      </c>
    </row>
    <row r="1863" spans="43:48" x14ac:dyDescent="0.2">
      <c r="AQ1863" s="4" t="str">
        <f t="shared" ca="1" si="328"/>
        <v/>
      </c>
      <c r="AR1863" s="3" t="str">
        <f t="shared" ca="1" si="325"/>
        <v/>
      </c>
      <c r="AS1863" s="63" t="str">
        <f ca="1">IF($AQ1863&lt;&gt;"", INDEX(Inputs!$B$3:$B$101, MATCH($AQ1863,Inputs!$A$3:$A$101,1)), "")</f>
        <v/>
      </c>
      <c r="AT1863" s="48" t="str">
        <f t="shared" ca="1" si="329"/>
        <v/>
      </c>
      <c r="AU1863" s="3" t="str">
        <f t="shared" ca="1" si="326"/>
        <v/>
      </c>
      <c r="AV1863" s="3" t="str">
        <f t="shared" ca="1" si="327"/>
        <v/>
      </c>
    </row>
    <row r="1864" spans="43:48" x14ac:dyDescent="0.2">
      <c r="AQ1864" s="4" t="str">
        <f t="shared" ca="1" si="328"/>
        <v/>
      </c>
      <c r="AR1864" s="3" t="str">
        <f t="shared" ca="1" si="325"/>
        <v/>
      </c>
      <c r="AS1864" s="63" t="str">
        <f ca="1">IF($AQ1864&lt;&gt;"", INDEX(Inputs!$B$3:$B$101, MATCH($AQ1864,Inputs!$A$3:$A$101,1)), "")</f>
        <v/>
      </c>
      <c r="AT1864" s="48" t="str">
        <f t="shared" ca="1" si="329"/>
        <v/>
      </c>
      <c r="AU1864" s="3" t="str">
        <f t="shared" ca="1" si="326"/>
        <v/>
      </c>
      <c r="AV1864" s="3" t="str">
        <f t="shared" ca="1" si="327"/>
        <v/>
      </c>
    </row>
    <row r="1865" spans="43:48" x14ac:dyDescent="0.2">
      <c r="AQ1865" s="4" t="str">
        <f t="shared" ca="1" si="328"/>
        <v/>
      </c>
      <c r="AR1865" s="3" t="str">
        <f t="shared" ca="1" si="325"/>
        <v/>
      </c>
      <c r="AS1865" s="63" t="str">
        <f ca="1">IF($AQ1865&lt;&gt;"", INDEX(Inputs!$B$3:$B$101, MATCH($AQ1865,Inputs!$A$3:$A$101,1)), "")</f>
        <v/>
      </c>
      <c r="AT1865" s="48" t="str">
        <f t="shared" ca="1" si="329"/>
        <v/>
      </c>
      <c r="AU1865" s="3" t="str">
        <f t="shared" ca="1" si="326"/>
        <v/>
      </c>
      <c r="AV1865" s="3" t="str">
        <f t="shared" ca="1" si="327"/>
        <v/>
      </c>
    </row>
    <row r="1866" spans="43:48" x14ac:dyDescent="0.2">
      <c r="AQ1866" s="4" t="str">
        <f t="shared" ca="1" si="328"/>
        <v/>
      </c>
      <c r="AR1866" s="3" t="str">
        <f t="shared" ca="1" si="325"/>
        <v/>
      </c>
      <c r="AS1866" s="63" t="str">
        <f ca="1">IF($AQ1866&lt;&gt;"", INDEX(Inputs!$B$3:$B$101, MATCH($AQ1866,Inputs!$A$3:$A$101,1)), "")</f>
        <v/>
      </c>
      <c r="AT1866" s="48" t="str">
        <f t="shared" ca="1" si="329"/>
        <v/>
      </c>
      <c r="AU1866" s="3" t="str">
        <f t="shared" ca="1" si="326"/>
        <v/>
      </c>
      <c r="AV1866" s="3" t="str">
        <f t="shared" ca="1" si="327"/>
        <v/>
      </c>
    </row>
    <row r="1867" spans="43:48" x14ac:dyDescent="0.2">
      <c r="AQ1867" s="4" t="str">
        <f t="shared" ca="1" si="328"/>
        <v/>
      </c>
      <c r="AR1867" s="3" t="str">
        <f t="shared" ca="1" si="325"/>
        <v/>
      </c>
      <c r="AS1867" s="63" t="str">
        <f ca="1">IF($AQ1867&lt;&gt;"", INDEX(Inputs!$B$3:$B$101, MATCH($AQ1867,Inputs!$A$3:$A$101,1)), "")</f>
        <v/>
      </c>
      <c r="AT1867" s="48" t="str">
        <f t="shared" ca="1" si="329"/>
        <v/>
      </c>
      <c r="AU1867" s="3" t="str">
        <f t="shared" ca="1" si="326"/>
        <v/>
      </c>
      <c r="AV1867" s="3" t="str">
        <f t="shared" ca="1" si="327"/>
        <v/>
      </c>
    </row>
    <row r="1868" spans="43:48" x14ac:dyDescent="0.2">
      <c r="AQ1868" s="4" t="str">
        <f t="shared" ca="1" si="328"/>
        <v/>
      </c>
      <c r="AR1868" s="3" t="str">
        <f t="shared" ca="1" si="325"/>
        <v/>
      </c>
      <c r="AS1868" s="63" t="str">
        <f ca="1">IF($AQ1868&lt;&gt;"", INDEX(Inputs!$B$3:$B$101, MATCH($AQ1868,Inputs!$A$3:$A$101,1)), "")</f>
        <v/>
      </c>
      <c r="AT1868" s="48" t="str">
        <f t="shared" ca="1" si="329"/>
        <v/>
      </c>
      <c r="AU1868" s="3" t="str">
        <f t="shared" ca="1" si="326"/>
        <v/>
      </c>
      <c r="AV1868" s="3" t="str">
        <f t="shared" ca="1" si="327"/>
        <v/>
      </c>
    </row>
    <row r="1869" spans="43:48" x14ac:dyDescent="0.2">
      <c r="AQ1869" s="4" t="str">
        <f t="shared" ca="1" si="328"/>
        <v/>
      </c>
      <c r="AR1869" s="3" t="str">
        <f t="shared" ca="1" si="325"/>
        <v/>
      </c>
      <c r="AS1869" s="63" t="str">
        <f ca="1">IF($AQ1869&lt;&gt;"", INDEX(Inputs!$B$3:$B$101, MATCH($AQ1869,Inputs!$A$3:$A$101,1)), "")</f>
        <v/>
      </c>
      <c r="AT1869" s="48" t="str">
        <f t="shared" ca="1" si="329"/>
        <v/>
      </c>
      <c r="AU1869" s="3" t="str">
        <f t="shared" ca="1" si="326"/>
        <v/>
      </c>
      <c r="AV1869" s="3" t="str">
        <f t="shared" ca="1" si="327"/>
        <v/>
      </c>
    </row>
    <row r="1870" spans="43:48" x14ac:dyDescent="0.2">
      <c r="AQ1870" s="4" t="str">
        <f t="shared" ca="1" si="328"/>
        <v/>
      </c>
      <c r="AR1870" s="3" t="str">
        <f t="shared" ca="1" si="325"/>
        <v/>
      </c>
      <c r="AS1870" s="63" t="str">
        <f ca="1">IF($AQ1870&lt;&gt;"", INDEX(Inputs!$B$3:$B$101, MATCH($AQ1870,Inputs!$A$3:$A$101,1)), "")</f>
        <v/>
      </c>
      <c r="AT1870" s="48" t="str">
        <f t="shared" ca="1" si="329"/>
        <v/>
      </c>
      <c r="AU1870" s="3" t="str">
        <f t="shared" ca="1" si="326"/>
        <v/>
      </c>
      <c r="AV1870" s="3" t="str">
        <f t="shared" ca="1" si="327"/>
        <v/>
      </c>
    </row>
    <row r="1871" spans="43:48" x14ac:dyDescent="0.2">
      <c r="AQ1871" s="4" t="str">
        <f t="shared" ca="1" si="328"/>
        <v/>
      </c>
      <c r="AR1871" s="3" t="str">
        <f t="shared" ca="1" si="325"/>
        <v/>
      </c>
      <c r="AS1871" s="63" t="str">
        <f ca="1">IF($AQ1871&lt;&gt;"", INDEX(Inputs!$B$3:$B$101, MATCH($AQ1871,Inputs!$A$3:$A$101,1)), "")</f>
        <v/>
      </c>
      <c r="AT1871" s="48" t="str">
        <f t="shared" ca="1" si="329"/>
        <v/>
      </c>
      <c r="AU1871" s="3" t="str">
        <f t="shared" ca="1" si="326"/>
        <v/>
      </c>
      <c r="AV1871" s="3" t="str">
        <f t="shared" ca="1" si="327"/>
        <v/>
      </c>
    </row>
    <row r="1872" spans="43:48" x14ac:dyDescent="0.2">
      <c r="AQ1872" s="4" t="str">
        <f t="shared" ca="1" si="328"/>
        <v/>
      </c>
      <c r="AR1872" s="3" t="str">
        <f t="shared" ca="1" si="325"/>
        <v/>
      </c>
      <c r="AS1872" s="63" t="str">
        <f ca="1">IF($AQ1872&lt;&gt;"", INDEX(Inputs!$B$3:$B$101, MATCH($AQ1872,Inputs!$A$3:$A$101,1)), "")</f>
        <v/>
      </c>
      <c r="AT1872" s="48" t="str">
        <f t="shared" ca="1" si="329"/>
        <v/>
      </c>
      <c r="AU1872" s="3" t="str">
        <f t="shared" ca="1" si="326"/>
        <v/>
      </c>
      <c r="AV1872" s="3" t="str">
        <f t="shared" ca="1" si="327"/>
        <v/>
      </c>
    </row>
    <row r="1873" spans="43:48" x14ac:dyDescent="0.2">
      <c r="AQ1873" s="4" t="str">
        <f t="shared" ca="1" si="328"/>
        <v/>
      </c>
      <c r="AR1873" s="3" t="str">
        <f t="shared" ca="1" si="325"/>
        <v/>
      </c>
      <c r="AS1873" s="63" t="str">
        <f ca="1">IF($AQ1873&lt;&gt;"", INDEX(Inputs!$B$3:$B$101, MATCH($AQ1873,Inputs!$A$3:$A$101,1)), "")</f>
        <v/>
      </c>
      <c r="AT1873" s="48" t="str">
        <f t="shared" ca="1" si="329"/>
        <v/>
      </c>
      <c r="AU1873" s="3" t="str">
        <f t="shared" ca="1" si="326"/>
        <v/>
      </c>
      <c r="AV1873" s="3" t="str">
        <f t="shared" ca="1" si="327"/>
        <v/>
      </c>
    </row>
    <row r="1874" spans="43:48" x14ac:dyDescent="0.2">
      <c r="AQ1874" s="4" t="str">
        <f t="shared" ca="1" si="328"/>
        <v/>
      </c>
      <c r="AR1874" s="3" t="str">
        <f t="shared" ca="1" si="325"/>
        <v/>
      </c>
      <c r="AS1874" s="63" t="str">
        <f ca="1">IF($AQ1874&lt;&gt;"", INDEX(Inputs!$B$3:$B$101, MATCH($AQ1874,Inputs!$A$3:$A$101,1)), "")</f>
        <v/>
      </c>
      <c r="AT1874" s="48" t="str">
        <f t="shared" ca="1" si="329"/>
        <v/>
      </c>
      <c r="AU1874" s="3" t="str">
        <f t="shared" ca="1" si="326"/>
        <v/>
      </c>
      <c r="AV1874" s="3" t="str">
        <f t="shared" ca="1" si="327"/>
        <v/>
      </c>
    </row>
    <row r="1875" spans="43:48" x14ac:dyDescent="0.2">
      <c r="AQ1875" s="4" t="str">
        <f t="shared" ca="1" si="328"/>
        <v/>
      </c>
      <c r="AR1875" s="3" t="str">
        <f t="shared" ca="1" si="325"/>
        <v/>
      </c>
      <c r="AS1875" s="63" t="str">
        <f ca="1">IF($AQ1875&lt;&gt;"", INDEX(Inputs!$B$3:$B$101, MATCH($AQ1875,Inputs!$A$3:$A$101,1)), "")</f>
        <v/>
      </c>
      <c r="AT1875" s="48" t="str">
        <f t="shared" ca="1" si="329"/>
        <v/>
      </c>
      <c r="AU1875" s="3" t="str">
        <f t="shared" ca="1" si="326"/>
        <v/>
      </c>
      <c r="AV1875" s="3" t="str">
        <f t="shared" ca="1" si="327"/>
        <v/>
      </c>
    </row>
    <row r="1876" spans="43:48" x14ac:dyDescent="0.2">
      <c r="AQ1876" s="4" t="str">
        <f t="shared" ca="1" si="328"/>
        <v/>
      </c>
      <c r="AR1876" s="3" t="str">
        <f t="shared" ca="1" si="325"/>
        <v/>
      </c>
      <c r="AS1876" s="63" t="str">
        <f ca="1">IF($AQ1876&lt;&gt;"", INDEX(Inputs!$B$3:$B$101, MATCH($AQ1876,Inputs!$A$3:$A$101,1)), "")</f>
        <v/>
      </c>
      <c r="AT1876" s="48" t="str">
        <f t="shared" ca="1" si="329"/>
        <v/>
      </c>
      <c r="AU1876" s="3" t="str">
        <f t="shared" ca="1" si="326"/>
        <v/>
      </c>
      <c r="AV1876" s="3" t="str">
        <f t="shared" ca="1" si="327"/>
        <v/>
      </c>
    </row>
    <row r="1877" spans="43:48" x14ac:dyDescent="0.2">
      <c r="AQ1877" s="4" t="str">
        <f t="shared" ca="1" si="328"/>
        <v/>
      </c>
      <c r="AR1877" s="3" t="str">
        <f t="shared" ca="1" si="325"/>
        <v/>
      </c>
      <c r="AS1877" s="63" t="str">
        <f ca="1">IF($AQ1877&lt;&gt;"", INDEX(Inputs!$B$3:$B$101, MATCH($AQ1877,Inputs!$A$3:$A$101,1)), "")</f>
        <v/>
      </c>
      <c r="AT1877" s="48" t="str">
        <f t="shared" ca="1" si="329"/>
        <v/>
      </c>
      <c r="AU1877" s="3" t="str">
        <f t="shared" ca="1" si="326"/>
        <v/>
      </c>
      <c r="AV1877" s="3" t="str">
        <f t="shared" ca="1" si="327"/>
        <v/>
      </c>
    </row>
    <row r="1878" spans="43:48" x14ac:dyDescent="0.2">
      <c r="AQ1878" s="4" t="str">
        <f t="shared" ca="1" si="328"/>
        <v/>
      </c>
      <c r="AR1878" s="3" t="str">
        <f t="shared" ca="1" si="325"/>
        <v/>
      </c>
      <c r="AS1878" s="63" t="str">
        <f ca="1">IF($AQ1878&lt;&gt;"", INDEX(Inputs!$B$3:$B$101, MATCH($AQ1878,Inputs!$A$3:$A$101,1)), "")</f>
        <v/>
      </c>
      <c r="AT1878" s="48" t="str">
        <f t="shared" ca="1" si="329"/>
        <v/>
      </c>
      <c r="AU1878" s="3" t="str">
        <f t="shared" ca="1" si="326"/>
        <v/>
      </c>
      <c r="AV1878" s="3" t="str">
        <f t="shared" ca="1" si="327"/>
        <v/>
      </c>
    </row>
    <row r="1879" spans="43:48" x14ac:dyDescent="0.2">
      <c r="AQ1879" s="4" t="str">
        <f t="shared" ca="1" si="328"/>
        <v/>
      </c>
      <c r="AR1879" s="3" t="str">
        <f t="shared" ca="1" si="325"/>
        <v/>
      </c>
      <c r="AS1879" s="63" t="str">
        <f ca="1">IF($AQ1879&lt;&gt;"", INDEX(Inputs!$B$3:$B$101, MATCH($AQ1879,Inputs!$A$3:$A$101,1)), "")</f>
        <v/>
      </c>
      <c r="AT1879" s="48" t="str">
        <f t="shared" ca="1" si="329"/>
        <v/>
      </c>
      <c r="AU1879" s="3" t="str">
        <f t="shared" ca="1" si="326"/>
        <v/>
      </c>
      <c r="AV1879" s="3" t="str">
        <f t="shared" ca="1" si="327"/>
        <v/>
      </c>
    </row>
    <row r="1880" spans="43:48" x14ac:dyDescent="0.2">
      <c r="AQ1880" s="4" t="str">
        <f t="shared" ca="1" si="328"/>
        <v/>
      </c>
      <c r="AR1880" s="3" t="str">
        <f t="shared" ca="1" si="325"/>
        <v/>
      </c>
      <c r="AS1880" s="63" t="str">
        <f ca="1">IF($AQ1880&lt;&gt;"", INDEX(Inputs!$B$3:$B$101, MATCH($AQ1880,Inputs!$A$3:$A$101,1)), "")</f>
        <v/>
      </c>
      <c r="AT1880" s="48" t="str">
        <f t="shared" ca="1" si="329"/>
        <v/>
      </c>
      <c r="AU1880" s="3" t="str">
        <f t="shared" ca="1" si="326"/>
        <v/>
      </c>
      <c r="AV1880" s="3" t="str">
        <f t="shared" ca="1" si="327"/>
        <v/>
      </c>
    </row>
    <row r="1881" spans="43:48" x14ac:dyDescent="0.2">
      <c r="AQ1881" s="4" t="str">
        <f t="shared" ca="1" si="328"/>
        <v/>
      </c>
      <c r="AR1881" s="3" t="str">
        <f t="shared" ref="AR1881:AR1944" ca="1" si="330">IF($AQ1881&lt;&gt;"", INDEX($AC$3:$AC$1055, MATCH($AQ1881,$A$3:$A$1055,1)), "")</f>
        <v/>
      </c>
      <c r="AS1881" s="63" t="str">
        <f ca="1">IF($AQ1881&lt;&gt;"", INDEX(Inputs!$B$3:$B$101, MATCH($AQ1881,Inputs!$A$3:$A$101,1)), "")</f>
        <v/>
      </c>
      <c r="AT1881" s="48" t="str">
        <f t="shared" ca="1" si="329"/>
        <v/>
      </c>
      <c r="AU1881" s="3" t="str">
        <f t="shared" ref="AU1881:AU1944" ca="1" si="331">IF($AQ1881&lt;&gt;"", SUMIFS($AL$3:$AL$1054, $A$3:$A$1054,$AQ1881) + SUMIFS($M$3:$M$1054, $A$3:$A$1054,$AQ1881)*IFERROR(AVERAGEIFS($L$3:$L$1054, $A$3:$A$1054,$AQ1881, $M$3:$M$1054,"&gt;0"),0) - AT1881, "")</f>
        <v/>
      </c>
      <c r="AV1881" s="3" t="str">
        <f t="shared" ca="1" si="327"/>
        <v/>
      </c>
    </row>
    <row r="1882" spans="43:48" x14ac:dyDescent="0.2">
      <c r="AQ1882" s="4" t="str">
        <f t="shared" ca="1" si="328"/>
        <v/>
      </c>
      <c r="AR1882" s="3" t="str">
        <f t="shared" ca="1" si="330"/>
        <v/>
      </c>
      <c r="AS1882" s="63" t="str">
        <f ca="1">IF($AQ1882&lt;&gt;"", INDEX(Inputs!$B$3:$B$101, MATCH($AQ1882,Inputs!$A$3:$A$101,1)), "")</f>
        <v/>
      </c>
      <c r="AT1882" s="48" t="str">
        <f t="shared" ca="1" si="329"/>
        <v/>
      </c>
      <c r="AU1882" s="3" t="str">
        <f t="shared" ca="1" si="331"/>
        <v/>
      </c>
      <c r="AV1882" s="3" t="str">
        <f t="shared" ca="1" si="327"/>
        <v/>
      </c>
    </row>
    <row r="1883" spans="43:48" x14ac:dyDescent="0.2">
      <c r="AQ1883" s="4" t="str">
        <f t="shared" ca="1" si="328"/>
        <v/>
      </c>
      <c r="AR1883" s="3" t="str">
        <f t="shared" ca="1" si="330"/>
        <v/>
      </c>
      <c r="AS1883" s="63" t="str">
        <f ca="1">IF($AQ1883&lt;&gt;"", INDEX(Inputs!$B$3:$B$101, MATCH($AQ1883,Inputs!$A$3:$A$101,1)), "")</f>
        <v/>
      </c>
      <c r="AT1883" s="48" t="str">
        <f t="shared" ca="1" si="329"/>
        <v/>
      </c>
      <c r="AU1883" s="3" t="str">
        <f t="shared" ca="1" si="331"/>
        <v/>
      </c>
      <c r="AV1883" s="3" t="str">
        <f t="shared" ca="1" si="327"/>
        <v/>
      </c>
    </row>
    <row r="1884" spans="43:48" x14ac:dyDescent="0.2">
      <c r="AQ1884" s="4" t="str">
        <f t="shared" ca="1" si="328"/>
        <v/>
      </c>
      <c r="AR1884" s="3" t="str">
        <f t="shared" ca="1" si="330"/>
        <v/>
      </c>
      <c r="AS1884" s="63" t="str">
        <f ca="1">IF($AQ1884&lt;&gt;"", INDEX(Inputs!$B$3:$B$101, MATCH($AQ1884,Inputs!$A$3:$A$101,1)), "")</f>
        <v/>
      </c>
      <c r="AT1884" s="48" t="str">
        <f t="shared" ca="1" si="329"/>
        <v/>
      </c>
      <c r="AU1884" s="3" t="str">
        <f t="shared" ca="1" si="331"/>
        <v/>
      </c>
      <c r="AV1884" s="3" t="str">
        <f t="shared" ca="1" si="327"/>
        <v/>
      </c>
    </row>
    <row r="1885" spans="43:48" x14ac:dyDescent="0.2">
      <c r="AQ1885" s="4" t="str">
        <f t="shared" ca="1" si="328"/>
        <v/>
      </c>
      <c r="AR1885" s="3" t="str">
        <f t="shared" ca="1" si="330"/>
        <v/>
      </c>
      <c r="AS1885" s="63" t="str">
        <f ca="1">IF($AQ1885&lt;&gt;"", INDEX(Inputs!$B$3:$B$101, MATCH($AQ1885,Inputs!$A$3:$A$101,1)), "")</f>
        <v/>
      </c>
      <c r="AT1885" s="48" t="str">
        <f t="shared" ca="1" si="329"/>
        <v/>
      </c>
      <c r="AU1885" s="3" t="str">
        <f t="shared" ca="1" si="331"/>
        <v/>
      </c>
      <c r="AV1885" s="3" t="str">
        <f t="shared" ca="1" si="327"/>
        <v/>
      </c>
    </row>
    <row r="1886" spans="43:48" x14ac:dyDescent="0.2">
      <c r="AQ1886" s="4" t="str">
        <f t="shared" ca="1" si="328"/>
        <v/>
      </c>
      <c r="AR1886" s="3" t="str">
        <f t="shared" ca="1" si="330"/>
        <v/>
      </c>
      <c r="AS1886" s="63" t="str">
        <f ca="1">IF($AQ1886&lt;&gt;"", INDEX(Inputs!$B$3:$B$101, MATCH($AQ1886,Inputs!$A$3:$A$101,1)), "")</f>
        <v/>
      </c>
      <c r="AT1886" s="48" t="str">
        <f t="shared" ca="1" si="329"/>
        <v/>
      </c>
      <c r="AU1886" s="3" t="str">
        <f t="shared" ca="1" si="331"/>
        <v/>
      </c>
      <c r="AV1886" s="3" t="str">
        <f t="shared" ca="1" si="327"/>
        <v/>
      </c>
    </row>
    <row r="1887" spans="43:48" x14ac:dyDescent="0.2">
      <c r="AQ1887" s="4" t="str">
        <f t="shared" ca="1" si="328"/>
        <v/>
      </c>
      <c r="AR1887" s="3" t="str">
        <f t="shared" ca="1" si="330"/>
        <v/>
      </c>
      <c r="AS1887" s="63" t="str">
        <f ca="1">IF($AQ1887&lt;&gt;"", INDEX(Inputs!$B$3:$B$101, MATCH($AQ1887,Inputs!$A$3:$A$101,1)), "")</f>
        <v/>
      </c>
      <c r="AT1887" s="48" t="str">
        <f t="shared" ca="1" si="329"/>
        <v/>
      </c>
      <c r="AU1887" s="3" t="str">
        <f t="shared" ca="1" si="331"/>
        <v/>
      </c>
      <c r="AV1887" s="3" t="str">
        <f t="shared" ca="1" si="327"/>
        <v/>
      </c>
    </row>
    <row r="1888" spans="43:48" x14ac:dyDescent="0.2">
      <c r="AQ1888" s="4" t="str">
        <f t="shared" ca="1" si="328"/>
        <v/>
      </c>
      <c r="AR1888" s="3" t="str">
        <f t="shared" ca="1" si="330"/>
        <v/>
      </c>
      <c r="AS1888" s="63" t="str">
        <f ca="1">IF($AQ1888&lt;&gt;"", INDEX(Inputs!$B$3:$B$101, MATCH($AQ1888,Inputs!$A$3:$A$101,1)), "")</f>
        <v/>
      </c>
      <c r="AT1888" s="48" t="str">
        <f t="shared" ca="1" si="329"/>
        <v/>
      </c>
      <c r="AU1888" s="3" t="str">
        <f t="shared" ca="1" si="331"/>
        <v/>
      </c>
      <c r="AV1888" s="3" t="str">
        <f t="shared" ref="AV1888:AV1951" ca="1" si="332">IF(AQ1888&lt;&gt;"", AU1888*(1+$X$9/CompoundingRate)^-((AQ1888-AQ$3)/(365/CompoundingRate)), "")</f>
        <v/>
      </c>
    </row>
    <row r="1889" spans="43:48" x14ac:dyDescent="0.2">
      <c r="AQ1889" s="4" t="str">
        <f t="shared" ca="1" si="328"/>
        <v/>
      </c>
      <c r="AR1889" s="3" t="str">
        <f t="shared" ca="1" si="330"/>
        <v/>
      </c>
      <c r="AS1889" s="63" t="str">
        <f ca="1">IF($AQ1889&lt;&gt;"", INDEX(Inputs!$B$3:$B$101, MATCH($AQ1889,Inputs!$A$3:$A$101,1)), "")</f>
        <v/>
      </c>
      <c r="AT1889" s="48" t="str">
        <f t="shared" ca="1" si="329"/>
        <v/>
      </c>
      <c r="AU1889" s="3" t="str">
        <f t="shared" ca="1" si="331"/>
        <v/>
      </c>
      <c r="AV1889" s="3" t="str">
        <f t="shared" ca="1" si="332"/>
        <v/>
      </c>
    </row>
    <row r="1890" spans="43:48" x14ac:dyDescent="0.2">
      <c r="AQ1890" s="4" t="str">
        <f t="shared" ca="1" si="328"/>
        <v/>
      </c>
      <c r="AR1890" s="3" t="str">
        <f t="shared" ca="1" si="330"/>
        <v/>
      </c>
      <c r="AS1890" s="63" t="str">
        <f ca="1">IF($AQ1890&lt;&gt;"", INDEX(Inputs!$B$3:$B$101, MATCH($AQ1890,Inputs!$A$3:$A$101,1)), "")</f>
        <v/>
      </c>
      <c r="AT1890" s="48" t="str">
        <f t="shared" ca="1" si="329"/>
        <v/>
      </c>
      <c r="AU1890" s="3" t="str">
        <f t="shared" ca="1" si="331"/>
        <v/>
      </c>
      <c r="AV1890" s="3" t="str">
        <f t="shared" ca="1" si="332"/>
        <v/>
      </c>
    </row>
    <row r="1891" spans="43:48" x14ac:dyDescent="0.2">
      <c r="AQ1891" s="4" t="str">
        <f t="shared" ca="1" si="328"/>
        <v/>
      </c>
      <c r="AR1891" s="3" t="str">
        <f t="shared" ca="1" si="330"/>
        <v/>
      </c>
      <c r="AS1891" s="63" t="str">
        <f ca="1">IF($AQ1891&lt;&gt;"", INDEX(Inputs!$B$3:$B$101, MATCH($AQ1891,Inputs!$A$3:$A$101,1)), "")</f>
        <v/>
      </c>
      <c r="AT1891" s="48" t="str">
        <f t="shared" ca="1" si="329"/>
        <v/>
      </c>
      <c r="AU1891" s="3" t="str">
        <f t="shared" ca="1" si="331"/>
        <v/>
      </c>
      <c r="AV1891" s="3" t="str">
        <f t="shared" ca="1" si="332"/>
        <v/>
      </c>
    </row>
    <row r="1892" spans="43:48" x14ac:dyDescent="0.2">
      <c r="AQ1892" s="4" t="str">
        <f t="shared" ca="1" si="328"/>
        <v/>
      </c>
      <c r="AR1892" s="3" t="str">
        <f t="shared" ca="1" si="330"/>
        <v/>
      </c>
      <c r="AS1892" s="63" t="str">
        <f ca="1">IF($AQ1892&lt;&gt;"", INDEX(Inputs!$B$3:$B$101, MATCH($AQ1892,Inputs!$A$3:$A$101,1)), "")</f>
        <v/>
      </c>
      <c r="AT1892" s="48" t="str">
        <f t="shared" ca="1" si="329"/>
        <v/>
      </c>
      <c r="AU1892" s="3" t="str">
        <f t="shared" ca="1" si="331"/>
        <v/>
      </c>
      <c r="AV1892" s="3" t="str">
        <f t="shared" ca="1" si="332"/>
        <v/>
      </c>
    </row>
    <row r="1893" spans="43:48" x14ac:dyDescent="0.2">
      <c r="AQ1893" s="4" t="str">
        <f t="shared" ca="1" si="328"/>
        <v/>
      </c>
      <c r="AR1893" s="3" t="str">
        <f t="shared" ca="1" si="330"/>
        <v/>
      </c>
      <c r="AS1893" s="63" t="str">
        <f ca="1">IF($AQ1893&lt;&gt;"", INDEX(Inputs!$B$3:$B$101, MATCH($AQ1893,Inputs!$A$3:$A$101,1)), "")</f>
        <v/>
      </c>
      <c r="AT1893" s="48" t="str">
        <f t="shared" ca="1" si="329"/>
        <v/>
      </c>
      <c r="AU1893" s="3" t="str">
        <f t="shared" ca="1" si="331"/>
        <v/>
      </c>
      <c r="AV1893" s="3" t="str">
        <f t="shared" ca="1" si="332"/>
        <v/>
      </c>
    </row>
    <row r="1894" spans="43:48" x14ac:dyDescent="0.2">
      <c r="AQ1894" s="4" t="str">
        <f t="shared" ca="1" si="328"/>
        <v/>
      </c>
      <c r="AR1894" s="3" t="str">
        <f t="shared" ca="1" si="330"/>
        <v/>
      </c>
      <c r="AS1894" s="63" t="str">
        <f ca="1">IF($AQ1894&lt;&gt;"", INDEX(Inputs!$B$3:$B$101, MATCH($AQ1894,Inputs!$A$3:$A$101,1)), "")</f>
        <v/>
      </c>
      <c r="AT1894" s="48" t="str">
        <f t="shared" ca="1" si="329"/>
        <v/>
      </c>
      <c r="AU1894" s="3" t="str">
        <f t="shared" ca="1" si="331"/>
        <v/>
      </c>
      <c r="AV1894" s="3" t="str">
        <f t="shared" ca="1" si="332"/>
        <v/>
      </c>
    </row>
    <row r="1895" spans="43:48" x14ac:dyDescent="0.2">
      <c r="AQ1895" s="4" t="str">
        <f t="shared" ca="1" si="328"/>
        <v/>
      </c>
      <c r="AR1895" s="3" t="str">
        <f t="shared" ca="1" si="330"/>
        <v/>
      </c>
      <c r="AS1895" s="63" t="str">
        <f ca="1">IF($AQ1895&lt;&gt;"", INDEX(Inputs!$B$3:$B$101, MATCH($AQ1895,Inputs!$A$3:$A$101,1)), "")</f>
        <v/>
      </c>
      <c r="AT1895" s="48" t="str">
        <f t="shared" ca="1" si="329"/>
        <v/>
      </c>
      <c r="AU1895" s="3" t="str">
        <f t="shared" ca="1" si="331"/>
        <v/>
      </c>
      <c r="AV1895" s="3" t="str">
        <f t="shared" ca="1" si="332"/>
        <v/>
      </c>
    </row>
    <row r="1896" spans="43:48" x14ac:dyDescent="0.2">
      <c r="AQ1896" s="4" t="str">
        <f t="shared" ca="1" si="328"/>
        <v/>
      </c>
      <c r="AR1896" s="3" t="str">
        <f t="shared" ca="1" si="330"/>
        <v/>
      </c>
      <c r="AS1896" s="63" t="str">
        <f ca="1">IF($AQ1896&lt;&gt;"", INDEX(Inputs!$B$3:$B$101, MATCH($AQ1896,Inputs!$A$3:$A$101,1)), "")</f>
        <v/>
      </c>
      <c r="AT1896" s="48" t="str">
        <f t="shared" ca="1" si="329"/>
        <v/>
      </c>
      <c r="AU1896" s="3" t="str">
        <f t="shared" ca="1" si="331"/>
        <v/>
      </c>
      <c r="AV1896" s="3" t="str">
        <f t="shared" ca="1" si="332"/>
        <v/>
      </c>
    </row>
    <row r="1897" spans="43:48" x14ac:dyDescent="0.2">
      <c r="AQ1897" s="4" t="str">
        <f t="shared" ca="1" si="328"/>
        <v/>
      </c>
      <c r="AR1897" s="3" t="str">
        <f t="shared" ca="1" si="330"/>
        <v/>
      </c>
      <c r="AS1897" s="63" t="str">
        <f ca="1">IF($AQ1897&lt;&gt;"", INDEX(Inputs!$B$3:$B$101, MATCH($AQ1897,Inputs!$A$3:$A$101,1)), "")</f>
        <v/>
      </c>
      <c r="AT1897" s="48" t="str">
        <f t="shared" ca="1" si="329"/>
        <v/>
      </c>
      <c r="AU1897" s="3" t="str">
        <f t="shared" ca="1" si="331"/>
        <v/>
      </c>
      <c r="AV1897" s="3" t="str">
        <f t="shared" ca="1" si="332"/>
        <v/>
      </c>
    </row>
    <row r="1898" spans="43:48" x14ac:dyDescent="0.2">
      <c r="AQ1898" s="4" t="str">
        <f t="shared" ca="1" si="328"/>
        <v/>
      </c>
      <c r="AR1898" s="3" t="str">
        <f t="shared" ca="1" si="330"/>
        <v/>
      </c>
      <c r="AS1898" s="63" t="str">
        <f ca="1">IF($AQ1898&lt;&gt;"", INDEX(Inputs!$B$3:$B$101, MATCH($AQ1898,Inputs!$A$3:$A$101,1)), "")</f>
        <v/>
      </c>
      <c r="AT1898" s="48" t="str">
        <f t="shared" ca="1" si="329"/>
        <v/>
      </c>
      <c r="AU1898" s="3" t="str">
        <f t="shared" ca="1" si="331"/>
        <v/>
      </c>
      <c r="AV1898" s="3" t="str">
        <f t="shared" ca="1" si="332"/>
        <v/>
      </c>
    </row>
    <row r="1899" spans="43:48" x14ac:dyDescent="0.2">
      <c r="AQ1899" s="4" t="str">
        <f t="shared" ca="1" si="328"/>
        <v/>
      </c>
      <c r="AR1899" s="3" t="str">
        <f t="shared" ca="1" si="330"/>
        <v/>
      </c>
      <c r="AS1899" s="63" t="str">
        <f ca="1">IF($AQ1899&lt;&gt;"", INDEX(Inputs!$B$3:$B$101, MATCH($AQ1899,Inputs!$A$3:$A$101,1)), "")</f>
        <v/>
      </c>
      <c r="AT1899" s="48" t="str">
        <f t="shared" ca="1" si="329"/>
        <v/>
      </c>
      <c r="AU1899" s="3" t="str">
        <f t="shared" ca="1" si="331"/>
        <v/>
      </c>
      <c r="AV1899" s="3" t="str">
        <f t="shared" ca="1" si="332"/>
        <v/>
      </c>
    </row>
    <row r="1900" spans="43:48" x14ac:dyDescent="0.2">
      <c r="AQ1900" s="4" t="str">
        <f t="shared" ca="1" si="328"/>
        <v/>
      </c>
      <c r="AR1900" s="3" t="str">
        <f t="shared" ca="1" si="330"/>
        <v/>
      </c>
      <c r="AS1900" s="63" t="str">
        <f ca="1">IF($AQ1900&lt;&gt;"", INDEX(Inputs!$B$3:$B$101, MATCH($AQ1900,Inputs!$A$3:$A$101,1)), "")</f>
        <v/>
      </c>
      <c r="AT1900" s="48" t="str">
        <f t="shared" ca="1" si="329"/>
        <v/>
      </c>
      <c r="AU1900" s="3" t="str">
        <f t="shared" ca="1" si="331"/>
        <v/>
      </c>
      <c r="AV1900" s="3" t="str">
        <f t="shared" ca="1" si="332"/>
        <v/>
      </c>
    </row>
    <row r="1901" spans="43:48" x14ac:dyDescent="0.2">
      <c r="AQ1901" s="4" t="str">
        <f t="shared" ca="1" si="328"/>
        <v/>
      </c>
      <c r="AR1901" s="3" t="str">
        <f t="shared" ca="1" si="330"/>
        <v/>
      </c>
      <c r="AS1901" s="63" t="str">
        <f ca="1">IF($AQ1901&lt;&gt;"", INDEX(Inputs!$B$3:$B$101, MATCH($AQ1901,Inputs!$A$3:$A$101,1)), "")</f>
        <v/>
      </c>
      <c r="AT1901" s="48" t="str">
        <f t="shared" ca="1" si="329"/>
        <v/>
      </c>
      <c r="AU1901" s="3" t="str">
        <f t="shared" ca="1" si="331"/>
        <v/>
      </c>
      <c r="AV1901" s="3" t="str">
        <f t="shared" ca="1" si="332"/>
        <v/>
      </c>
    </row>
    <row r="1902" spans="43:48" x14ac:dyDescent="0.2">
      <c r="AQ1902" s="4" t="str">
        <f t="shared" ca="1" si="328"/>
        <v/>
      </c>
      <c r="AR1902" s="3" t="str">
        <f t="shared" ca="1" si="330"/>
        <v/>
      </c>
      <c r="AS1902" s="63" t="str">
        <f ca="1">IF($AQ1902&lt;&gt;"", INDEX(Inputs!$B$3:$B$101, MATCH($AQ1902,Inputs!$A$3:$A$101,1)), "")</f>
        <v/>
      </c>
      <c r="AT1902" s="48" t="str">
        <f t="shared" ca="1" si="329"/>
        <v/>
      </c>
      <c r="AU1902" s="3" t="str">
        <f t="shared" ca="1" si="331"/>
        <v/>
      </c>
      <c r="AV1902" s="3" t="str">
        <f t="shared" ca="1" si="332"/>
        <v/>
      </c>
    </row>
    <row r="1903" spans="43:48" x14ac:dyDescent="0.2">
      <c r="AQ1903" s="4" t="str">
        <f t="shared" ca="1" si="328"/>
        <v/>
      </c>
      <c r="AR1903" s="3" t="str">
        <f t="shared" ca="1" si="330"/>
        <v/>
      </c>
      <c r="AS1903" s="63" t="str">
        <f ca="1">IF($AQ1903&lt;&gt;"", INDEX(Inputs!$B$3:$B$101, MATCH($AQ1903,Inputs!$A$3:$A$101,1)), "")</f>
        <v/>
      </c>
      <c r="AT1903" s="48" t="str">
        <f t="shared" ca="1" si="329"/>
        <v/>
      </c>
      <c r="AU1903" s="3" t="str">
        <f t="shared" ca="1" si="331"/>
        <v/>
      </c>
      <c r="AV1903" s="3" t="str">
        <f t="shared" ca="1" si="332"/>
        <v/>
      </c>
    </row>
    <row r="1904" spans="43:48" x14ac:dyDescent="0.2">
      <c r="AQ1904" s="4" t="str">
        <f t="shared" ca="1" si="328"/>
        <v/>
      </c>
      <c r="AR1904" s="3" t="str">
        <f t="shared" ca="1" si="330"/>
        <v/>
      </c>
      <c r="AS1904" s="63" t="str">
        <f ca="1">IF($AQ1904&lt;&gt;"", INDEX(Inputs!$B$3:$B$101, MATCH($AQ1904,Inputs!$A$3:$A$101,1)), "")</f>
        <v/>
      </c>
      <c r="AT1904" s="48" t="str">
        <f t="shared" ca="1" si="329"/>
        <v/>
      </c>
      <c r="AU1904" s="3" t="str">
        <f t="shared" ca="1" si="331"/>
        <v/>
      </c>
      <c r="AV1904" s="3" t="str">
        <f t="shared" ca="1" si="332"/>
        <v/>
      </c>
    </row>
    <row r="1905" spans="43:48" x14ac:dyDescent="0.2">
      <c r="AQ1905" s="4" t="str">
        <f t="shared" ca="1" si="328"/>
        <v/>
      </c>
      <c r="AR1905" s="3" t="str">
        <f t="shared" ca="1" si="330"/>
        <v/>
      </c>
      <c r="AS1905" s="63" t="str">
        <f ca="1">IF($AQ1905&lt;&gt;"", INDEX(Inputs!$B$3:$B$101, MATCH($AQ1905,Inputs!$A$3:$A$101,1)), "")</f>
        <v/>
      </c>
      <c r="AT1905" s="48" t="str">
        <f t="shared" ca="1" si="329"/>
        <v/>
      </c>
      <c r="AU1905" s="3" t="str">
        <f t="shared" ca="1" si="331"/>
        <v/>
      </c>
      <c r="AV1905" s="3" t="str">
        <f t="shared" ca="1" si="332"/>
        <v/>
      </c>
    </row>
    <row r="1906" spans="43:48" x14ac:dyDescent="0.2">
      <c r="AQ1906" s="4" t="str">
        <f t="shared" ca="1" si="328"/>
        <v/>
      </c>
      <c r="AR1906" s="3" t="str">
        <f t="shared" ca="1" si="330"/>
        <v/>
      </c>
      <c r="AS1906" s="63" t="str">
        <f ca="1">IF($AQ1906&lt;&gt;"", INDEX(Inputs!$B$3:$B$101, MATCH($AQ1906,Inputs!$A$3:$A$101,1)), "")</f>
        <v/>
      </c>
      <c r="AT1906" s="48" t="str">
        <f t="shared" ca="1" si="329"/>
        <v/>
      </c>
      <c r="AU1906" s="3" t="str">
        <f t="shared" ca="1" si="331"/>
        <v/>
      </c>
      <c r="AV1906" s="3" t="str">
        <f t="shared" ca="1" si="332"/>
        <v/>
      </c>
    </row>
    <row r="1907" spans="43:48" x14ac:dyDescent="0.2">
      <c r="AQ1907" s="4" t="str">
        <f t="shared" ca="1" si="328"/>
        <v/>
      </c>
      <c r="AR1907" s="3" t="str">
        <f t="shared" ca="1" si="330"/>
        <v/>
      </c>
      <c r="AS1907" s="63" t="str">
        <f ca="1">IF($AQ1907&lt;&gt;"", INDEX(Inputs!$B$3:$B$101, MATCH($AQ1907,Inputs!$A$3:$A$101,1)), "")</f>
        <v/>
      </c>
      <c r="AT1907" s="48" t="str">
        <f t="shared" ca="1" si="329"/>
        <v/>
      </c>
      <c r="AU1907" s="3" t="str">
        <f t="shared" ca="1" si="331"/>
        <v/>
      </c>
      <c r="AV1907" s="3" t="str">
        <f t="shared" ca="1" si="332"/>
        <v/>
      </c>
    </row>
    <row r="1908" spans="43:48" x14ac:dyDescent="0.2">
      <c r="AQ1908" s="4" t="str">
        <f t="shared" ca="1" si="328"/>
        <v/>
      </c>
      <c r="AR1908" s="3" t="str">
        <f t="shared" ca="1" si="330"/>
        <v/>
      </c>
      <c r="AS1908" s="63" t="str">
        <f ca="1">IF($AQ1908&lt;&gt;"", INDEX(Inputs!$B$3:$B$101, MATCH($AQ1908,Inputs!$A$3:$A$101,1)), "")</f>
        <v/>
      </c>
      <c r="AT1908" s="48" t="str">
        <f t="shared" ca="1" si="329"/>
        <v/>
      </c>
      <c r="AU1908" s="3" t="str">
        <f t="shared" ca="1" si="331"/>
        <v/>
      </c>
      <c r="AV1908" s="3" t="str">
        <f t="shared" ca="1" si="332"/>
        <v/>
      </c>
    </row>
    <row r="1909" spans="43:48" x14ac:dyDescent="0.2">
      <c r="AQ1909" s="4" t="str">
        <f t="shared" ca="1" si="328"/>
        <v/>
      </c>
      <c r="AR1909" s="3" t="str">
        <f t="shared" ca="1" si="330"/>
        <v/>
      </c>
      <c r="AS1909" s="63" t="str">
        <f ca="1">IF($AQ1909&lt;&gt;"", INDEX(Inputs!$B$3:$B$101, MATCH($AQ1909,Inputs!$A$3:$A$101,1)), "")</f>
        <v/>
      </c>
      <c r="AT1909" s="48" t="str">
        <f t="shared" ca="1" si="329"/>
        <v/>
      </c>
      <c r="AU1909" s="3" t="str">
        <f t="shared" ca="1" si="331"/>
        <v/>
      </c>
      <c r="AV1909" s="3" t="str">
        <f t="shared" ca="1" si="332"/>
        <v/>
      </c>
    </row>
    <row r="1910" spans="43:48" x14ac:dyDescent="0.2">
      <c r="AQ1910" s="4" t="str">
        <f t="shared" ca="1" si="328"/>
        <v/>
      </c>
      <c r="AR1910" s="3" t="str">
        <f t="shared" ca="1" si="330"/>
        <v/>
      </c>
      <c r="AS1910" s="63" t="str">
        <f ca="1">IF($AQ1910&lt;&gt;"", INDEX(Inputs!$B$3:$B$101, MATCH($AQ1910,Inputs!$A$3:$A$101,1)), "")</f>
        <v/>
      </c>
      <c r="AT1910" s="48" t="str">
        <f t="shared" ca="1" si="329"/>
        <v/>
      </c>
      <c r="AU1910" s="3" t="str">
        <f t="shared" ca="1" si="331"/>
        <v/>
      </c>
      <c r="AV1910" s="3" t="str">
        <f t="shared" ca="1" si="332"/>
        <v/>
      </c>
    </row>
    <row r="1911" spans="43:48" x14ac:dyDescent="0.2">
      <c r="AQ1911" s="4" t="str">
        <f t="shared" ca="1" si="328"/>
        <v/>
      </c>
      <c r="AR1911" s="3" t="str">
        <f t="shared" ca="1" si="330"/>
        <v/>
      </c>
      <c r="AS1911" s="63" t="str">
        <f ca="1">IF($AQ1911&lt;&gt;"", INDEX(Inputs!$B$3:$B$101, MATCH($AQ1911,Inputs!$A$3:$A$101,1)), "")</f>
        <v/>
      </c>
      <c r="AT1911" s="48" t="str">
        <f t="shared" ca="1" si="329"/>
        <v/>
      </c>
      <c r="AU1911" s="3" t="str">
        <f t="shared" ca="1" si="331"/>
        <v/>
      </c>
      <c r="AV1911" s="3" t="str">
        <f t="shared" ca="1" si="332"/>
        <v/>
      </c>
    </row>
    <row r="1912" spans="43:48" x14ac:dyDescent="0.2">
      <c r="AQ1912" s="4" t="str">
        <f t="shared" ca="1" si="328"/>
        <v/>
      </c>
      <c r="AR1912" s="3" t="str">
        <f t="shared" ca="1" si="330"/>
        <v/>
      </c>
      <c r="AS1912" s="63" t="str">
        <f ca="1">IF($AQ1912&lt;&gt;"", INDEX(Inputs!$B$3:$B$101, MATCH($AQ1912,Inputs!$A$3:$A$101,1)), "")</f>
        <v/>
      </c>
      <c r="AT1912" s="48" t="str">
        <f t="shared" ca="1" si="329"/>
        <v/>
      </c>
      <c r="AU1912" s="3" t="str">
        <f t="shared" ca="1" si="331"/>
        <v/>
      </c>
      <c r="AV1912" s="3" t="str">
        <f t="shared" ca="1" si="332"/>
        <v/>
      </c>
    </row>
    <row r="1913" spans="43:48" x14ac:dyDescent="0.2">
      <c r="AQ1913" s="4" t="str">
        <f t="shared" ref="AQ1913:AQ1976" ca="1" si="333">IF(AQ1912&lt;$AP$3,AQ1912+1,"")</f>
        <v/>
      </c>
      <c r="AR1913" s="3" t="str">
        <f t="shared" ca="1" si="330"/>
        <v/>
      </c>
      <c r="AS1913" s="63" t="str">
        <f ca="1">IF($AQ1913&lt;&gt;"", INDEX(Inputs!$B$3:$B$101, MATCH($AQ1913,Inputs!$A$3:$A$101,1)), "")</f>
        <v/>
      </c>
      <c r="AT1913" s="48" t="str">
        <f t="shared" ref="AT1913:AT1976" ca="1" si="334">IF($AQ1913&lt;&gt;"", AR1913*AS1913/365, "")</f>
        <v/>
      </c>
      <c r="AU1913" s="3" t="str">
        <f t="shared" ca="1" si="331"/>
        <v/>
      </c>
      <c r="AV1913" s="3" t="str">
        <f t="shared" ca="1" si="332"/>
        <v/>
      </c>
    </row>
    <row r="1914" spans="43:48" x14ac:dyDescent="0.2">
      <c r="AQ1914" s="4" t="str">
        <f t="shared" ca="1" si="333"/>
        <v/>
      </c>
      <c r="AR1914" s="3" t="str">
        <f t="shared" ca="1" si="330"/>
        <v/>
      </c>
      <c r="AS1914" s="63" t="str">
        <f ca="1">IF($AQ1914&lt;&gt;"", INDEX(Inputs!$B$3:$B$101, MATCH($AQ1914,Inputs!$A$3:$A$101,1)), "")</f>
        <v/>
      </c>
      <c r="AT1914" s="48" t="str">
        <f t="shared" ca="1" si="334"/>
        <v/>
      </c>
      <c r="AU1914" s="3" t="str">
        <f t="shared" ca="1" si="331"/>
        <v/>
      </c>
      <c r="AV1914" s="3" t="str">
        <f t="shared" ca="1" si="332"/>
        <v/>
      </c>
    </row>
    <row r="1915" spans="43:48" x14ac:dyDescent="0.2">
      <c r="AQ1915" s="4" t="str">
        <f t="shared" ca="1" si="333"/>
        <v/>
      </c>
      <c r="AR1915" s="3" t="str">
        <f t="shared" ca="1" si="330"/>
        <v/>
      </c>
      <c r="AS1915" s="63" t="str">
        <f ca="1">IF($AQ1915&lt;&gt;"", INDEX(Inputs!$B$3:$B$101, MATCH($AQ1915,Inputs!$A$3:$A$101,1)), "")</f>
        <v/>
      </c>
      <c r="AT1915" s="48" t="str">
        <f t="shared" ca="1" si="334"/>
        <v/>
      </c>
      <c r="AU1915" s="3" t="str">
        <f t="shared" ca="1" si="331"/>
        <v/>
      </c>
      <c r="AV1915" s="3" t="str">
        <f t="shared" ca="1" si="332"/>
        <v/>
      </c>
    </row>
    <row r="1916" spans="43:48" x14ac:dyDescent="0.2">
      <c r="AQ1916" s="4" t="str">
        <f t="shared" ca="1" si="333"/>
        <v/>
      </c>
      <c r="AR1916" s="3" t="str">
        <f t="shared" ca="1" si="330"/>
        <v/>
      </c>
      <c r="AS1916" s="63" t="str">
        <f ca="1">IF($AQ1916&lt;&gt;"", INDEX(Inputs!$B$3:$B$101, MATCH($AQ1916,Inputs!$A$3:$A$101,1)), "")</f>
        <v/>
      </c>
      <c r="AT1916" s="48" t="str">
        <f t="shared" ca="1" si="334"/>
        <v/>
      </c>
      <c r="AU1916" s="3" t="str">
        <f t="shared" ca="1" si="331"/>
        <v/>
      </c>
      <c r="AV1916" s="3" t="str">
        <f t="shared" ca="1" si="332"/>
        <v/>
      </c>
    </row>
    <row r="1917" spans="43:48" x14ac:dyDescent="0.2">
      <c r="AQ1917" s="4" t="str">
        <f t="shared" ca="1" si="333"/>
        <v/>
      </c>
      <c r="AR1917" s="3" t="str">
        <f t="shared" ca="1" si="330"/>
        <v/>
      </c>
      <c r="AS1917" s="63" t="str">
        <f ca="1">IF($AQ1917&lt;&gt;"", INDEX(Inputs!$B$3:$B$101, MATCH($AQ1917,Inputs!$A$3:$A$101,1)), "")</f>
        <v/>
      </c>
      <c r="AT1917" s="48" t="str">
        <f t="shared" ca="1" si="334"/>
        <v/>
      </c>
      <c r="AU1917" s="3" t="str">
        <f t="shared" ca="1" si="331"/>
        <v/>
      </c>
      <c r="AV1917" s="3" t="str">
        <f t="shared" ca="1" si="332"/>
        <v/>
      </c>
    </row>
    <row r="1918" spans="43:48" x14ac:dyDescent="0.2">
      <c r="AQ1918" s="4" t="str">
        <f t="shared" ca="1" si="333"/>
        <v/>
      </c>
      <c r="AR1918" s="3" t="str">
        <f t="shared" ca="1" si="330"/>
        <v/>
      </c>
      <c r="AS1918" s="63" t="str">
        <f ca="1">IF($AQ1918&lt;&gt;"", INDEX(Inputs!$B$3:$B$101, MATCH($AQ1918,Inputs!$A$3:$A$101,1)), "")</f>
        <v/>
      </c>
      <c r="AT1918" s="48" t="str">
        <f t="shared" ca="1" si="334"/>
        <v/>
      </c>
      <c r="AU1918" s="3" t="str">
        <f t="shared" ca="1" si="331"/>
        <v/>
      </c>
      <c r="AV1918" s="3" t="str">
        <f t="shared" ca="1" si="332"/>
        <v/>
      </c>
    </row>
    <row r="1919" spans="43:48" x14ac:dyDescent="0.2">
      <c r="AQ1919" s="4" t="str">
        <f t="shared" ca="1" si="333"/>
        <v/>
      </c>
      <c r="AR1919" s="3" t="str">
        <f t="shared" ca="1" si="330"/>
        <v/>
      </c>
      <c r="AS1919" s="63" t="str">
        <f ca="1">IF($AQ1919&lt;&gt;"", INDEX(Inputs!$B$3:$B$101, MATCH($AQ1919,Inputs!$A$3:$A$101,1)), "")</f>
        <v/>
      </c>
      <c r="AT1919" s="48" t="str">
        <f t="shared" ca="1" si="334"/>
        <v/>
      </c>
      <c r="AU1919" s="3" t="str">
        <f t="shared" ca="1" si="331"/>
        <v/>
      </c>
      <c r="AV1919" s="3" t="str">
        <f t="shared" ca="1" si="332"/>
        <v/>
      </c>
    </row>
    <row r="1920" spans="43:48" x14ac:dyDescent="0.2">
      <c r="AQ1920" s="4" t="str">
        <f t="shared" ca="1" si="333"/>
        <v/>
      </c>
      <c r="AR1920" s="3" t="str">
        <f t="shared" ca="1" si="330"/>
        <v/>
      </c>
      <c r="AS1920" s="63" t="str">
        <f ca="1">IF($AQ1920&lt;&gt;"", INDEX(Inputs!$B$3:$B$101, MATCH($AQ1920,Inputs!$A$3:$A$101,1)), "")</f>
        <v/>
      </c>
      <c r="AT1920" s="48" t="str">
        <f t="shared" ca="1" si="334"/>
        <v/>
      </c>
      <c r="AU1920" s="3" t="str">
        <f t="shared" ca="1" si="331"/>
        <v/>
      </c>
      <c r="AV1920" s="3" t="str">
        <f t="shared" ca="1" si="332"/>
        <v/>
      </c>
    </row>
    <row r="1921" spans="43:48" x14ac:dyDescent="0.2">
      <c r="AQ1921" s="4" t="str">
        <f t="shared" ca="1" si="333"/>
        <v/>
      </c>
      <c r="AR1921" s="3" t="str">
        <f t="shared" ca="1" si="330"/>
        <v/>
      </c>
      <c r="AS1921" s="63" t="str">
        <f ca="1">IF($AQ1921&lt;&gt;"", INDEX(Inputs!$B$3:$B$101, MATCH($AQ1921,Inputs!$A$3:$A$101,1)), "")</f>
        <v/>
      </c>
      <c r="AT1921" s="48" t="str">
        <f t="shared" ca="1" si="334"/>
        <v/>
      </c>
      <c r="AU1921" s="3" t="str">
        <f t="shared" ca="1" si="331"/>
        <v/>
      </c>
      <c r="AV1921" s="3" t="str">
        <f t="shared" ca="1" si="332"/>
        <v/>
      </c>
    </row>
    <row r="1922" spans="43:48" x14ac:dyDescent="0.2">
      <c r="AQ1922" s="4" t="str">
        <f t="shared" ca="1" si="333"/>
        <v/>
      </c>
      <c r="AR1922" s="3" t="str">
        <f t="shared" ca="1" si="330"/>
        <v/>
      </c>
      <c r="AS1922" s="63" t="str">
        <f ca="1">IF($AQ1922&lt;&gt;"", INDEX(Inputs!$B$3:$B$101, MATCH($AQ1922,Inputs!$A$3:$A$101,1)), "")</f>
        <v/>
      </c>
      <c r="AT1922" s="48" t="str">
        <f t="shared" ca="1" si="334"/>
        <v/>
      </c>
      <c r="AU1922" s="3" t="str">
        <f t="shared" ca="1" si="331"/>
        <v/>
      </c>
      <c r="AV1922" s="3" t="str">
        <f t="shared" ca="1" si="332"/>
        <v/>
      </c>
    </row>
    <row r="1923" spans="43:48" x14ac:dyDescent="0.2">
      <c r="AQ1923" s="4" t="str">
        <f t="shared" ca="1" si="333"/>
        <v/>
      </c>
      <c r="AR1923" s="3" t="str">
        <f t="shared" ca="1" si="330"/>
        <v/>
      </c>
      <c r="AS1923" s="63" t="str">
        <f ca="1">IF($AQ1923&lt;&gt;"", INDEX(Inputs!$B$3:$B$101, MATCH($AQ1923,Inputs!$A$3:$A$101,1)), "")</f>
        <v/>
      </c>
      <c r="AT1923" s="48" t="str">
        <f t="shared" ca="1" si="334"/>
        <v/>
      </c>
      <c r="AU1923" s="3" t="str">
        <f t="shared" ca="1" si="331"/>
        <v/>
      </c>
      <c r="AV1923" s="3" t="str">
        <f t="shared" ca="1" si="332"/>
        <v/>
      </c>
    </row>
    <row r="1924" spans="43:48" x14ac:dyDescent="0.2">
      <c r="AQ1924" s="4" t="str">
        <f t="shared" ca="1" si="333"/>
        <v/>
      </c>
      <c r="AR1924" s="3" t="str">
        <f t="shared" ca="1" si="330"/>
        <v/>
      </c>
      <c r="AS1924" s="63" t="str">
        <f ca="1">IF($AQ1924&lt;&gt;"", INDEX(Inputs!$B$3:$B$101, MATCH($AQ1924,Inputs!$A$3:$A$101,1)), "")</f>
        <v/>
      </c>
      <c r="AT1924" s="48" t="str">
        <f t="shared" ca="1" si="334"/>
        <v/>
      </c>
      <c r="AU1924" s="3" t="str">
        <f t="shared" ca="1" si="331"/>
        <v/>
      </c>
      <c r="AV1924" s="3" t="str">
        <f t="shared" ca="1" si="332"/>
        <v/>
      </c>
    </row>
    <row r="1925" spans="43:48" x14ac:dyDescent="0.2">
      <c r="AQ1925" s="4" t="str">
        <f t="shared" ca="1" si="333"/>
        <v/>
      </c>
      <c r="AR1925" s="3" t="str">
        <f t="shared" ca="1" si="330"/>
        <v/>
      </c>
      <c r="AS1925" s="63" t="str">
        <f ca="1">IF($AQ1925&lt;&gt;"", INDEX(Inputs!$B$3:$B$101, MATCH($AQ1925,Inputs!$A$3:$A$101,1)), "")</f>
        <v/>
      </c>
      <c r="AT1925" s="48" t="str">
        <f t="shared" ca="1" si="334"/>
        <v/>
      </c>
      <c r="AU1925" s="3" t="str">
        <f t="shared" ca="1" si="331"/>
        <v/>
      </c>
      <c r="AV1925" s="3" t="str">
        <f t="shared" ca="1" si="332"/>
        <v/>
      </c>
    </row>
    <row r="1926" spans="43:48" x14ac:dyDescent="0.2">
      <c r="AQ1926" s="4" t="str">
        <f t="shared" ca="1" si="333"/>
        <v/>
      </c>
      <c r="AR1926" s="3" t="str">
        <f t="shared" ca="1" si="330"/>
        <v/>
      </c>
      <c r="AS1926" s="63" t="str">
        <f ca="1">IF($AQ1926&lt;&gt;"", INDEX(Inputs!$B$3:$B$101, MATCH($AQ1926,Inputs!$A$3:$A$101,1)), "")</f>
        <v/>
      </c>
      <c r="AT1926" s="48" t="str">
        <f t="shared" ca="1" si="334"/>
        <v/>
      </c>
      <c r="AU1926" s="3" t="str">
        <f t="shared" ca="1" si="331"/>
        <v/>
      </c>
      <c r="AV1926" s="3" t="str">
        <f t="shared" ca="1" si="332"/>
        <v/>
      </c>
    </row>
    <row r="1927" spans="43:48" x14ac:dyDescent="0.2">
      <c r="AQ1927" s="4" t="str">
        <f t="shared" ca="1" si="333"/>
        <v/>
      </c>
      <c r="AR1927" s="3" t="str">
        <f t="shared" ca="1" si="330"/>
        <v/>
      </c>
      <c r="AS1927" s="63" t="str">
        <f ca="1">IF($AQ1927&lt;&gt;"", INDEX(Inputs!$B$3:$B$101, MATCH($AQ1927,Inputs!$A$3:$A$101,1)), "")</f>
        <v/>
      </c>
      <c r="AT1927" s="48" t="str">
        <f t="shared" ca="1" si="334"/>
        <v/>
      </c>
      <c r="AU1927" s="3" t="str">
        <f t="shared" ca="1" si="331"/>
        <v/>
      </c>
      <c r="AV1927" s="3" t="str">
        <f t="shared" ca="1" si="332"/>
        <v/>
      </c>
    </row>
    <row r="1928" spans="43:48" x14ac:dyDescent="0.2">
      <c r="AQ1928" s="4" t="str">
        <f t="shared" ca="1" si="333"/>
        <v/>
      </c>
      <c r="AR1928" s="3" t="str">
        <f t="shared" ca="1" si="330"/>
        <v/>
      </c>
      <c r="AS1928" s="63" t="str">
        <f ca="1">IF($AQ1928&lt;&gt;"", INDEX(Inputs!$B$3:$B$101, MATCH($AQ1928,Inputs!$A$3:$A$101,1)), "")</f>
        <v/>
      </c>
      <c r="AT1928" s="48" t="str">
        <f t="shared" ca="1" si="334"/>
        <v/>
      </c>
      <c r="AU1928" s="3" t="str">
        <f t="shared" ca="1" si="331"/>
        <v/>
      </c>
      <c r="AV1928" s="3" t="str">
        <f t="shared" ca="1" si="332"/>
        <v/>
      </c>
    </row>
    <row r="1929" spans="43:48" x14ac:dyDescent="0.2">
      <c r="AQ1929" s="4" t="str">
        <f t="shared" ca="1" si="333"/>
        <v/>
      </c>
      <c r="AR1929" s="3" t="str">
        <f t="shared" ca="1" si="330"/>
        <v/>
      </c>
      <c r="AS1929" s="63" t="str">
        <f ca="1">IF($AQ1929&lt;&gt;"", INDEX(Inputs!$B$3:$B$101, MATCH($AQ1929,Inputs!$A$3:$A$101,1)), "")</f>
        <v/>
      </c>
      <c r="AT1929" s="48" t="str">
        <f t="shared" ca="1" si="334"/>
        <v/>
      </c>
      <c r="AU1929" s="3" t="str">
        <f t="shared" ca="1" si="331"/>
        <v/>
      </c>
      <c r="AV1929" s="3" t="str">
        <f t="shared" ca="1" si="332"/>
        <v/>
      </c>
    </row>
    <row r="1930" spans="43:48" x14ac:dyDescent="0.2">
      <c r="AQ1930" s="4" t="str">
        <f t="shared" ca="1" si="333"/>
        <v/>
      </c>
      <c r="AR1930" s="3" t="str">
        <f t="shared" ca="1" si="330"/>
        <v/>
      </c>
      <c r="AS1930" s="63" t="str">
        <f ca="1">IF($AQ1930&lt;&gt;"", INDEX(Inputs!$B$3:$B$101, MATCH($AQ1930,Inputs!$A$3:$A$101,1)), "")</f>
        <v/>
      </c>
      <c r="AT1930" s="48" t="str">
        <f t="shared" ca="1" si="334"/>
        <v/>
      </c>
      <c r="AU1930" s="3" t="str">
        <f t="shared" ca="1" si="331"/>
        <v/>
      </c>
      <c r="AV1930" s="3" t="str">
        <f t="shared" ca="1" si="332"/>
        <v/>
      </c>
    </row>
    <row r="1931" spans="43:48" x14ac:dyDescent="0.2">
      <c r="AQ1931" s="4" t="str">
        <f t="shared" ca="1" si="333"/>
        <v/>
      </c>
      <c r="AR1931" s="3" t="str">
        <f t="shared" ca="1" si="330"/>
        <v/>
      </c>
      <c r="AS1931" s="63" t="str">
        <f ca="1">IF($AQ1931&lt;&gt;"", INDEX(Inputs!$B$3:$B$101, MATCH($AQ1931,Inputs!$A$3:$A$101,1)), "")</f>
        <v/>
      </c>
      <c r="AT1931" s="48" t="str">
        <f t="shared" ca="1" si="334"/>
        <v/>
      </c>
      <c r="AU1931" s="3" t="str">
        <f t="shared" ca="1" si="331"/>
        <v/>
      </c>
      <c r="AV1931" s="3" t="str">
        <f t="shared" ca="1" si="332"/>
        <v/>
      </c>
    </row>
    <row r="1932" spans="43:48" x14ac:dyDescent="0.2">
      <c r="AQ1932" s="4" t="str">
        <f t="shared" ca="1" si="333"/>
        <v/>
      </c>
      <c r="AR1932" s="3" t="str">
        <f t="shared" ca="1" si="330"/>
        <v/>
      </c>
      <c r="AS1932" s="63" t="str">
        <f ca="1">IF($AQ1932&lt;&gt;"", INDEX(Inputs!$B$3:$B$101, MATCH($AQ1932,Inputs!$A$3:$A$101,1)), "")</f>
        <v/>
      </c>
      <c r="AT1932" s="48" t="str">
        <f t="shared" ca="1" si="334"/>
        <v/>
      </c>
      <c r="AU1932" s="3" t="str">
        <f t="shared" ca="1" si="331"/>
        <v/>
      </c>
      <c r="AV1932" s="3" t="str">
        <f t="shared" ca="1" si="332"/>
        <v/>
      </c>
    </row>
    <row r="1933" spans="43:48" x14ac:dyDescent="0.2">
      <c r="AQ1933" s="4" t="str">
        <f t="shared" ca="1" si="333"/>
        <v/>
      </c>
      <c r="AR1933" s="3" t="str">
        <f t="shared" ca="1" si="330"/>
        <v/>
      </c>
      <c r="AS1933" s="63" t="str">
        <f ca="1">IF($AQ1933&lt;&gt;"", INDEX(Inputs!$B$3:$B$101, MATCH($AQ1933,Inputs!$A$3:$A$101,1)), "")</f>
        <v/>
      </c>
      <c r="AT1933" s="48" t="str">
        <f t="shared" ca="1" si="334"/>
        <v/>
      </c>
      <c r="AU1933" s="3" t="str">
        <f t="shared" ca="1" si="331"/>
        <v/>
      </c>
      <c r="AV1933" s="3" t="str">
        <f t="shared" ca="1" si="332"/>
        <v/>
      </c>
    </row>
    <row r="1934" spans="43:48" x14ac:dyDescent="0.2">
      <c r="AQ1934" s="4" t="str">
        <f t="shared" ca="1" si="333"/>
        <v/>
      </c>
      <c r="AR1934" s="3" t="str">
        <f t="shared" ca="1" si="330"/>
        <v/>
      </c>
      <c r="AS1934" s="63" t="str">
        <f ca="1">IF($AQ1934&lt;&gt;"", INDEX(Inputs!$B$3:$B$101, MATCH($AQ1934,Inputs!$A$3:$A$101,1)), "")</f>
        <v/>
      </c>
      <c r="AT1934" s="48" t="str">
        <f t="shared" ca="1" si="334"/>
        <v/>
      </c>
      <c r="AU1934" s="3" t="str">
        <f t="shared" ca="1" si="331"/>
        <v/>
      </c>
      <c r="AV1934" s="3" t="str">
        <f t="shared" ca="1" si="332"/>
        <v/>
      </c>
    </row>
    <row r="1935" spans="43:48" x14ac:dyDescent="0.2">
      <c r="AQ1935" s="4" t="str">
        <f t="shared" ca="1" si="333"/>
        <v/>
      </c>
      <c r="AR1935" s="3" t="str">
        <f t="shared" ca="1" si="330"/>
        <v/>
      </c>
      <c r="AS1935" s="63" t="str">
        <f ca="1">IF($AQ1935&lt;&gt;"", INDEX(Inputs!$B$3:$B$101, MATCH($AQ1935,Inputs!$A$3:$A$101,1)), "")</f>
        <v/>
      </c>
      <c r="AT1935" s="48" t="str">
        <f t="shared" ca="1" si="334"/>
        <v/>
      </c>
      <c r="AU1935" s="3" t="str">
        <f t="shared" ca="1" si="331"/>
        <v/>
      </c>
      <c r="AV1935" s="3" t="str">
        <f t="shared" ca="1" si="332"/>
        <v/>
      </c>
    </row>
    <row r="1936" spans="43:48" x14ac:dyDescent="0.2">
      <c r="AQ1936" s="4" t="str">
        <f t="shared" ca="1" si="333"/>
        <v/>
      </c>
      <c r="AR1936" s="3" t="str">
        <f t="shared" ca="1" si="330"/>
        <v/>
      </c>
      <c r="AS1936" s="63" t="str">
        <f ca="1">IF($AQ1936&lt;&gt;"", INDEX(Inputs!$B$3:$B$101, MATCH($AQ1936,Inputs!$A$3:$A$101,1)), "")</f>
        <v/>
      </c>
      <c r="AT1936" s="48" t="str">
        <f t="shared" ca="1" si="334"/>
        <v/>
      </c>
      <c r="AU1936" s="3" t="str">
        <f t="shared" ca="1" si="331"/>
        <v/>
      </c>
      <c r="AV1936" s="3" t="str">
        <f t="shared" ca="1" si="332"/>
        <v/>
      </c>
    </row>
    <row r="1937" spans="43:48" x14ac:dyDescent="0.2">
      <c r="AQ1937" s="4" t="str">
        <f t="shared" ca="1" si="333"/>
        <v/>
      </c>
      <c r="AR1937" s="3" t="str">
        <f t="shared" ca="1" si="330"/>
        <v/>
      </c>
      <c r="AS1937" s="63" t="str">
        <f ca="1">IF($AQ1937&lt;&gt;"", INDEX(Inputs!$B$3:$B$101, MATCH($AQ1937,Inputs!$A$3:$A$101,1)), "")</f>
        <v/>
      </c>
      <c r="AT1937" s="48" t="str">
        <f t="shared" ca="1" si="334"/>
        <v/>
      </c>
      <c r="AU1937" s="3" t="str">
        <f t="shared" ca="1" si="331"/>
        <v/>
      </c>
      <c r="AV1937" s="3" t="str">
        <f t="shared" ca="1" si="332"/>
        <v/>
      </c>
    </row>
    <row r="1938" spans="43:48" x14ac:dyDescent="0.2">
      <c r="AQ1938" s="4" t="str">
        <f t="shared" ca="1" si="333"/>
        <v/>
      </c>
      <c r="AR1938" s="3" t="str">
        <f t="shared" ca="1" si="330"/>
        <v/>
      </c>
      <c r="AS1938" s="63" t="str">
        <f ca="1">IF($AQ1938&lt;&gt;"", INDEX(Inputs!$B$3:$B$101, MATCH($AQ1938,Inputs!$A$3:$A$101,1)), "")</f>
        <v/>
      </c>
      <c r="AT1938" s="48" t="str">
        <f t="shared" ca="1" si="334"/>
        <v/>
      </c>
      <c r="AU1938" s="3" t="str">
        <f t="shared" ca="1" si="331"/>
        <v/>
      </c>
      <c r="AV1938" s="3" t="str">
        <f t="shared" ca="1" si="332"/>
        <v/>
      </c>
    </row>
    <row r="1939" spans="43:48" x14ac:dyDescent="0.2">
      <c r="AQ1939" s="4" t="str">
        <f t="shared" ca="1" si="333"/>
        <v/>
      </c>
      <c r="AR1939" s="3" t="str">
        <f t="shared" ca="1" si="330"/>
        <v/>
      </c>
      <c r="AS1939" s="63" t="str">
        <f ca="1">IF($AQ1939&lt;&gt;"", INDEX(Inputs!$B$3:$B$101, MATCH($AQ1939,Inputs!$A$3:$A$101,1)), "")</f>
        <v/>
      </c>
      <c r="AT1939" s="48" t="str">
        <f t="shared" ca="1" si="334"/>
        <v/>
      </c>
      <c r="AU1939" s="3" t="str">
        <f t="shared" ca="1" si="331"/>
        <v/>
      </c>
      <c r="AV1939" s="3" t="str">
        <f t="shared" ca="1" si="332"/>
        <v/>
      </c>
    </row>
    <row r="1940" spans="43:48" x14ac:dyDescent="0.2">
      <c r="AQ1940" s="4" t="str">
        <f t="shared" ca="1" si="333"/>
        <v/>
      </c>
      <c r="AR1940" s="3" t="str">
        <f t="shared" ca="1" si="330"/>
        <v/>
      </c>
      <c r="AS1940" s="63" t="str">
        <f ca="1">IF($AQ1940&lt;&gt;"", INDEX(Inputs!$B$3:$B$101, MATCH($AQ1940,Inputs!$A$3:$A$101,1)), "")</f>
        <v/>
      </c>
      <c r="AT1940" s="48" t="str">
        <f t="shared" ca="1" si="334"/>
        <v/>
      </c>
      <c r="AU1940" s="3" t="str">
        <f t="shared" ca="1" si="331"/>
        <v/>
      </c>
      <c r="AV1940" s="3" t="str">
        <f t="shared" ca="1" si="332"/>
        <v/>
      </c>
    </row>
    <row r="1941" spans="43:48" x14ac:dyDescent="0.2">
      <c r="AQ1941" s="4" t="str">
        <f t="shared" ca="1" si="333"/>
        <v/>
      </c>
      <c r="AR1941" s="3" t="str">
        <f t="shared" ca="1" si="330"/>
        <v/>
      </c>
      <c r="AS1941" s="63" t="str">
        <f ca="1">IF($AQ1941&lt;&gt;"", INDEX(Inputs!$B$3:$B$101, MATCH($AQ1941,Inputs!$A$3:$A$101,1)), "")</f>
        <v/>
      </c>
      <c r="AT1941" s="48" t="str">
        <f t="shared" ca="1" si="334"/>
        <v/>
      </c>
      <c r="AU1941" s="3" t="str">
        <f t="shared" ca="1" si="331"/>
        <v/>
      </c>
      <c r="AV1941" s="3" t="str">
        <f t="shared" ca="1" si="332"/>
        <v/>
      </c>
    </row>
    <row r="1942" spans="43:48" x14ac:dyDescent="0.2">
      <c r="AQ1942" s="4" t="str">
        <f t="shared" ca="1" si="333"/>
        <v/>
      </c>
      <c r="AR1942" s="3" t="str">
        <f t="shared" ca="1" si="330"/>
        <v/>
      </c>
      <c r="AS1942" s="63" t="str">
        <f ca="1">IF($AQ1942&lt;&gt;"", INDEX(Inputs!$B$3:$B$101, MATCH($AQ1942,Inputs!$A$3:$A$101,1)), "")</f>
        <v/>
      </c>
      <c r="AT1942" s="48" t="str">
        <f t="shared" ca="1" si="334"/>
        <v/>
      </c>
      <c r="AU1942" s="3" t="str">
        <f t="shared" ca="1" si="331"/>
        <v/>
      </c>
      <c r="AV1942" s="3" t="str">
        <f t="shared" ca="1" si="332"/>
        <v/>
      </c>
    </row>
    <row r="1943" spans="43:48" x14ac:dyDescent="0.2">
      <c r="AQ1943" s="4" t="str">
        <f t="shared" ca="1" si="333"/>
        <v/>
      </c>
      <c r="AR1943" s="3" t="str">
        <f t="shared" ca="1" si="330"/>
        <v/>
      </c>
      <c r="AS1943" s="63" t="str">
        <f ca="1">IF($AQ1943&lt;&gt;"", INDEX(Inputs!$B$3:$B$101, MATCH($AQ1943,Inputs!$A$3:$A$101,1)), "")</f>
        <v/>
      </c>
      <c r="AT1943" s="48" t="str">
        <f t="shared" ca="1" si="334"/>
        <v/>
      </c>
      <c r="AU1943" s="3" t="str">
        <f t="shared" ca="1" si="331"/>
        <v/>
      </c>
      <c r="AV1943" s="3" t="str">
        <f t="shared" ca="1" si="332"/>
        <v/>
      </c>
    </row>
    <row r="1944" spans="43:48" x14ac:dyDescent="0.2">
      <c r="AQ1944" s="4" t="str">
        <f t="shared" ca="1" si="333"/>
        <v/>
      </c>
      <c r="AR1944" s="3" t="str">
        <f t="shared" ca="1" si="330"/>
        <v/>
      </c>
      <c r="AS1944" s="63" t="str">
        <f ca="1">IF($AQ1944&lt;&gt;"", INDEX(Inputs!$B$3:$B$101, MATCH($AQ1944,Inputs!$A$3:$A$101,1)), "")</f>
        <v/>
      </c>
      <c r="AT1944" s="48" t="str">
        <f t="shared" ca="1" si="334"/>
        <v/>
      </c>
      <c r="AU1944" s="3" t="str">
        <f t="shared" ca="1" si="331"/>
        <v/>
      </c>
      <c r="AV1944" s="3" t="str">
        <f t="shared" ca="1" si="332"/>
        <v/>
      </c>
    </row>
    <row r="1945" spans="43:48" x14ac:dyDescent="0.2">
      <c r="AQ1945" s="4" t="str">
        <f t="shared" ca="1" si="333"/>
        <v/>
      </c>
      <c r="AR1945" s="3" t="str">
        <f t="shared" ref="AR1945:AR2008" ca="1" si="335">IF($AQ1945&lt;&gt;"", INDEX($AC$3:$AC$1055, MATCH($AQ1945,$A$3:$A$1055,1)), "")</f>
        <v/>
      </c>
      <c r="AS1945" s="63" t="str">
        <f ca="1">IF($AQ1945&lt;&gt;"", INDEX(Inputs!$B$3:$B$101, MATCH($AQ1945,Inputs!$A$3:$A$101,1)), "")</f>
        <v/>
      </c>
      <c r="AT1945" s="48" t="str">
        <f t="shared" ca="1" si="334"/>
        <v/>
      </c>
      <c r="AU1945" s="3" t="str">
        <f t="shared" ref="AU1945:AU2008" ca="1" si="336">IF($AQ1945&lt;&gt;"", SUMIFS($AL$3:$AL$1054, $A$3:$A$1054,$AQ1945) + SUMIFS($M$3:$M$1054, $A$3:$A$1054,$AQ1945)*IFERROR(AVERAGEIFS($L$3:$L$1054, $A$3:$A$1054,$AQ1945, $M$3:$M$1054,"&gt;0"),0) - AT1945, "")</f>
        <v/>
      </c>
      <c r="AV1945" s="3" t="str">
        <f t="shared" ca="1" si="332"/>
        <v/>
      </c>
    </row>
    <row r="1946" spans="43:48" x14ac:dyDescent="0.2">
      <c r="AQ1946" s="4" t="str">
        <f t="shared" ca="1" si="333"/>
        <v/>
      </c>
      <c r="AR1946" s="3" t="str">
        <f t="shared" ca="1" si="335"/>
        <v/>
      </c>
      <c r="AS1946" s="63" t="str">
        <f ca="1">IF($AQ1946&lt;&gt;"", INDEX(Inputs!$B$3:$B$101, MATCH($AQ1946,Inputs!$A$3:$A$101,1)), "")</f>
        <v/>
      </c>
      <c r="AT1946" s="48" t="str">
        <f t="shared" ca="1" si="334"/>
        <v/>
      </c>
      <c r="AU1946" s="3" t="str">
        <f t="shared" ca="1" si="336"/>
        <v/>
      </c>
      <c r="AV1946" s="3" t="str">
        <f t="shared" ca="1" si="332"/>
        <v/>
      </c>
    </row>
    <row r="1947" spans="43:48" x14ac:dyDescent="0.2">
      <c r="AQ1947" s="4" t="str">
        <f t="shared" ca="1" si="333"/>
        <v/>
      </c>
      <c r="AR1947" s="3" t="str">
        <f t="shared" ca="1" si="335"/>
        <v/>
      </c>
      <c r="AS1947" s="63" t="str">
        <f ca="1">IF($AQ1947&lt;&gt;"", INDEX(Inputs!$B$3:$B$101, MATCH($AQ1947,Inputs!$A$3:$A$101,1)), "")</f>
        <v/>
      </c>
      <c r="AT1947" s="48" t="str">
        <f t="shared" ca="1" si="334"/>
        <v/>
      </c>
      <c r="AU1947" s="3" t="str">
        <f t="shared" ca="1" si="336"/>
        <v/>
      </c>
      <c r="AV1947" s="3" t="str">
        <f t="shared" ca="1" si="332"/>
        <v/>
      </c>
    </row>
    <row r="1948" spans="43:48" x14ac:dyDescent="0.2">
      <c r="AQ1948" s="4" t="str">
        <f t="shared" ca="1" si="333"/>
        <v/>
      </c>
      <c r="AR1948" s="3" t="str">
        <f t="shared" ca="1" si="335"/>
        <v/>
      </c>
      <c r="AS1948" s="63" t="str">
        <f ca="1">IF($AQ1948&lt;&gt;"", INDEX(Inputs!$B$3:$B$101, MATCH($AQ1948,Inputs!$A$3:$A$101,1)), "")</f>
        <v/>
      </c>
      <c r="AT1948" s="48" t="str">
        <f t="shared" ca="1" si="334"/>
        <v/>
      </c>
      <c r="AU1948" s="3" t="str">
        <f t="shared" ca="1" si="336"/>
        <v/>
      </c>
      <c r="AV1948" s="3" t="str">
        <f t="shared" ca="1" si="332"/>
        <v/>
      </c>
    </row>
    <row r="1949" spans="43:48" x14ac:dyDescent="0.2">
      <c r="AQ1949" s="4" t="str">
        <f t="shared" ca="1" si="333"/>
        <v/>
      </c>
      <c r="AR1949" s="3" t="str">
        <f t="shared" ca="1" si="335"/>
        <v/>
      </c>
      <c r="AS1949" s="63" t="str">
        <f ca="1">IF($AQ1949&lt;&gt;"", INDEX(Inputs!$B$3:$B$101, MATCH($AQ1949,Inputs!$A$3:$A$101,1)), "")</f>
        <v/>
      </c>
      <c r="AT1949" s="48" t="str">
        <f t="shared" ca="1" si="334"/>
        <v/>
      </c>
      <c r="AU1949" s="3" t="str">
        <f t="shared" ca="1" si="336"/>
        <v/>
      </c>
      <c r="AV1949" s="3" t="str">
        <f t="shared" ca="1" si="332"/>
        <v/>
      </c>
    </row>
    <row r="1950" spans="43:48" x14ac:dyDescent="0.2">
      <c r="AQ1950" s="4" t="str">
        <f t="shared" ca="1" si="333"/>
        <v/>
      </c>
      <c r="AR1950" s="3" t="str">
        <f t="shared" ca="1" si="335"/>
        <v/>
      </c>
      <c r="AS1950" s="63" t="str">
        <f ca="1">IF($AQ1950&lt;&gt;"", INDEX(Inputs!$B$3:$B$101, MATCH($AQ1950,Inputs!$A$3:$A$101,1)), "")</f>
        <v/>
      </c>
      <c r="AT1950" s="48" t="str">
        <f t="shared" ca="1" si="334"/>
        <v/>
      </c>
      <c r="AU1950" s="3" t="str">
        <f t="shared" ca="1" si="336"/>
        <v/>
      </c>
      <c r="AV1950" s="3" t="str">
        <f t="shared" ca="1" si="332"/>
        <v/>
      </c>
    </row>
    <row r="1951" spans="43:48" x14ac:dyDescent="0.2">
      <c r="AQ1951" s="4" t="str">
        <f t="shared" ca="1" si="333"/>
        <v/>
      </c>
      <c r="AR1951" s="3" t="str">
        <f t="shared" ca="1" si="335"/>
        <v/>
      </c>
      <c r="AS1951" s="63" t="str">
        <f ca="1">IF($AQ1951&lt;&gt;"", INDEX(Inputs!$B$3:$B$101, MATCH($AQ1951,Inputs!$A$3:$A$101,1)), "")</f>
        <v/>
      </c>
      <c r="AT1951" s="48" t="str">
        <f t="shared" ca="1" si="334"/>
        <v/>
      </c>
      <c r="AU1951" s="3" t="str">
        <f t="shared" ca="1" si="336"/>
        <v/>
      </c>
      <c r="AV1951" s="3" t="str">
        <f t="shared" ca="1" si="332"/>
        <v/>
      </c>
    </row>
    <row r="1952" spans="43:48" x14ac:dyDescent="0.2">
      <c r="AQ1952" s="4" t="str">
        <f t="shared" ca="1" si="333"/>
        <v/>
      </c>
      <c r="AR1952" s="3" t="str">
        <f t="shared" ca="1" si="335"/>
        <v/>
      </c>
      <c r="AS1952" s="63" t="str">
        <f ca="1">IF($AQ1952&lt;&gt;"", INDEX(Inputs!$B$3:$B$101, MATCH($AQ1952,Inputs!$A$3:$A$101,1)), "")</f>
        <v/>
      </c>
      <c r="AT1952" s="48" t="str">
        <f t="shared" ca="1" si="334"/>
        <v/>
      </c>
      <c r="AU1952" s="3" t="str">
        <f t="shared" ca="1" si="336"/>
        <v/>
      </c>
      <c r="AV1952" s="3" t="str">
        <f t="shared" ref="AV1952:AV2015" ca="1" si="337">IF(AQ1952&lt;&gt;"", AU1952*(1+$X$9/CompoundingRate)^-((AQ1952-AQ$3)/(365/CompoundingRate)), "")</f>
        <v/>
      </c>
    </row>
    <row r="1953" spans="43:48" x14ac:dyDescent="0.2">
      <c r="AQ1953" s="4" t="str">
        <f t="shared" ca="1" si="333"/>
        <v/>
      </c>
      <c r="AR1953" s="3" t="str">
        <f t="shared" ca="1" si="335"/>
        <v/>
      </c>
      <c r="AS1953" s="63" t="str">
        <f ca="1">IF($AQ1953&lt;&gt;"", INDEX(Inputs!$B$3:$B$101, MATCH($AQ1953,Inputs!$A$3:$A$101,1)), "")</f>
        <v/>
      </c>
      <c r="AT1953" s="48" t="str">
        <f t="shared" ca="1" si="334"/>
        <v/>
      </c>
      <c r="AU1953" s="3" t="str">
        <f t="shared" ca="1" si="336"/>
        <v/>
      </c>
      <c r="AV1953" s="3" t="str">
        <f t="shared" ca="1" si="337"/>
        <v/>
      </c>
    </row>
    <row r="1954" spans="43:48" x14ac:dyDescent="0.2">
      <c r="AQ1954" s="4" t="str">
        <f t="shared" ca="1" si="333"/>
        <v/>
      </c>
      <c r="AR1954" s="3" t="str">
        <f t="shared" ca="1" si="335"/>
        <v/>
      </c>
      <c r="AS1954" s="63" t="str">
        <f ca="1">IF($AQ1954&lt;&gt;"", INDEX(Inputs!$B$3:$B$101, MATCH($AQ1954,Inputs!$A$3:$A$101,1)), "")</f>
        <v/>
      </c>
      <c r="AT1954" s="48" t="str">
        <f t="shared" ca="1" si="334"/>
        <v/>
      </c>
      <c r="AU1954" s="3" t="str">
        <f t="shared" ca="1" si="336"/>
        <v/>
      </c>
      <c r="AV1954" s="3" t="str">
        <f t="shared" ca="1" si="337"/>
        <v/>
      </c>
    </row>
    <row r="1955" spans="43:48" x14ac:dyDescent="0.2">
      <c r="AQ1955" s="4" t="str">
        <f t="shared" ca="1" si="333"/>
        <v/>
      </c>
      <c r="AR1955" s="3" t="str">
        <f t="shared" ca="1" si="335"/>
        <v/>
      </c>
      <c r="AS1955" s="63" t="str">
        <f ca="1">IF($AQ1955&lt;&gt;"", INDEX(Inputs!$B$3:$B$101, MATCH($AQ1955,Inputs!$A$3:$A$101,1)), "")</f>
        <v/>
      </c>
      <c r="AT1955" s="48" t="str">
        <f t="shared" ca="1" si="334"/>
        <v/>
      </c>
      <c r="AU1955" s="3" t="str">
        <f t="shared" ca="1" si="336"/>
        <v/>
      </c>
      <c r="AV1955" s="3" t="str">
        <f t="shared" ca="1" si="337"/>
        <v/>
      </c>
    </row>
    <row r="1956" spans="43:48" x14ac:dyDescent="0.2">
      <c r="AQ1956" s="4" t="str">
        <f t="shared" ca="1" si="333"/>
        <v/>
      </c>
      <c r="AR1956" s="3" t="str">
        <f t="shared" ca="1" si="335"/>
        <v/>
      </c>
      <c r="AS1956" s="63" t="str">
        <f ca="1">IF($AQ1956&lt;&gt;"", INDEX(Inputs!$B$3:$B$101, MATCH($AQ1956,Inputs!$A$3:$A$101,1)), "")</f>
        <v/>
      </c>
      <c r="AT1956" s="48" t="str">
        <f t="shared" ca="1" si="334"/>
        <v/>
      </c>
      <c r="AU1956" s="3" t="str">
        <f t="shared" ca="1" si="336"/>
        <v/>
      </c>
      <c r="AV1956" s="3" t="str">
        <f t="shared" ca="1" si="337"/>
        <v/>
      </c>
    </row>
    <row r="1957" spans="43:48" x14ac:dyDescent="0.2">
      <c r="AQ1957" s="4" t="str">
        <f t="shared" ca="1" si="333"/>
        <v/>
      </c>
      <c r="AR1957" s="3" t="str">
        <f t="shared" ca="1" si="335"/>
        <v/>
      </c>
      <c r="AS1957" s="63" t="str">
        <f ca="1">IF($AQ1957&lt;&gt;"", INDEX(Inputs!$B$3:$B$101, MATCH($AQ1957,Inputs!$A$3:$A$101,1)), "")</f>
        <v/>
      </c>
      <c r="AT1957" s="48" t="str">
        <f t="shared" ca="1" si="334"/>
        <v/>
      </c>
      <c r="AU1957" s="3" t="str">
        <f t="shared" ca="1" si="336"/>
        <v/>
      </c>
      <c r="AV1957" s="3" t="str">
        <f t="shared" ca="1" si="337"/>
        <v/>
      </c>
    </row>
    <row r="1958" spans="43:48" x14ac:dyDescent="0.2">
      <c r="AQ1958" s="4" t="str">
        <f t="shared" ca="1" si="333"/>
        <v/>
      </c>
      <c r="AR1958" s="3" t="str">
        <f t="shared" ca="1" si="335"/>
        <v/>
      </c>
      <c r="AS1958" s="63" t="str">
        <f ca="1">IF($AQ1958&lt;&gt;"", INDEX(Inputs!$B$3:$B$101, MATCH($AQ1958,Inputs!$A$3:$A$101,1)), "")</f>
        <v/>
      </c>
      <c r="AT1958" s="48" t="str">
        <f t="shared" ca="1" si="334"/>
        <v/>
      </c>
      <c r="AU1958" s="3" t="str">
        <f t="shared" ca="1" si="336"/>
        <v/>
      </c>
      <c r="AV1958" s="3" t="str">
        <f t="shared" ca="1" si="337"/>
        <v/>
      </c>
    </row>
    <row r="1959" spans="43:48" x14ac:dyDescent="0.2">
      <c r="AQ1959" s="4" t="str">
        <f t="shared" ca="1" si="333"/>
        <v/>
      </c>
      <c r="AR1959" s="3" t="str">
        <f t="shared" ca="1" si="335"/>
        <v/>
      </c>
      <c r="AS1959" s="63" t="str">
        <f ca="1">IF($AQ1959&lt;&gt;"", INDEX(Inputs!$B$3:$B$101, MATCH($AQ1959,Inputs!$A$3:$A$101,1)), "")</f>
        <v/>
      </c>
      <c r="AT1959" s="48" t="str">
        <f t="shared" ca="1" si="334"/>
        <v/>
      </c>
      <c r="AU1959" s="3" t="str">
        <f t="shared" ca="1" si="336"/>
        <v/>
      </c>
      <c r="AV1959" s="3" t="str">
        <f t="shared" ca="1" si="337"/>
        <v/>
      </c>
    </row>
    <row r="1960" spans="43:48" x14ac:dyDescent="0.2">
      <c r="AQ1960" s="4" t="str">
        <f t="shared" ca="1" si="333"/>
        <v/>
      </c>
      <c r="AR1960" s="3" t="str">
        <f t="shared" ca="1" si="335"/>
        <v/>
      </c>
      <c r="AS1960" s="63" t="str">
        <f ca="1">IF($AQ1960&lt;&gt;"", INDEX(Inputs!$B$3:$B$101, MATCH($AQ1960,Inputs!$A$3:$A$101,1)), "")</f>
        <v/>
      </c>
      <c r="AT1960" s="48" t="str">
        <f t="shared" ca="1" si="334"/>
        <v/>
      </c>
      <c r="AU1960" s="3" t="str">
        <f t="shared" ca="1" si="336"/>
        <v/>
      </c>
      <c r="AV1960" s="3" t="str">
        <f t="shared" ca="1" si="337"/>
        <v/>
      </c>
    </row>
    <row r="1961" spans="43:48" x14ac:dyDescent="0.2">
      <c r="AQ1961" s="4" t="str">
        <f t="shared" ca="1" si="333"/>
        <v/>
      </c>
      <c r="AR1961" s="3" t="str">
        <f t="shared" ca="1" si="335"/>
        <v/>
      </c>
      <c r="AS1961" s="63" t="str">
        <f ca="1">IF($AQ1961&lt;&gt;"", INDEX(Inputs!$B$3:$B$101, MATCH($AQ1961,Inputs!$A$3:$A$101,1)), "")</f>
        <v/>
      </c>
      <c r="AT1961" s="48" t="str">
        <f t="shared" ca="1" si="334"/>
        <v/>
      </c>
      <c r="AU1961" s="3" t="str">
        <f t="shared" ca="1" si="336"/>
        <v/>
      </c>
      <c r="AV1961" s="3" t="str">
        <f t="shared" ca="1" si="337"/>
        <v/>
      </c>
    </row>
    <row r="1962" spans="43:48" x14ac:dyDescent="0.2">
      <c r="AQ1962" s="4" t="str">
        <f t="shared" ca="1" si="333"/>
        <v/>
      </c>
      <c r="AR1962" s="3" t="str">
        <f t="shared" ca="1" si="335"/>
        <v/>
      </c>
      <c r="AS1962" s="63" t="str">
        <f ca="1">IF($AQ1962&lt;&gt;"", INDEX(Inputs!$B$3:$B$101, MATCH($AQ1962,Inputs!$A$3:$A$101,1)), "")</f>
        <v/>
      </c>
      <c r="AT1962" s="48" t="str">
        <f t="shared" ca="1" si="334"/>
        <v/>
      </c>
      <c r="AU1962" s="3" t="str">
        <f t="shared" ca="1" si="336"/>
        <v/>
      </c>
      <c r="AV1962" s="3" t="str">
        <f t="shared" ca="1" si="337"/>
        <v/>
      </c>
    </row>
    <row r="1963" spans="43:48" x14ac:dyDescent="0.2">
      <c r="AQ1963" s="4" t="str">
        <f t="shared" ca="1" si="333"/>
        <v/>
      </c>
      <c r="AR1963" s="3" t="str">
        <f t="shared" ca="1" si="335"/>
        <v/>
      </c>
      <c r="AS1963" s="63" t="str">
        <f ca="1">IF($AQ1963&lt;&gt;"", INDEX(Inputs!$B$3:$B$101, MATCH($AQ1963,Inputs!$A$3:$A$101,1)), "")</f>
        <v/>
      </c>
      <c r="AT1963" s="48" t="str">
        <f t="shared" ca="1" si="334"/>
        <v/>
      </c>
      <c r="AU1963" s="3" t="str">
        <f t="shared" ca="1" si="336"/>
        <v/>
      </c>
      <c r="AV1963" s="3" t="str">
        <f t="shared" ca="1" si="337"/>
        <v/>
      </c>
    </row>
    <row r="1964" spans="43:48" x14ac:dyDescent="0.2">
      <c r="AQ1964" s="4" t="str">
        <f t="shared" ca="1" si="333"/>
        <v/>
      </c>
      <c r="AR1964" s="3" t="str">
        <f t="shared" ca="1" si="335"/>
        <v/>
      </c>
      <c r="AS1964" s="63" t="str">
        <f ca="1">IF($AQ1964&lt;&gt;"", INDEX(Inputs!$B$3:$B$101, MATCH($AQ1964,Inputs!$A$3:$A$101,1)), "")</f>
        <v/>
      </c>
      <c r="AT1964" s="48" t="str">
        <f t="shared" ca="1" si="334"/>
        <v/>
      </c>
      <c r="AU1964" s="3" t="str">
        <f t="shared" ca="1" si="336"/>
        <v/>
      </c>
      <c r="AV1964" s="3" t="str">
        <f t="shared" ca="1" si="337"/>
        <v/>
      </c>
    </row>
    <row r="1965" spans="43:48" x14ac:dyDescent="0.2">
      <c r="AQ1965" s="4" t="str">
        <f t="shared" ca="1" si="333"/>
        <v/>
      </c>
      <c r="AR1965" s="3" t="str">
        <f t="shared" ca="1" si="335"/>
        <v/>
      </c>
      <c r="AS1965" s="63" t="str">
        <f ca="1">IF($AQ1965&lt;&gt;"", INDEX(Inputs!$B$3:$B$101, MATCH($AQ1965,Inputs!$A$3:$A$101,1)), "")</f>
        <v/>
      </c>
      <c r="AT1965" s="48" t="str">
        <f t="shared" ca="1" si="334"/>
        <v/>
      </c>
      <c r="AU1965" s="3" t="str">
        <f t="shared" ca="1" si="336"/>
        <v/>
      </c>
      <c r="AV1965" s="3" t="str">
        <f t="shared" ca="1" si="337"/>
        <v/>
      </c>
    </row>
    <row r="1966" spans="43:48" x14ac:dyDescent="0.2">
      <c r="AQ1966" s="4" t="str">
        <f t="shared" ca="1" si="333"/>
        <v/>
      </c>
      <c r="AR1966" s="3" t="str">
        <f t="shared" ca="1" si="335"/>
        <v/>
      </c>
      <c r="AS1966" s="63" t="str">
        <f ca="1">IF($AQ1966&lt;&gt;"", INDEX(Inputs!$B$3:$B$101, MATCH($AQ1966,Inputs!$A$3:$A$101,1)), "")</f>
        <v/>
      </c>
      <c r="AT1966" s="48" t="str">
        <f t="shared" ca="1" si="334"/>
        <v/>
      </c>
      <c r="AU1966" s="3" t="str">
        <f t="shared" ca="1" si="336"/>
        <v/>
      </c>
      <c r="AV1966" s="3" t="str">
        <f t="shared" ca="1" si="337"/>
        <v/>
      </c>
    </row>
    <row r="1967" spans="43:48" x14ac:dyDescent="0.2">
      <c r="AQ1967" s="4" t="str">
        <f t="shared" ca="1" si="333"/>
        <v/>
      </c>
      <c r="AR1967" s="3" t="str">
        <f t="shared" ca="1" si="335"/>
        <v/>
      </c>
      <c r="AS1967" s="63" t="str">
        <f ca="1">IF($AQ1967&lt;&gt;"", INDEX(Inputs!$B$3:$B$101, MATCH($AQ1967,Inputs!$A$3:$A$101,1)), "")</f>
        <v/>
      </c>
      <c r="AT1967" s="48" t="str">
        <f t="shared" ca="1" si="334"/>
        <v/>
      </c>
      <c r="AU1967" s="3" t="str">
        <f t="shared" ca="1" si="336"/>
        <v/>
      </c>
      <c r="AV1967" s="3" t="str">
        <f t="shared" ca="1" si="337"/>
        <v/>
      </c>
    </row>
    <row r="1968" spans="43:48" x14ac:dyDescent="0.2">
      <c r="AQ1968" s="4" t="str">
        <f t="shared" ca="1" si="333"/>
        <v/>
      </c>
      <c r="AR1968" s="3" t="str">
        <f t="shared" ca="1" si="335"/>
        <v/>
      </c>
      <c r="AS1968" s="63" t="str">
        <f ca="1">IF($AQ1968&lt;&gt;"", INDEX(Inputs!$B$3:$B$101, MATCH($AQ1968,Inputs!$A$3:$A$101,1)), "")</f>
        <v/>
      </c>
      <c r="AT1968" s="48" t="str">
        <f t="shared" ca="1" si="334"/>
        <v/>
      </c>
      <c r="AU1968" s="3" t="str">
        <f t="shared" ca="1" si="336"/>
        <v/>
      </c>
      <c r="AV1968" s="3" t="str">
        <f t="shared" ca="1" si="337"/>
        <v/>
      </c>
    </row>
    <row r="1969" spans="43:48" x14ac:dyDescent="0.2">
      <c r="AQ1969" s="4" t="str">
        <f t="shared" ca="1" si="333"/>
        <v/>
      </c>
      <c r="AR1969" s="3" t="str">
        <f t="shared" ca="1" si="335"/>
        <v/>
      </c>
      <c r="AS1969" s="63" t="str">
        <f ca="1">IF($AQ1969&lt;&gt;"", INDEX(Inputs!$B$3:$B$101, MATCH($AQ1969,Inputs!$A$3:$A$101,1)), "")</f>
        <v/>
      </c>
      <c r="AT1969" s="48" t="str">
        <f t="shared" ca="1" si="334"/>
        <v/>
      </c>
      <c r="AU1969" s="3" t="str">
        <f t="shared" ca="1" si="336"/>
        <v/>
      </c>
      <c r="AV1969" s="3" t="str">
        <f t="shared" ca="1" si="337"/>
        <v/>
      </c>
    </row>
    <row r="1970" spans="43:48" x14ac:dyDescent="0.2">
      <c r="AQ1970" s="4" t="str">
        <f t="shared" ca="1" si="333"/>
        <v/>
      </c>
      <c r="AR1970" s="3" t="str">
        <f t="shared" ca="1" si="335"/>
        <v/>
      </c>
      <c r="AS1970" s="63" t="str">
        <f ca="1">IF($AQ1970&lt;&gt;"", INDEX(Inputs!$B$3:$B$101, MATCH($AQ1970,Inputs!$A$3:$A$101,1)), "")</f>
        <v/>
      </c>
      <c r="AT1970" s="48" t="str">
        <f t="shared" ca="1" si="334"/>
        <v/>
      </c>
      <c r="AU1970" s="3" t="str">
        <f t="shared" ca="1" si="336"/>
        <v/>
      </c>
      <c r="AV1970" s="3" t="str">
        <f t="shared" ca="1" si="337"/>
        <v/>
      </c>
    </row>
    <row r="1971" spans="43:48" x14ac:dyDescent="0.2">
      <c r="AQ1971" s="4" t="str">
        <f t="shared" ca="1" si="333"/>
        <v/>
      </c>
      <c r="AR1971" s="3" t="str">
        <f t="shared" ca="1" si="335"/>
        <v/>
      </c>
      <c r="AS1971" s="63" t="str">
        <f ca="1">IF($AQ1971&lt;&gt;"", INDEX(Inputs!$B$3:$B$101, MATCH($AQ1971,Inputs!$A$3:$A$101,1)), "")</f>
        <v/>
      </c>
      <c r="AT1971" s="48" t="str">
        <f t="shared" ca="1" si="334"/>
        <v/>
      </c>
      <c r="AU1971" s="3" t="str">
        <f t="shared" ca="1" si="336"/>
        <v/>
      </c>
      <c r="AV1971" s="3" t="str">
        <f t="shared" ca="1" si="337"/>
        <v/>
      </c>
    </row>
    <row r="1972" spans="43:48" x14ac:dyDescent="0.2">
      <c r="AQ1972" s="4" t="str">
        <f t="shared" ca="1" si="333"/>
        <v/>
      </c>
      <c r="AR1972" s="3" t="str">
        <f t="shared" ca="1" si="335"/>
        <v/>
      </c>
      <c r="AS1972" s="63" t="str">
        <f ca="1">IF($AQ1972&lt;&gt;"", INDEX(Inputs!$B$3:$B$101, MATCH($AQ1972,Inputs!$A$3:$A$101,1)), "")</f>
        <v/>
      </c>
      <c r="AT1972" s="48" t="str">
        <f t="shared" ca="1" si="334"/>
        <v/>
      </c>
      <c r="AU1972" s="3" t="str">
        <f t="shared" ca="1" si="336"/>
        <v/>
      </c>
      <c r="AV1972" s="3" t="str">
        <f t="shared" ca="1" si="337"/>
        <v/>
      </c>
    </row>
    <row r="1973" spans="43:48" x14ac:dyDescent="0.2">
      <c r="AQ1973" s="4" t="str">
        <f t="shared" ca="1" si="333"/>
        <v/>
      </c>
      <c r="AR1973" s="3" t="str">
        <f t="shared" ca="1" si="335"/>
        <v/>
      </c>
      <c r="AS1973" s="63" t="str">
        <f ca="1">IF($AQ1973&lt;&gt;"", INDEX(Inputs!$B$3:$B$101, MATCH($AQ1973,Inputs!$A$3:$A$101,1)), "")</f>
        <v/>
      </c>
      <c r="AT1973" s="48" t="str">
        <f t="shared" ca="1" si="334"/>
        <v/>
      </c>
      <c r="AU1973" s="3" t="str">
        <f t="shared" ca="1" si="336"/>
        <v/>
      </c>
      <c r="AV1973" s="3" t="str">
        <f t="shared" ca="1" si="337"/>
        <v/>
      </c>
    </row>
    <row r="1974" spans="43:48" x14ac:dyDescent="0.2">
      <c r="AQ1974" s="4" t="str">
        <f t="shared" ca="1" si="333"/>
        <v/>
      </c>
      <c r="AR1974" s="3" t="str">
        <f t="shared" ca="1" si="335"/>
        <v/>
      </c>
      <c r="AS1974" s="63" t="str">
        <f ca="1">IF($AQ1974&lt;&gt;"", INDEX(Inputs!$B$3:$B$101, MATCH($AQ1974,Inputs!$A$3:$A$101,1)), "")</f>
        <v/>
      </c>
      <c r="AT1974" s="48" t="str">
        <f t="shared" ca="1" si="334"/>
        <v/>
      </c>
      <c r="AU1974" s="3" t="str">
        <f t="shared" ca="1" si="336"/>
        <v/>
      </c>
      <c r="AV1974" s="3" t="str">
        <f t="shared" ca="1" si="337"/>
        <v/>
      </c>
    </row>
    <row r="1975" spans="43:48" x14ac:dyDescent="0.2">
      <c r="AQ1975" s="4" t="str">
        <f t="shared" ca="1" si="333"/>
        <v/>
      </c>
      <c r="AR1975" s="3" t="str">
        <f t="shared" ca="1" si="335"/>
        <v/>
      </c>
      <c r="AS1975" s="63" t="str">
        <f ca="1">IF($AQ1975&lt;&gt;"", INDEX(Inputs!$B$3:$B$101, MATCH($AQ1975,Inputs!$A$3:$A$101,1)), "")</f>
        <v/>
      </c>
      <c r="AT1975" s="48" t="str">
        <f t="shared" ca="1" si="334"/>
        <v/>
      </c>
      <c r="AU1975" s="3" t="str">
        <f t="shared" ca="1" si="336"/>
        <v/>
      </c>
      <c r="AV1975" s="3" t="str">
        <f t="shared" ca="1" si="337"/>
        <v/>
      </c>
    </row>
    <row r="1976" spans="43:48" x14ac:dyDescent="0.2">
      <c r="AQ1976" s="4" t="str">
        <f t="shared" ca="1" si="333"/>
        <v/>
      </c>
      <c r="AR1976" s="3" t="str">
        <f t="shared" ca="1" si="335"/>
        <v/>
      </c>
      <c r="AS1976" s="63" t="str">
        <f ca="1">IF($AQ1976&lt;&gt;"", INDEX(Inputs!$B$3:$B$101, MATCH($AQ1976,Inputs!$A$3:$A$101,1)), "")</f>
        <v/>
      </c>
      <c r="AT1976" s="48" t="str">
        <f t="shared" ca="1" si="334"/>
        <v/>
      </c>
      <c r="AU1976" s="3" t="str">
        <f t="shared" ca="1" si="336"/>
        <v/>
      </c>
      <c r="AV1976" s="3" t="str">
        <f t="shared" ca="1" si="337"/>
        <v/>
      </c>
    </row>
    <row r="1977" spans="43:48" x14ac:dyDescent="0.2">
      <c r="AQ1977" s="4" t="str">
        <f t="shared" ref="AQ1977:AQ2040" ca="1" si="338">IF(AQ1976&lt;$AP$3,AQ1976+1,"")</f>
        <v/>
      </c>
      <c r="AR1977" s="3" t="str">
        <f t="shared" ca="1" si="335"/>
        <v/>
      </c>
      <c r="AS1977" s="63" t="str">
        <f ca="1">IF($AQ1977&lt;&gt;"", INDEX(Inputs!$B$3:$B$101, MATCH($AQ1977,Inputs!$A$3:$A$101,1)), "")</f>
        <v/>
      </c>
      <c r="AT1977" s="48" t="str">
        <f t="shared" ref="AT1977:AT2040" ca="1" si="339">IF($AQ1977&lt;&gt;"", AR1977*AS1977/365, "")</f>
        <v/>
      </c>
      <c r="AU1977" s="3" t="str">
        <f t="shared" ca="1" si="336"/>
        <v/>
      </c>
      <c r="AV1977" s="3" t="str">
        <f t="shared" ca="1" si="337"/>
        <v/>
      </c>
    </row>
    <row r="1978" spans="43:48" x14ac:dyDescent="0.2">
      <c r="AQ1978" s="4" t="str">
        <f t="shared" ca="1" si="338"/>
        <v/>
      </c>
      <c r="AR1978" s="3" t="str">
        <f t="shared" ca="1" si="335"/>
        <v/>
      </c>
      <c r="AS1978" s="63" t="str">
        <f ca="1">IF($AQ1978&lt;&gt;"", INDEX(Inputs!$B$3:$B$101, MATCH($AQ1978,Inputs!$A$3:$A$101,1)), "")</f>
        <v/>
      </c>
      <c r="AT1978" s="48" t="str">
        <f t="shared" ca="1" si="339"/>
        <v/>
      </c>
      <c r="AU1978" s="3" t="str">
        <f t="shared" ca="1" si="336"/>
        <v/>
      </c>
      <c r="AV1978" s="3" t="str">
        <f t="shared" ca="1" si="337"/>
        <v/>
      </c>
    </row>
    <row r="1979" spans="43:48" x14ac:dyDescent="0.2">
      <c r="AQ1979" s="4" t="str">
        <f t="shared" ca="1" si="338"/>
        <v/>
      </c>
      <c r="AR1979" s="3" t="str">
        <f t="shared" ca="1" si="335"/>
        <v/>
      </c>
      <c r="AS1979" s="63" t="str">
        <f ca="1">IF($AQ1979&lt;&gt;"", INDEX(Inputs!$B$3:$B$101, MATCH($AQ1979,Inputs!$A$3:$A$101,1)), "")</f>
        <v/>
      </c>
      <c r="AT1979" s="48" t="str">
        <f t="shared" ca="1" si="339"/>
        <v/>
      </c>
      <c r="AU1979" s="3" t="str">
        <f t="shared" ca="1" si="336"/>
        <v/>
      </c>
      <c r="AV1979" s="3" t="str">
        <f t="shared" ca="1" si="337"/>
        <v/>
      </c>
    </row>
    <row r="1980" spans="43:48" x14ac:dyDescent="0.2">
      <c r="AQ1980" s="4" t="str">
        <f t="shared" ca="1" si="338"/>
        <v/>
      </c>
      <c r="AR1980" s="3" t="str">
        <f t="shared" ca="1" si="335"/>
        <v/>
      </c>
      <c r="AS1980" s="63" t="str">
        <f ca="1">IF($AQ1980&lt;&gt;"", INDEX(Inputs!$B$3:$B$101, MATCH($AQ1980,Inputs!$A$3:$A$101,1)), "")</f>
        <v/>
      </c>
      <c r="AT1980" s="48" t="str">
        <f t="shared" ca="1" si="339"/>
        <v/>
      </c>
      <c r="AU1980" s="3" t="str">
        <f t="shared" ca="1" si="336"/>
        <v/>
      </c>
      <c r="AV1980" s="3" t="str">
        <f t="shared" ca="1" si="337"/>
        <v/>
      </c>
    </row>
    <row r="1981" spans="43:48" x14ac:dyDescent="0.2">
      <c r="AQ1981" s="4" t="str">
        <f t="shared" ca="1" si="338"/>
        <v/>
      </c>
      <c r="AR1981" s="3" t="str">
        <f t="shared" ca="1" si="335"/>
        <v/>
      </c>
      <c r="AS1981" s="63" t="str">
        <f ca="1">IF($AQ1981&lt;&gt;"", INDEX(Inputs!$B$3:$B$101, MATCH($AQ1981,Inputs!$A$3:$A$101,1)), "")</f>
        <v/>
      </c>
      <c r="AT1981" s="48" t="str">
        <f t="shared" ca="1" si="339"/>
        <v/>
      </c>
      <c r="AU1981" s="3" t="str">
        <f t="shared" ca="1" si="336"/>
        <v/>
      </c>
      <c r="AV1981" s="3" t="str">
        <f t="shared" ca="1" si="337"/>
        <v/>
      </c>
    </row>
    <row r="1982" spans="43:48" x14ac:dyDescent="0.2">
      <c r="AQ1982" s="4" t="str">
        <f t="shared" ca="1" si="338"/>
        <v/>
      </c>
      <c r="AR1982" s="3" t="str">
        <f t="shared" ca="1" si="335"/>
        <v/>
      </c>
      <c r="AS1982" s="63" t="str">
        <f ca="1">IF($AQ1982&lt;&gt;"", INDEX(Inputs!$B$3:$B$101, MATCH($AQ1982,Inputs!$A$3:$A$101,1)), "")</f>
        <v/>
      </c>
      <c r="AT1982" s="48" t="str">
        <f t="shared" ca="1" si="339"/>
        <v/>
      </c>
      <c r="AU1982" s="3" t="str">
        <f t="shared" ca="1" si="336"/>
        <v/>
      </c>
      <c r="AV1982" s="3" t="str">
        <f t="shared" ca="1" si="337"/>
        <v/>
      </c>
    </row>
    <row r="1983" spans="43:48" x14ac:dyDescent="0.2">
      <c r="AQ1983" s="4" t="str">
        <f t="shared" ca="1" si="338"/>
        <v/>
      </c>
      <c r="AR1983" s="3" t="str">
        <f t="shared" ca="1" si="335"/>
        <v/>
      </c>
      <c r="AS1983" s="63" t="str">
        <f ca="1">IF($AQ1983&lt;&gt;"", INDEX(Inputs!$B$3:$B$101, MATCH($AQ1983,Inputs!$A$3:$A$101,1)), "")</f>
        <v/>
      </c>
      <c r="AT1983" s="48" t="str">
        <f t="shared" ca="1" si="339"/>
        <v/>
      </c>
      <c r="AU1983" s="3" t="str">
        <f t="shared" ca="1" si="336"/>
        <v/>
      </c>
      <c r="AV1983" s="3" t="str">
        <f t="shared" ca="1" si="337"/>
        <v/>
      </c>
    </row>
    <row r="1984" spans="43:48" x14ac:dyDescent="0.2">
      <c r="AQ1984" s="4" t="str">
        <f t="shared" ca="1" si="338"/>
        <v/>
      </c>
      <c r="AR1984" s="3" t="str">
        <f t="shared" ca="1" si="335"/>
        <v/>
      </c>
      <c r="AS1984" s="63" t="str">
        <f ca="1">IF($AQ1984&lt;&gt;"", INDEX(Inputs!$B$3:$B$101, MATCH($AQ1984,Inputs!$A$3:$A$101,1)), "")</f>
        <v/>
      </c>
      <c r="AT1984" s="48" t="str">
        <f t="shared" ca="1" si="339"/>
        <v/>
      </c>
      <c r="AU1984" s="3" t="str">
        <f t="shared" ca="1" si="336"/>
        <v/>
      </c>
      <c r="AV1984" s="3" t="str">
        <f t="shared" ca="1" si="337"/>
        <v/>
      </c>
    </row>
    <row r="1985" spans="43:48" x14ac:dyDescent="0.2">
      <c r="AQ1985" s="4" t="str">
        <f t="shared" ca="1" si="338"/>
        <v/>
      </c>
      <c r="AR1985" s="3" t="str">
        <f t="shared" ca="1" si="335"/>
        <v/>
      </c>
      <c r="AS1985" s="63" t="str">
        <f ca="1">IF($AQ1985&lt;&gt;"", INDEX(Inputs!$B$3:$B$101, MATCH($AQ1985,Inputs!$A$3:$A$101,1)), "")</f>
        <v/>
      </c>
      <c r="AT1985" s="48" t="str">
        <f t="shared" ca="1" si="339"/>
        <v/>
      </c>
      <c r="AU1985" s="3" t="str">
        <f t="shared" ca="1" si="336"/>
        <v/>
      </c>
      <c r="AV1985" s="3" t="str">
        <f t="shared" ca="1" si="337"/>
        <v/>
      </c>
    </row>
    <row r="1986" spans="43:48" x14ac:dyDescent="0.2">
      <c r="AQ1986" s="4" t="str">
        <f t="shared" ca="1" si="338"/>
        <v/>
      </c>
      <c r="AR1986" s="3" t="str">
        <f t="shared" ca="1" si="335"/>
        <v/>
      </c>
      <c r="AS1986" s="63" t="str">
        <f ca="1">IF($AQ1986&lt;&gt;"", INDEX(Inputs!$B$3:$B$101, MATCH($AQ1986,Inputs!$A$3:$A$101,1)), "")</f>
        <v/>
      </c>
      <c r="AT1986" s="48" t="str">
        <f t="shared" ca="1" si="339"/>
        <v/>
      </c>
      <c r="AU1986" s="3" t="str">
        <f t="shared" ca="1" si="336"/>
        <v/>
      </c>
      <c r="AV1986" s="3" t="str">
        <f t="shared" ca="1" si="337"/>
        <v/>
      </c>
    </row>
    <row r="1987" spans="43:48" x14ac:dyDescent="0.2">
      <c r="AQ1987" s="4" t="str">
        <f t="shared" ca="1" si="338"/>
        <v/>
      </c>
      <c r="AR1987" s="3" t="str">
        <f t="shared" ca="1" si="335"/>
        <v/>
      </c>
      <c r="AS1987" s="63" t="str">
        <f ca="1">IF($AQ1987&lt;&gt;"", INDEX(Inputs!$B$3:$B$101, MATCH($AQ1987,Inputs!$A$3:$A$101,1)), "")</f>
        <v/>
      </c>
      <c r="AT1987" s="48" t="str">
        <f t="shared" ca="1" si="339"/>
        <v/>
      </c>
      <c r="AU1987" s="3" t="str">
        <f t="shared" ca="1" si="336"/>
        <v/>
      </c>
      <c r="AV1987" s="3" t="str">
        <f t="shared" ca="1" si="337"/>
        <v/>
      </c>
    </row>
    <row r="1988" spans="43:48" x14ac:dyDescent="0.2">
      <c r="AQ1988" s="4" t="str">
        <f t="shared" ca="1" si="338"/>
        <v/>
      </c>
      <c r="AR1988" s="3" t="str">
        <f t="shared" ca="1" si="335"/>
        <v/>
      </c>
      <c r="AS1988" s="63" t="str">
        <f ca="1">IF($AQ1988&lt;&gt;"", INDEX(Inputs!$B$3:$B$101, MATCH($AQ1988,Inputs!$A$3:$A$101,1)), "")</f>
        <v/>
      </c>
      <c r="AT1988" s="48" t="str">
        <f t="shared" ca="1" si="339"/>
        <v/>
      </c>
      <c r="AU1988" s="3" t="str">
        <f t="shared" ca="1" si="336"/>
        <v/>
      </c>
      <c r="AV1988" s="3" t="str">
        <f t="shared" ca="1" si="337"/>
        <v/>
      </c>
    </row>
    <row r="1989" spans="43:48" x14ac:dyDescent="0.2">
      <c r="AQ1989" s="4" t="str">
        <f t="shared" ca="1" si="338"/>
        <v/>
      </c>
      <c r="AR1989" s="3" t="str">
        <f t="shared" ca="1" si="335"/>
        <v/>
      </c>
      <c r="AS1989" s="63" t="str">
        <f ca="1">IF($AQ1989&lt;&gt;"", INDEX(Inputs!$B$3:$B$101, MATCH($AQ1989,Inputs!$A$3:$A$101,1)), "")</f>
        <v/>
      </c>
      <c r="AT1989" s="48" t="str">
        <f t="shared" ca="1" si="339"/>
        <v/>
      </c>
      <c r="AU1989" s="3" t="str">
        <f t="shared" ca="1" si="336"/>
        <v/>
      </c>
      <c r="AV1989" s="3" t="str">
        <f t="shared" ca="1" si="337"/>
        <v/>
      </c>
    </row>
    <row r="1990" spans="43:48" x14ac:dyDescent="0.2">
      <c r="AQ1990" s="4" t="str">
        <f t="shared" ca="1" si="338"/>
        <v/>
      </c>
      <c r="AR1990" s="3" t="str">
        <f t="shared" ca="1" si="335"/>
        <v/>
      </c>
      <c r="AS1990" s="63" t="str">
        <f ca="1">IF($AQ1990&lt;&gt;"", INDEX(Inputs!$B$3:$B$101, MATCH($AQ1990,Inputs!$A$3:$A$101,1)), "")</f>
        <v/>
      </c>
      <c r="AT1990" s="48" t="str">
        <f t="shared" ca="1" si="339"/>
        <v/>
      </c>
      <c r="AU1990" s="3" t="str">
        <f t="shared" ca="1" si="336"/>
        <v/>
      </c>
      <c r="AV1990" s="3" t="str">
        <f t="shared" ca="1" si="337"/>
        <v/>
      </c>
    </row>
    <row r="1991" spans="43:48" x14ac:dyDescent="0.2">
      <c r="AQ1991" s="4" t="str">
        <f t="shared" ca="1" si="338"/>
        <v/>
      </c>
      <c r="AR1991" s="3" t="str">
        <f t="shared" ca="1" si="335"/>
        <v/>
      </c>
      <c r="AS1991" s="63" t="str">
        <f ca="1">IF($AQ1991&lt;&gt;"", INDEX(Inputs!$B$3:$B$101, MATCH($AQ1991,Inputs!$A$3:$A$101,1)), "")</f>
        <v/>
      </c>
      <c r="AT1991" s="48" t="str">
        <f t="shared" ca="1" si="339"/>
        <v/>
      </c>
      <c r="AU1991" s="3" t="str">
        <f t="shared" ca="1" si="336"/>
        <v/>
      </c>
      <c r="AV1991" s="3" t="str">
        <f t="shared" ca="1" si="337"/>
        <v/>
      </c>
    </row>
    <row r="1992" spans="43:48" x14ac:dyDescent="0.2">
      <c r="AQ1992" s="4" t="str">
        <f t="shared" ca="1" si="338"/>
        <v/>
      </c>
      <c r="AR1992" s="3" t="str">
        <f t="shared" ca="1" si="335"/>
        <v/>
      </c>
      <c r="AS1992" s="63" t="str">
        <f ca="1">IF($AQ1992&lt;&gt;"", INDEX(Inputs!$B$3:$B$101, MATCH($AQ1992,Inputs!$A$3:$A$101,1)), "")</f>
        <v/>
      </c>
      <c r="AT1992" s="48" t="str">
        <f t="shared" ca="1" si="339"/>
        <v/>
      </c>
      <c r="AU1992" s="3" t="str">
        <f t="shared" ca="1" si="336"/>
        <v/>
      </c>
      <c r="AV1992" s="3" t="str">
        <f t="shared" ca="1" si="337"/>
        <v/>
      </c>
    </row>
    <row r="1993" spans="43:48" x14ac:dyDescent="0.2">
      <c r="AQ1993" s="4" t="str">
        <f t="shared" ca="1" si="338"/>
        <v/>
      </c>
      <c r="AR1993" s="3" t="str">
        <f t="shared" ca="1" si="335"/>
        <v/>
      </c>
      <c r="AS1993" s="63" t="str">
        <f ca="1">IF($AQ1993&lt;&gt;"", INDEX(Inputs!$B$3:$B$101, MATCH($AQ1993,Inputs!$A$3:$A$101,1)), "")</f>
        <v/>
      </c>
      <c r="AT1993" s="48" t="str">
        <f t="shared" ca="1" si="339"/>
        <v/>
      </c>
      <c r="AU1993" s="3" t="str">
        <f t="shared" ca="1" si="336"/>
        <v/>
      </c>
      <c r="AV1993" s="3" t="str">
        <f t="shared" ca="1" si="337"/>
        <v/>
      </c>
    </row>
    <row r="1994" spans="43:48" x14ac:dyDescent="0.2">
      <c r="AQ1994" s="4" t="str">
        <f t="shared" ca="1" si="338"/>
        <v/>
      </c>
      <c r="AR1994" s="3" t="str">
        <f t="shared" ca="1" si="335"/>
        <v/>
      </c>
      <c r="AS1994" s="63" t="str">
        <f ca="1">IF($AQ1994&lt;&gt;"", INDEX(Inputs!$B$3:$B$101, MATCH($AQ1994,Inputs!$A$3:$A$101,1)), "")</f>
        <v/>
      </c>
      <c r="AT1994" s="48" t="str">
        <f t="shared" ca="1" si="339"/>
        <v/>
      </c>
      <c r="AU1994" s="3" t="str">
        <f t="shared" ca="1" si="336"/>
        <v/>
      </c>
      <c r="AV1994" s="3" t="str">
        <f t="shared" ca="1" si="337"/>
        <v/>
      </c>
    </row>
    <row r="1995" spans="43:48" x14ac:dyDescent="0.2">
      <c r="AQ1995" s="4" t="str">
        <f t="shared" ca="1" si="338"/>
        <v/>
      </c>
      <c r="AR1995" s="3" t="str">
        <f t="shared" ca="1" si="335"/>
        <v/>
      </c>
      <c r="AS1995" s="63" t="str">
        <f ca="1">IF($AQ1995&lt;&gt;"", INDEX(Inputs!$B$3:$B$101, MATCH($AQ1995,Inputs!$A$3:$A$101,1)), "")</f>
        <v/>
      </c>
      <c r="AT1995" s="48" t="str">
        <f t="shared" ca="1" si="339"/>
        <v/>
      </c>
      <c r="AU1995" s="3" t="str">
        <f t="shared" ca="1" si="336"/>
        <v/>
      </c>
      <c r="AV1995" s="3" t="str">
        <f t="shared" ca="1" si="337"/>
        <v/>
      </c>
    </row>
    <row r="1996" spans="43:48" x14ac:dyDescent="0.2">
      <c r="AQ1996" s="4" t="str">
        <f t="shared" ca="1" si="338"/>
        <v/>
      </c>
      <c r="AR1996" s="3" t="str">
        <f t="shared" ca="1" si="335"/>
        <v/>
      </c>
      <c r="AS1996" s="63" t="str">
        <f ca="1">IF($AQ1996&lt;&gt;"", INDEX(Inputs!$B$3:$B$101, MATCH($AQ1996,Inputs!$A$3:$A$101,1)), "")</f>
        <v/>
      </c>
      <c r="AT1996" s="48" t="str">
        <f t="shared" ca="1" si="339"/>
        <v/>
      </c>
      <c r="AU1996" s="3" t="str">
        <f t="shared" ca="1" si="336"/>
        <v/>
      </c>
      <c r="AV1996" s="3" t="str">
        <f t="shared" ca="1" si="337"/>
        <v/>
      </c>
    </row>
    <row r="1997" spans="43:48" x14ac:dyDescent="0.2">
      <c r="AQ1997" s="4" t="str">
        <f t="shared" ca="1" si="338"/>
        <v/>
      </c>
      <c r="AR1997" s="3" t="str">
        <f t="shared" ca="1" si="335"/>
        <v/>
      </c>
      <c r="AS1997" s="63" t="str">
        <f ca="1">IF($AQ1997&lt;&gt;"", INDEX(Inputs!$B$3:$B$101, MATCH($AQ1997,Inputs!$A$3:$A$101,1)), "")</f>
        <v/>
      </c>
      <c r="AT1997" s="48" t="str">
        <f t="shared" ca="1" si="339"/>
        <v/>
      </c>
      <c r="AU1997" s="3" t="str">
        <f t="shared" ca="1" si="336"/>
        <v/>
      </c>
      <c r="AV1997" s="3" t="str">
        <f t="shared" ca="1" si="337"/>
        <v/>
      </c>
    </row>
    <row r="1998" spans="43:48" x14ac:dyDescent="0.2">
      <c r="AQ1998" s="4" t="str">
        <f t="shared" ca="1" si="338"/>
        <v/>
      </c>
      <c r="AR1998" s="3" t="str">
        <f t="shared" ca="1" si="335"/>
        <v/>
      </c>
      <c r="AS1998" s="63" t="str">
        <f ca="1">IF($AQ1998&lt;&gt;"", INDEX(Inputs!$B$3:$B$101, MATCH($AQ1998,Inputs!$A$3:$A$101,1)), "")</f>
        <v/>
      </c>
      <c r="AT1998" s="48" t="str">
        <f t="shared" ca="1" si="339"/>
        <v/>
      </c>
      <c r="AU1998" s="3" t="str">
        <f t="shared" ca="1" si="336"/>
        <v/>
      </c>
      <c r="AV1998" s="3" t="str">
        <f t="shared" ca="1" si="337"/>
        <v/>
      </c>
    </row>
    <row r="1999" spans="43:48" x14ac:dyDescent="0.2">
      <c r="AQ1999" s="4" t="str">
        <f t="shared" ca="1" si="338"/>
        <v/>
      </c>
      <c r="AR1999" s="3" t="str">
        <f t="shared" ca="1" si="335"/>
        <v/>
      </c>
      <c r="AS1999" s="63" t="str">
        <f ca="1">IF($AQ1999&lt;&gt;"", INDEX(Inputs!$B$3:$B$101, MATCH($AQ1999,Inputs!$A$3:$A$101,1)), "")</f>
        <v/>
      </c>
      <c r="AT1999" s="48" t="str">
        <f t="shared" ca="1" si="339"/>
        <v/>
      </c>
      <c r="AU1999" s="3" t="str">
        <f t="shared" ca="1" si="336"/>
        <v/>
      </c>
      <c r="AV1999" s="3" t="str">
        <f t="shared" ca="1" si="337"/>
        <v/>
      </c>
    </row>
    <row r="2000" spans="43:48" x14ac:dyDescent="0.2">
      <c r="AQ2000" s="4" t="str">
        <f t="shared" ca="1" si="338"/>
        <v/>
      </c>
      <c r="AR2000" s="3" t="str">
        <f t="shared" ca="1" si="335"/>
        <v/>
      </c>
      <c r="AS2000" s="63" t="str">
        <f ca="1">IF($AQ2000&lt;&gt;"", INDEX(Inputs!$B$3:$B$101, MATCH($AQ2000,Inputs!$A$3:$A$101,1)), "")</f>
        <v/>
      </c>
      <c r="AT2000" s="48" t="str">
        <f t="shared" ca="1" si="339"/>
        <v/>
      </c>
      <c r="AU2000" s="3" t="str">
        <f t="shared" ca="1" si="336"/>
        <v/>
      </c>
      <c r="AV2000" s="3" t="str">
        <f t="shared" ca="1" si="337"/>
        <v/>
      </c>
    </row>
    <row r="2001" spans="43:48" x14ac:dyDescent="0.2">
      <c r="AQ2001" s="4" t="str">
        <f t="shared" ca="1" si="338"/>
        <v/>
      </c>
      <c r="AR2001" s="3" t="str">
        <f t="shared" ca="1" si="335"/>
        <v/>
      </c>
      <c r="AS2001" s="63" t="str">
        <f ca="1">IF($AQ2001&lt;&gt;"", INDEX(Inputs!$B$3:$B$101, MATCH($AQ2001,Inputs!$A$3:$A$101,1)), "")</f>
        <v/>
      </c>
      <c r="AT2001" s="48" t="str">
        <f t="shared" ca="1" si="339"/>
        <v/>
      </c>
      <c r="AU2001" s="3" t="str">
        <f t="shared" ca="1" si="336"/>
        <v/>
      </c>
      <c r="AV2001" s="3" t="str">
        <f t="shared" ca="1" si="337"/>
        <v/>
      </c>
    </row>
    <row r="2002" spans="43:48" x14ac:dyDescent="0.2">
      <c r="AQ2002" s="4" t="str">
        <f t="shared" ca="1" si="338"/>
        <v/>
      </c>
      <c r="AR2002" s="3" t="str">
        <f t="shared" ca="1" si="335"/>
        <v/>
      </c>
      <c r="AS2002" s="63" t="str">
        <f ca="1">IF($AQ2002&lt;&gt;"", INDEX(Inputs!$B$3:$B$101, MATCH($AQ2002,Inputs!$A$3:$A$101,1)), "")</f>
        <v/>
      </c>
      <c r="AT2002" s="48" t="str">
        <f t="shared" ca="1" si="339"/>
        <v/>
      </c>
      <c r="AU2002" s="3" t="str">
        <f t="shared" ca="1" si="336"/>
        <v/>
      </c>
      <c r="AV2002" s="3" t="str">
        <f t="shared" ca="1" si="337"/>
        <v/>
      </c>
    </row>
    <row r="2003" spans="43:48" x14ac:dyDescent="0.2">
      <c r="AQ2003" s="4" t="str">
        <f t="shared" ca="1" si="338"/>
        <v/>
      </c>
      <c r="AR2003" s="3" t="str">
        <f t="shared" ca="1" si="335"/>
        <v/>
      </c>
      <c r="AS2003" s="63" t="str">
        <f ca="1">IF($AQ2003&lt;&gt;"", INDEX(Inputs!$B$3:$B$101, MATCH($AQ2003,Inputs!$A$3:$A$101,1)), "")</f>
        <v/>
      </c>
      <c r="AT2003" s="48" t="str">
        <f t="shared" ca="1" si="339"/>
        <v/>
      </c>
      <c r="AU2003" s="3" t="str">
        <f t="shared" ca="1" si="336"/>
        <v/>
      </c>
      <c r="AV2003" s="3" t="str">
        <f t="shared" ca="1" si="337"/>
        <v/>
      </c>
    </row>
    <row r="2004" spans="43:48" x14ac:dyDescent="0.2">
      <c r="AQ2004" s="4" t="str">
        <f t="shared" ca="1" si="338"/>
        <v/>
      </c>
      <c r="AR2004" s="3" t="str">
        <f t="shared" ca="1" si="335"/>
        <v/>
      </c>
      <c r="AS2004" s="63" t="str">
        <f ca="1">IF($AQ2004&lt;&gt;"", INDEX(Inputs!$B$3:$B$101, MATCH($AQ2004,Inputs!$A$3:$A$101,1)), "")</f>
        <v/>
      </c>
      <c r="AT2004" s="48" t="str">
        <f t="shared" ca="1" si="339"/>
        <v/>
      </c>
      <c r="AU2004" s="3" t="str">
        <f t="shared" ca="1" si="336"/>
        <v/>
      </c>
      <c r="AV2004" s="3" t="str">
        <f t="shared" ca="1" si="337"/>
        <v/>
      </c>
    </row>
    <row r="2005" spans="43:48" x14ac:dyDescent="0.2">
      <c r="AQ2005" s="4" t="str">
        <f t="shared" ca="1" si="338"/>
        <v/>
      </c>
      <c r="AR2005" s="3" t="str">
        <f t="shared" ca="1" si="335"/>
        <v/>
      </c>
      <c r="AS2005" s="63" t="str">
        <f ca="1">IF($AQ2005&lt;&gt;"", INDEX(Inputs!$B$3:$B$101, MATCH($AQ2005,Inputs!$A$3:$A$101,1)), "")</f>
        <v/>
      </c>
      <c r="AT2005" s="48" t="str">
        <f t="shared" ca="1" si="339"/>
        <v/>
      </c>
      <c r="AU2005" s="3" t="str">
        <f t="shared" ca="1" si="336"/>
        <v/>
      </c>
      <c r="AV2005" s="3" t="str">
        <f t="shared" ca="1" si="337"/>
        <v/>
      </c>
    </row>
    <row r="2006" spans="43:48" x14ac:dyDescent="0.2">
      <c r="AQ2006" s="4" t="str">
        <f t="shared" ca="1" si="338"/>
        <v/>
      </c>
      <c r="AR2006" s="3" t="str">
        <f t="shared" ca="1" si="335"/>
        <v/>
      </c>
      <c r="AS2006" s="63" t="str">
        <f ca="1">IF($AQ2006&lt;&gt;"", INDEX(Inputs!$B$3:$B$101, MATCH($AQ2006,Inputs!$A$3:$A$101,1)), "")</f>
        <v/>
      </c>
      <c r="AT2006" s="48" t="str">
        <f t="shared" ca="1" si="339"/>
        <v/>
      </c>
      <c r="AU2006" s="3" t="str">
        <f t="shared" ca="1" si="336"/>
        <v/>
      </c>
      <c r="AV2006" s="3" t="str">
        <f t="shared" ca="1" si="337"/>
        <v/>
      </c>
    </row>
    <row r="2007" spans="43:48" x14ac:dyDescent="0.2">
      <c r="AQ2007" s="4" t="str">
        <f t="shared" ca="1" si="338"/>
        <v/>
      </c>
      <c r="AR2007" s="3" t="str">
        <f t="shared" ca="1" si="335"/>
        <v/>
      </c>
      <c r="AS2007" s="63" t="str">
        <f ca="1">IF($AQ2007&lt;&gt;"", INDEX(Inputs!$B$3:$B$101, MATCH($AQ2007,Inputs!$A$3:$A$101,1)), "")</f>
        <v/>
      </c>
      <c r="AT2007" s="48" t="str">
        <f t="shared" ca="1" si="339"/>
        <v/>
      </c>
      <c r="AU2007" s="3" t="str">
        <f t="shared" ca="1" si="336"/>
        <v/>
      </c>
      <c r="AV2007" s="3" t="str">
        <f t="shared" ca="1" si="337"/>
        <v/>
      </c>
    </row>
    <row r="2008" spans="43:48" x14ac:dyDescent="0.2">
      <c r="AQ2008" s="4" t="str">
        <f t="shared" ca="1" si="338"/>
        <v/>
      </c>
      <c r="AR2008" s="3" t="str">
        <f t="shared" ca="1" si="335"/>
        <v/>
      </c>
      <c r="AS2008" s="63" t="str">
        <f ca="1">IF($AQ2008&lt;&gt;"", INDEX(Inputs!$B$3:$B$101, MATCH($AQ2008,Inputs!$A$3:$A$101,1)), "")</f>
        <v/>
      </c>
      <c r="AT2008" s="48" t="str">
        <f t="shared" ca="1" si="339"/>
        <v/>
      </c>
      <c r="AU2008" s="3" t="str">
        <f t="shared" ca="1" si="336"/>
        <v/>
      </c>
      <c r="AV2008" s="3" t="str">
        <f t="shared" ca="1" si="337"/>
        <v/>
      </c>
    </row>
    <row r="2009" spans="43:48" x14ac:dyDescent="0.2">
      <c r="AQ2009" s="4" t="str">
        <f t="shared" ca="1" si="338"/>
        <v/>
      </c>
      <c r="AR2009" s="3" t="str">
        <f t="shared" ref="AR2009:AR2072" ca="1" si="340">IF($AQ2009&lt;&gt;"", INDEX($AC$3:$AC$1055, MATCH($AQ2009,$A$3:$A$1055,1)), "")</f>
        <v/>
      </c>
      <c r="AS2009" s="63" t="str">
        <f ca="1">IF($AQ2009&lt;&gt;"", INDEX(Inputs!$B$3:$B$101, MATCH($AQ2009,Inputs!$A$3:$A$101,1)), "")</f>
        <v/>
      </c>
      <c r="AT2009" s="48" t="str">
        <f t="shared" ca="1" si="339"/>
        <v/>
      </c>
      <c r="AU2009" s="3" t="str">
        <f t="shared" ref="AU2009:AU2072" ca="1" si="341">IF($AQ2009&lt;&gt;"", SUMIFS($AL$3:$AL$1054, $A$3:$A$1054,$AQ2009) + SUMIFS($M$3:$M$1054, $A$3:$A$1054,$AQ2009)*IFERROR(AVERAGEIFS($L$3:$L$1054, $A$3:$A$1054,$AQ2009, $M$3:$M$1054,"&gt;0"),0) - AT2009, "")</f>
        <v/>
      </c>
      <c r="AV2009" s="3" t="str">
        <f t="shared" ca="1" si="337"/>
        <v/>
      </c>
    </row>
    <row r="2010" spans="43:48" x14ac:dyDescent="0.2">
      <c r="AQ2010" s="4" t="str">
        <f t="shared" ca="1" si="338"/>
        <v/>
      </c>
      <c r="AR2010" s="3" t="str">
        <f t="shared" ca="1" si="340"/>
        <v/>
      </c>
      <c r="AS2010" s="63" t="str">
        <f ca="1">IF($AQ2010&lt;&gt;"", INDEX(Inputs!$B$3:$B$101, MATCH($AQ2010,Inputs!$A$3:$A$101,1)), "")</f>
        <v/>
      </c>
      <c r="AT2010" s="48" t="str">
        <f t="shared" ca="1" si="339"/>
        <v/>
      </c>
      <c r="AU2010" s="3" t="str">
        <f t="shared" ca="1" si="341"/>
        <v/>
      </c>
      <c r="AV2010" s="3" t="str">
        <f t="shared" ca="1" si="337"/>
        <v/>
      </c>
    </row>
    <row r="2011" spans="43:48" x14ac:dyDescent="0.2">
      <c r="AQ2011" s="4" t="str">
        <f t="shared" ca="1" si="338"/>
        <v/>
      </c>
      <c r="AR2011" s="3" t="str">
        <f t="shared" ca="1" si="340"/>
        <v/>
      </c>
      <c r="AS2011" s="63" t="str">
        <f ca="1">IF($AQ2011&lt;&gt;"", INDEX(Inputs!$B$3:$B$101, MATCH($AQ2011,Inputs!$A$3:$A$101,1)), "")</f>
        <v/>
      </c>
      <c r="AT2011" s="48" t="str">
        <f t="shared" ca="1" si="339"/>
        <v/>
      </c>
      <c r="AU2011" s="3" t="str">
        <f t="shared" ca="1" si="341"/>
        <v/>
      </c>
      <c r="AV2011" s="3" t="str">
        <f t="shared" ca="1" si="337"/>
        <v/>
      </c>
    </row>
    <row r="2012" spans="43:48" x14ac:dyDescent="0.2">
      <c r="AQ2012" s="4" t="str">
        <f t="shared" ca="1" si="338"/>
        <v/>
      </c>
      <c r="AR2012" s="3" t="str">
        <f t="shared" ca="1" si="340"/>
        <v/>
      </c>
      <c r="AS2012" s="63" t="str">
        <f ca="1">IF($AQ2012&lt;&gt;"", INDEX(Inputs!$B$3:$B$101, MATCH($AQ2012,Inputs!$A$3:$A$101,1)), "")</f>
        <v/>
      </c>
      <c r="AT2012" s="48" t="str">
        <f t="shared" ca="1" si="339"/>
        <v/>
      </c>
      <c r="AU2012" s="3" t="str">
        <f t="shared" ca="1" si="341"/>
        <v/>
      </c>
      <c r="AV2012" s="3" t="str">
        <f t="shared" ca="1" si="337"/>
        <v/>
      </c>
    </row>
    <row r="2013" spans="43:48" x14ac:dyDescent="0.2">
      <c r="AQ2013" s="4" t="str">
        <f t="shared" ca="1" si="338"/>
        <v/>
      </c>
      <c r="AR2013" s="3" t="str">
        <f t="shared" ca="1" si="340"/>
        <v/>
      </c>
      <c r="AS2013" s="63" t="str">
        <f ca="1">IF($AQ2013&lt;&gt;"", INDEX(Inputs!$B$3:$B$101, MATCH($AQ2013,Inputs!$A$3:$A$101,1)), "")</f>
        <v/>
      </c>
      <c r="AT2013" s="48" t="str">
        <f t="shared" ca="1" si="339"/>
        <v/>
      </c>
      <c r="AU2013" s="3" t="str">
        <f t="shared" ca="1" si="341"/>
        <v/>
      </c>
      <c r="AV2013" s="3" t="str">
        <f t="shared" ca="1" si="337"/>
        <v/>
      </c>
    </row>
    <row r="2014" spans="43:48" x14ac:dyDescent="0.2">
      <c r="AQ2014" s="4" t="str">
        <f t="shared" ca="1" si="338"/>
        <v/>
      </c>
      <c r="AR2014" s="3" t="str">
        <f t="shared" ca="1" si="340"/>
        <v/>
      </c>
      <c r="AS2014" s="63" t="str">
        <f ca="1">IF($AQ2014&lt;&gt;"", INDEX(Inputs!$B$3:$B$101, MATCH($AQ2014,Inputs!$A$3:$A$101,1)), "")</f>
        <v/>
      </c>
      <c r="AT2014" s="48" t="str">
        <f t="shared" ca="1" si="339"/>
        <v/>
      </c>
      <c r="AU2014" s="3" t="str">
        <f t="shared" ca="1" si="341"/>
        <v/>
      </c>
      <c r="AV2014" s="3" t="str">
        <f t="shared" ca="1" si="337"/>
        <v/>
      </c>
    </row>
    <row r="2015" spans="43:48" x14ac:dyDescent="0.2">
      <c r="AQ2015" s="4" t="str">
        <f t="shared" ca="1" si="338"/>
        <v/>
      </c>
      <c r="AR2015" s="3" t="str">
        <f t="shared" ca="1" si="340"/>
        <v/>
      </c>
      <c r="AS2015" s="63" t="str">
        <f ca="1">IF($AQ2015&lt;&gt;"", INDEX(Inputs!$B$3:$B$101, MATCH($AQ2015,Inputs!$A$3:$A$101,1)), "")</f>
        <v/>
      </c>
      <c r="AT2015" s="48" t="str">
        <f t="shared" ca="1" si="339"/>
        <v/>
      </c>
      <c r="AU2015" s="3" t="str">
        <f t="shared" ca="1" si="341"/>
        <v/>
      </c>
      <c r="AV2015" s="3" t="str">
        <f t="shared" ca="1" si="337"/>
        <v/>
      </c>
    </row>
    <row r="2016" spans="43:48" x14ac:dyDescent="0.2">
      <c r="AQ2016" s="4" t="str">
        <f t="shared" ca="1" si="338"/>
        <v/>
      </c>
      <c r="AR2016" s="3" t="str">
        <f t="shared" ca="1" si="340"/>
        <v/>
      </c>
      <c r="AS2016" s="63" t="str">
        <f ca="1">IF($AQ2016&lt;&gt;"", INDEX(Inputs!$B$3:$B$101, MATCH($AQ2016,Inputs!$A$3:$A$101,1)), "")</f>
        <v/>
      </c>
      <c r="AT2016" s="48" t="str">
        <f t="shared" ca="1" si="339"/>
        <v/>
      </c>
      <c r="AU2016" s="3" t="str">
        <f t="shared" ca="1" si="341"/>
        <v/>
      </c>
      <c r="AV2016" s="3" t="str">
        <f t="shared" ref="AV2016:AV2079" ca="1" si="342">IF(AQ2016&lt;&gt;"", AU2016*(1+$X$9/CompoundingRate)^-((AQ2016-AQ$3)/(365/CompoundingRate)), "")</f>
        <v/>
      </c>
    </row>
    <row r="2017" spans="43:48" x14ac:dyDescent="0.2">
      <c r="AQ2017" s="4" t="str">
        <f t="shared" ca="1" si="338"/>
        <v/>
      </c>
      <c r="AR2017" s="3" t="str">
        <f t="shared" ca="1" si="340"/>
        <v/>
      </c>
      <c r="AS2017" s="63" t="str">
        <f ca="1">IF($AQ2017&lt;&gt;"", INDEX(Inputs!$B$3:$B$101, MATCH($AQ2017,Inputs!$A$3:$A$101,1)), "")</f>
        <v/>
      </c>
      <c r="AT2017" s="48" t="str">
        <f t="shared" ca="1" si="339"/>
        <v/>
      </c>
      <c r="AU2017" s="3" t="str">
        <f t="shared" ca="1" si="341"/>
        <v/>
      </c>
      <c r="AV2017" s="3" t="str">
        <f t="shared" ca="1" si="342"/>
        <v/>
      </c>
    </row>
    <row r="2018" spans="43:48" x14ac:dyDescent="0.2">
      <c r="AQ2018" s="4" t="str">
        <f t="shared" ca="1" si="338"/>
        <v/>
      </c>
      <c r="AR2018" s="3" t="str">
        <f t="shared" ca="1" si="340"/>
        <v/>
      </c>
      <c r="AS2018" s="63" t="str">
        <f ca="1">IF($AQ2018&lt;&gt;"", INDEX(Inputs!$B$3:$B$101, MATCH($AQ2018,Inputs!$A$3:$A$101,1)), "")</f>
        <v/>
      </c>
      <c r="AT2018" s="48" t="str">
        <f t="shared" ca="1" si="339"/>
        <v/>
      </c>
      <c r="AU2018" s="3" t="str">
        <f t="shared" ca="1" si="341"/>
        <v/>
      </c>
      <c r="AV2018" s="3" t="str">
        <f t="shared" ca="1" si="342"/>
        <v/>
      </c>
    </row>
    <row r="2019" spans="43:48" x14ac:dyDescent="0.2">
      <c r="AQ2019" s="4" t="str">
        <f t="shared" ca="1" si="338"/>
        <v/>
      </c>
      <c r="AR2019" s="3" t="str">
        <f t="shared" ca="1" si="340"/>
        <v/>
      </c>
      <c r="AS2019" s="63" t="str">
        <f ca="1">IF($AQ2019&lt;&gt;"", INDEX(Inputs!$B$3:$B$101, MATCH($AQ2019,Inputs!$A$3:$A$101,1)), "")</f>
        <v/>
      </c>
      <c r="AT2019" s="48" t="str">
        <f t="shared" ca="1" si="339"/>
        <v/>
      </c>
      <c r="AU2019" s="3" t="str">
        <f t="shared" ca="1" si="341"/>
        <v/>
      </c>
      <c r="AV2019" s="3" t="str">
        <f t="shared" ca="1" si="342"/>
        <v/>
      </c>
    </row>
    <row r="2020" spans="43:48" x14ac:dyDescent="0.2">
      <c r="AQ2020" s="4" t="str">
        <f t="shared" ca="1" si="338"/>
        <v/>
      </c>
      <c r="AR2020" s="3" t="str">
        <f t="shared" ca="1" si="340"/>
        <v/>
      </c>
      <c r="AS2020" s="63" t="str">
        <f ca="1">IF($AQ2020&lt;&gt;"", INDEX(Inputs!$B$3:$B$101, MATCH($AQ2020,Inputs!$A$3:$A$101,1)), "")</f>
        <v/>
      </c>
      <c r="AT2020" s="48" t="str">
        <f t="shared" ca="1" si="339"/>
        <v/>
      </c>
      <c r="AU2020" s="3" t="str">
        <f t="shared" ca="1" si="341"/>
        <v/>
      </c>
      <c r="AV2020" s="3" t="str">
        <f t="shared" ca="1" si="342"/>
        <v/>
      </c>
    </row>
    <row r="2021" spans="43:48" x14ac:dyDescent="0.2">
      <c r="AQ2021" s="4" t="str">
        <f t="shared" ca="1" si="338"/>
        <v/>
      </c>
      <c r="AR2021" s="3" t="str">
        <f t="shared" ca="1" si="340"/>
        <v/>
      </c>
      <c r="AS2021" s="63" t="str">
        <f ca="1">IF($AQ2021&lt;&gt;"", INDEX(Inputs!$B$3:$B$101, MATCH($AQ2021,Inputs!$A$3:$A$101,1)), "")</f>
        <v/>
      </c>
      <c r="AT2021" s="48" t="str">
        <f t="shared" ca="1" si="339"/>
        <v/>
      </c>
      <c r="AU2021" s="3" t="str">
        <f t="shared" ca="1" si="341"/>
        <v/>
      </c>
      <c r="AV2021" s="3" t="str">
        <f t="shared" ca="1" si="342"/>
        <v/>
      </c>
    </row>
    <row r="2022" spans="43:48" x14ac:dyDescent="0.2">
      <c r="AQ2022" s="4" t="str">
        <f t="shared" ca="1" si="338"/>
        <v/>
      </c>
      <c r="AR2022" s="3" t="str">
        <f t="shared" ca="1" si="340"/>
        <v/>
      </c>
      <c r="AS2022" s="63" t="str">
        <f ca="1">IF($AQ2022&lt;&gt;"", INDEX(Inputs!$B$3:$B$101, MATCH($AQ2022,Inputs!$A$3:$A$101,1)), "")</f>
        <v/>
      </c>
      <c r="AT2022" s="48" t="str">
        <f t="shared" ca="1" si="339"/>
        <v/>
      </c>
      <c r="AU2022" s="3" t="str">
        <f t="shared" ca="1" si="341"/>
        <v/>
      </c>
      <c r="AV2022" s="3" t="str">
        <f t="shared" ca="1" si="342"/>
        <v/>
      </c>
    </row>
    <row r="2023" spans="43:48" x14ac:dyDescent="0.2">
      <c r="AQ2023" s="4" t="str">
        <f t="shared" ca="1" si="338"/>
        <v/>
      </c>
      <c r="AR2023" s="3" t="str">
        <f t="shared" ca="1" si="340"/>
        <v/>
      </c>
      <c r="AS2023" s="63" t="str">
        <f ca="1">IF($AQ2023&lt;&gt;"", INDEX(Inputs!$B$3:$B$101, MATCH($AQ2023,Inputs!$A$3:$A$101,1)), "")</f>
        <v/>
      </c>
      <c r="AT2023" s="48" t="str">
        <f t="shared" ca="1" si="339"/>
        <v/>
      </c>
      <c r="AU2023" s="3" t="str">
        <f t="shared" ca="1" si="341"/>
        <v/>
      </c>
      <c r="AV2023" s="3" t="str">
        <f t="shared" ca="1" si="342"/>
        <v/>
      </c>
    </row>
    <row r="2024" spans="43:48" x14ac:dyDescent="0.2">
      <c r="AQ2024" s="4" t="str">
        <f t="shared" ca="1" si="338"/>
        <v/>
      </c>
      <c r="AR2024" s="3" t="str">
        <f t="shared" ca="1" si="340"/>
        <v/>
      </c>
      <c r="AS2024" s="63" t="str">
        <f ca="1">IF($AQ2024&lt;&gt;"", INDEX(Inputs!$B$3:$B$101, MATCH($AQ2024,Inputs!$A$3:$A$101,1)), "")</f>
        <v/>
      </c>
      <c r="AT2024" s="48" t="str">
        <f t="shared" ca="1" si="339"/>
        <v/>
      </c>
      <c r="AU2024" s="3" t="str">
        <f t="shared" ca="1" si="341"/>
        <v/>
      </c>
      <c r="AV2024" s="3" t="str">
        <f t="shared" ca="1" si="342"/>
        <v/>
      </c>
    </row>
    <row r="2025" spans="43:48" x14ac:dyDescent="0.2">
      <c r="AQ2025" s="4" t="str">
        <f t="shared" ca="1" si="338"/>
        <v/>
      </c>
      <c r="AR2025" s="3" t="str">
        <f t="shared" ca="1" si="340"/>
        <v/>
      </c>
      <c r="AS2025" s="63" t="str">
        <f ca="1">IF($AQ2025&lt;&gt;"", INDEX(Inputs!$B$3:$B$101, MATCH($AQ2025,Inputs!$A$3:$A$101,1)), "")</f>
        <v/>
      </c>
      <c r="AT2025" s="48" t="str">
        <f t="shared" ca="1" si="339"/>
        <v/>
      </c>
      <c r="AU2025" s="3" t="str">
        <f t="shared" ca="1" si="341"/>
        <v/>
      </c>
      <c r="AV2025" s="3" t="str">
        <f t="shared" ca="1" si="342"/>
        <v/>
      </c>
    </row>
    <row r="2026" spans="43:48" x14ac:dyDescent="0.2">
      <c r="AQ2026" s="4" t="str">
        <f t="shared" ca="1" si="338"/>
        <v/>
      </c>
      <c r="AR2026" s="3" t="str">
        <f t="shared" ca="1" si="340"/>
        <v/>
      </c>
      <c r="AS2026" s="63" t="str">
        <f ca="1">IF($AQ2026&lt;&gt;"", INDEX(Inputs!$B$3:$B$101, MATCH($AQ2026,Inputs!$A$3:$A$101,1)), "")</f>
        <v/>
      </c>
      <c r="AT2026" s="48" t="str">
        <f t="shared" ca="1" si="339"/>
        <v/>
      </c>
      <c r="AU2026" s="3" t="str">
        <f t="shared" ca="1" si="341"/>
        <v/>
      </c>
      <c r="AV2026" s="3" t="str">
        <f t="shared" ca="1" si="342"/>
        <v/>
      </c>
    </row>
    <row r="2027" spans="43:48" x14ac:dyDescent="0.2">
      <c r="AQ2027" s="4" t="str">
        <f t="shared" ca="1" si="338"/>
        <v/>
      </c>
      <c r="AR2027" s="3" t="str">
        <f t="shared" ca="1" si="340"/>
        <v/>
      </c>
      <c r="AS2027" s="63" t="str">
        <f ca="1">IF($AQ2027&lt;&gt;"", INDEX(Inputs!$B$3:$B$101, MATCH($AQ2027,Inputs!$A$3:$A$101,1)), "")</f>
        <v/>
      </c>
      <c r="AT2027" s="48" t="str">
        <f t="shared" ca="1" si="339"/>
        <v/>
      </c>
      <c r="AU2027" s="3" t="str">
        <f t="shared" ca="1" si="341"/>
        <v/>
      </c>
      <c r="AV2027" s="3" t="str">
        <f t="shared" ca="1" si="342"/>
        <v/>
      </c>
    </row>
    <row r="2028" spans="43:48" x14ac:dyDescent="0.2">
      <c r="AQ2028" s="4" t="str">
        <f t="shared" ca="1" si="338"/>
        <v/>
      </c>
      <c r="AR2028" s="3" t="str">
        <f t="shared" ca="1" si="340"/>
        <v/>
      </c>
      <c r="AS2028" s="63" t="str">
        <f ca="1">IF($AQ2028&lt;&gt;"", INDEX(Inputs!$B$3:$B$101, MATCH($AQ2028,Inputs!$A$3:$A$101,1)), "")</f>
        <v/>
      </c>
      <c r="AT2028" s="48" t="str">
        <f t="shared" ca="1" si="339"/>
        <v/>
      </c>
      <c r="AU2028" s="3" t="str">
        <f t="shared" ca="1" si="341"/>
        <v/>
      </c>
      <c r="AV2028" s="3" t="str">
        <f t="shared" ca="1" si="342"/>
        <v/>
      </c>
    </row>
    <row r="2029" spans="43:48" x14ac:dyDescent="0.2">
      <c r="AQ2029" s="4" t="str">
        <f t="shared" ca="1" si="338"/>
        <v/>
      </c>
      <c r="AR2029" s="3" t="str">
        <f t="shared" ca="1" si="340"/>
        <v/>
      </c>
      <c r="AS2029" s="63" t="str">
        <f ca="1">IF($AQ2029&lt;&gt;"", INDEX(Inputs!$B$3:$B$101, MATCH($AQ2029,Inputs!$A$3:$A$101,1)), "")</f>
        <v/>
      </c>
      <c r="AT2029" s="48" t="str">
        <f t="shared" ca="1" si="339"/>
        <v/>
      </c>
      <c r="AU2029" s="3" t="str">
        <f t="shared" ca="1" si="341"/>
        <v/>
      </c>
      <c r="AV2029" s="3" t="str">
        <f t="shared" ca="1" si="342"/>
        <v/>
      </c>
    </row>
    <row r="2030" spans="43:48" x14ac:dyDescent="0.2">
      <c r="AQ2030" s="4" t="str">
        <f t="shared" ca="1" si="338"/>
        <v/>
      </c>
      <c r="AR2030" s="3" t="str">
        <f t="shared" ca="1" si="340"/>
        <v/>
      </c>
      <c r="AS2030" s="63" t="str">
        <f ca="1">IF($AQ2030&lt;&gt;"", INDEX(Inputs!$B$3:$B$101, MATCH($AQ2030,Inputs!$A$3:$A$101,1)), "")</f>
        <v/>
      </c>
      <c r="AT2030" s="48" t="str">
        <f t="shared" ca="1" si="339"/>
        <v/>
      </c>
      <c r="AU2030" s="3" t="str">
        <f t="shared" ca="1" si="341"/>
        <v/>
      </c>
      <c r="AV2030" s="3" t="str">
        <f t="shared" ca="1" si="342"/>
        <v/>
      </c>
    </row>
    <row r="2031" spans="43:48" x14ac:dyDescent="0.2">
      <c r="AQ2031" s="4" t="str">
        <f t="shared" ca="1" si="338"/>
        <v/>
      </c>
      <c r="AR2031" s="3" t="str">
        <f t="shared" ca="1" si="340"/>
        <v/>
      </c>
      <c r="AS2031" s="63" t="str">
        <f ca="1">IF($AQ2031&lt;&gt;"", INDEX(Inputs!$B$3:$B$101, MATCH($AQ2031,Inputs!$A$3:$A$101,1)), "")</f>
        <v/>
      </c>
      <c r="AT2031" s="48" t="str">
        <f t="shared" ca="1" si="339"/>
        <v/>
      </c>
      <c r="AU2031" s="3" t="str">
        <f t="shared" ca="1" si="341"/>
        <v/>
      </c>
      <c r="AV2031" s="3" t="str">
        <f t="shared" ca="1" si="342"/>
        <v/>
      </c>
    </row>
    <row r="2032" spans="43:48" x14ac:dyDescent="0.2">
      <c r="AQ2032" s="4" t="str">
        <f t="shared" ca="1" si="338"/>
        <v/>
      </c>
      <c r="AR2032" s="3" t="str">
        <f t="shared" ca="1" si="340"/>
        <v/>
      </c>
      <c r="AS2032" s="63" t="str">
        <f ca="1">IF($AQ2032&lt;&gt;"", INDEX(Inputs!$B$3:$B$101, MATCH($AQ2032,Inputs!$A$3:$A$101,1)), "")</f>
        <v/>
      </c>
      <c r="AT2032" s="48" t="str">
        <f t="shared" ca="1" si="339"/>
        <v/>
      </c>
      <c r="AU2032" s="3" t="str">
        <f t="shared" ca="1" si="341"/>
        <v/>
      </c>
      <c r="AV2032" s="3" t="str">
        <f t="shared" ca="1" si="342"/>
        <v/>
      </c>
    </row>
    <row r="2033" spans="43:48" x14ac:dyDescent="0.2">
      <c r="AQ2033" s="4" t="str">
        <f t="shared" ca="1" si="338"/>
        <v/>
      </c>
      <c r="AR2033" s="3" t="str">
        <f t="shared" ca="1" si="340"/>
        <v/>
      </c>
      <c r="AS2033" s="63" t="str">
        <f ca="1">IF($AQ2033&lt;&gt;"", INDEX(Inputs!$B$3:$B$101, MATCH($AQ2033,Inputs!$A$3:$A$101,1)), "")</f>
        <v/>
      </c>
      <c r="AT2033" s="48" t="str">
        <f t="shared" ca="1" si="339"/>
        <v/>
      </c>
      <c r="AU2033" s="3" t="str">
        <f t="shared" ca="1" si="341"/>
        <v/>
      </c>
      <c r="AV2033" s="3" t="str">
        <f t="shared" ca="1" si="342"/>
        <v/>
      </c>
    </row>
    <row r="2034" spans="43:48" x14ac:dyDescent="0.2">
      <c r="AQ2034" s="4" t="str">
        <f t="shared" ca="1" si="338"/>
        <v/>
      </c>
      <c r="AR2034" s="3" t="str">
        <f t="shared" ca="1" si="340"/>
        <v/>
      </c>
      <c r="AS2034" s="63" t="str">
        <f ca="1">IF($AQ2034&lt;&gt;"", INDEX(Inputs!$B$3:$B$101, MATCH($AQ2034,Inputs!$A$3:$A$101,1)), "")</f>
        <v/>
      </c>
      <c r="AT2034" s="48" t="str">
        <f t="shared" ca="1" si="339"/>
        <v/>
      </c>
      <c r="AU2034" s="3" t="str">
        <f t="shared" ca="1" si="341"/>
        <v/>
      </c>
      <c r="AV2034" s="3" t="str">
        <f t="shared" ca="1" si="342"/>
        <v/>
      </c>
    </row>
    <row r="2035" spans="43:48" x14ac:dyDescent="0.2">
      <c r="AQ2035" s="4" t="str">
        <f t="shared" ca="1" si="338"/>
        <v/>
      </c>
      <c r="AR2035" s="3" t="str">
        <f t="shared" ca="1" si="340"/>
        <v/>
      </c>
      <c r="AS2035" s="63" t="str">
        <f ca="1">IF($AQ2035&lt;&gt;"", INDEX(Inputs!$B$3:$B$101, MATCH($AQ2035,Inputs!$A$3:$A$101,1)), "")</f>
        <v/>
      </c>
      <c r="AT2035" s="48" t="str">
        <f t="shared" ca="1" si="339"/>
        <v/>
      </c>
      <c r="AU2035" s="3" t="str">
        <f t="shared" ca="1" si="341"/>
        <v/>
      </c>
      <c r="AV2035" s="3" t="str">
        <f t="shared" ca="1" si="342"/>
        <v/>
      </c>
    </row>
    <row r="2036" spans="43:48" x14ac:dyDescent="0.2">
      <c r="AQ2036" s="4" t="str">
        <f t="shared" ca="1" si="338"/>
        <v/>
      </c>
      <c r="AR2036" s="3" t="str">
        <f t="shared" ca="1" si="340"/>
        <v/>
      </c>
      <c r="AS2036" s="63" t="str">
        <f ca="1">IF($AQ2036&lt;&gt;"", INDEX(Inputs!$B$3:$B$101, MATCH($AQ2036,Inputs!$A$3:$A$101,1)), "")</f>
        <v/>
      </c>
      <c r="AT2036" s="48" t="str">
        <f t="shared" ca="1" si="339"/>
        <v/>
      </c>
      <c r="AU2036" s="3" t="str">
        <f t="shared" ca="1" si="341"/>
        <v/>
      </c>
      <c r="AV2036" s="3" t="str">
        <f t="shared" ca="1" si="342"/>
        <v/>
      </c>
    </row>
    <row r="2037" spans="43:48" x14ac:dyDescent="0.2">
      <c r="AQ2037" s="4" t="str">
        <f t="shared" ca="1" si="338"/>
        <v/>
      </c>
      <c r="AR2037" s="3" t="str">
        <f t="shared" ca="1" si="340"/>
        <v/>
      </c>
      <c r="AS2037" s="63" t="str">
        <f ca="1">IF($AQ2037&lt;&gt;"", INDEX(Inputs!$B$3:$B$101, MATCH($AQ2037,Inputs!$A$3:$A$101,1)), "")</f>
        <v/>
      </c>
      <c r="AT2037" s="48" t="str">
        <f t="shared" ca="1" si="339"/>
        <v/>
      </c>
      <c r="AU2037" s="3" t="str">
        <f t="shared" ca="1" si="341"/>
        <v/>
      </c>
      <c r="AV2037" s="3" t="str">
        <f t="shared" ca="1" si="342"/>
        <v/>
      </c>
    </row>
    <row r="2038" spans="43:48" x14ac:dyDescent="0.2">
      <c r="AQ2038" s="4" t="str">
        <f t="shared" ca="1" si="338"/>
        <v/>
      </c>
      <c r="AR2038" s="3" t="str">
        <f t="shared" ca="1" si="340"/>
        <v/>
      </c>
      <c r="AS2038" s="63" t="str">
        <f ca="1">IF($AQ2038&lt;&gt;"", INDEX(Inputs!$B$3:$B$101, MATCH($AQ2038,Inputs!$A$3:$A$101,1)), "")</f>
        <v/>
      </c>
      <c r="AT2038" s="48" t="str">
        <f t="shared" ca="1" si="339"/>
        <v/>
      </c>
      <c r="AU2038" s="3" t="str">
        <f t="shared" ca="1" si="341"/>
        <v/>
      </c>
      <c r="AV2038" s="3" t="str">
        <f t="shared" ca="1" si="342"/>
        <v/>
      </c>
    </row>
    <row r="2039" spans="43:48" x14ac:dyDescent="0.2">
      <c r="AQ2039" s="4" t="str">
        <f t="shared" ca="1" si="338"/>
        <v/>
      </c>
      <c r="AR2039" s="3" t="str">
        <f t="shared" ca="1" si="340"/>
        <v/>
      </c>
      <c r="AS2039" s="63" t="str">
        <f ca="1">IF($AQ2039&lt;&gt;"", INDEX(Inputs!$B$3:$B$101, MATCH($AQ2039,Inputs!$A$3:$A$101,1)), "")</f>
        <v/>
      </c>
      <c r="AT2039" s="48" t="str">
        <f t="shared" ca="1" si="339"/>
        <v/>
      </c>
      <c r="AU2039" s="3" t="str">
        <f t="shared" ca="1" si="341"/>
        <v/>
      </c>
      <c r="AV2039" s="3" t="str">
        <f t="shared" ca="1" si="342"/>
        <v/>
      </c>
    </row>
    <row r="2040" spans="43:48" x14ac:dyDescent="0.2">
      <c r="AQ2040" s="4" t="str">
        <f t="shared" ca="1" si="338"/>
        <v/>
      </c>
      <c r="AR2040" s="3" t="str">
        <f t="shared" ca="1" si="340"/>
        <v/>
      </c>
      <c r="AS2040" s="63" t="str">
        <f ca="1">IF($AQ2040&lt;&gt;"", INDEX(Inputs!$B$3:$B$101, MATCH($AQ2040,Inputs!$A$3:$A$101,1)), "")</f>
        <v/>
      </c>
      <c r="AT2040" s="48" t="str">
        <f t="shared" ca="1" si="339"/>
        <v/>
      </c>
      <c r="AU2040" s="3" t="str">
        <f t="shared" ca="1" si="341"/>
        <v/>
      </c>
      <c r="AV2040" s="3" t="str">
        <f t="shared" ca="1" si="342"/>
        <v/>
      </c>
    </row>
    <row r="2041" spans="43:48" x14ac:dyDescent="0.2">
      <c r="AQ2041" s="4" t="str">
        <f t="shared" ref="AQ2041:AQ2104" ca="1" si="343">IF(AQ2040&lt;$AP$3,AQ2040+1,"")</f>
        <v/>
      </c>
      <c r="AR2041" s="3" t="str">
        <f t="shared" ca="1" si="340"/>
        <v/>
      </c>
      <c r="AS2041" s="63" t="str">
        <f ca="1">IF($AQ2041&lt;&gt;"", INDEX(Inputs!$B$3:$B$101, MATCH($AQ2041,Inputs!$A$3:$A$101,1)), "")</f>
        <v/>
      </c>
      <c r="AT2041" s="48" t="str">
        <f t="shared" ref="AT2041:AT2104" ca="1" si="344">IF($AQ2041&lt;&gt;"", AR2041*AS2041/365, "")</f>
        <v/>
      </c>
      <c r="AU2041" s="3" t="str">
        <f t="shared" ca="1" si="341"/>
        <v/>
      </c>
      <c r="AV2041" s="3" t="str">
        <f t="shared" ca="1" si="342"/>
        <v/>
      </c>
    </row>
    <row r="2042" spans="43:48" x14ac:dyDescent="0.2">
      <c r="AQ2042" s="4" t="str">
        <f t="shared" ca="1" si="343"/>
        <v/>
      </c>
      <c r="AR2042" s="3" t="str">
        <f t="shared" ca="1" si="340"/>
        <v/>
      </c>
      <c r="AS2042" s="63" t="str">
        <f ca="1">IF($AQ2042&lt;&gt;"", INDEX(Inputs!$B$3:$B$101, MATCH($AQ2042,Inputs!$A$3:$A$101,1)), "")</f>
        <v/>
      </c>
      <c r="AT2042" s="48" t="str">
        <f t="shared" ca="1" si="344"/>
        <v/>
      </c>
      <c r="AU2042" s="3" t="str">
        <f t="shared" ca="1" si="341"/>
        <v/>
      </c>
      <c r="AV2042" s="3" t="str">
        <f t="shared" ca="1" si="342"/>
        <v/>
      </c>
    </row>
    <row r="2043" spans="43:48" x14ac:dyDescent="0.2">
      <c r="AQ2043" s="4" t="str">
        <f t="shared" ca="1" si="343"/>
        <v/>
      </c>
      <c r="AR2043" s="3" t="str">
        <f t="shared" ca="1" si="340"/>
        <v/>
      </c>
      <c r="AS2043" s="63" t="str">
        <f ca="1">IF($AQ2043&lt;&gt;"", INDEX(Inputs!$B$3:$B$101, MATCH($AQ2043,Inputs!$A$3:$A$101,1)), "")</f>
        <v/>
      </c>
      <c r="AT2043" s="48" t="str">
        <f t="shared" ca="1" si="344"/>
        <v/>
      </c>
      <c r="AU2043" s="3" t="str">
        <f t="shared" ca="1" si="341"/>
        <v/>
      </c>
      <c r="AV2043" s="3" t="str">
        <f t="shared" ca="1" si="342"/>
        <v/>
      </c>
    </row>
    <row r="2044" spans="43:48" x14ac:dyDescent="0.2">
      <c r="AQ2044" s="4" t="str">
        <f t="shared" ca="1" si="343"/>
        <v/>
      </c>
      <c r="AR2044" s="3" t="str">
        <f t="shared" ca="1" si="340"/>
        <v/>
      </c>
      <c r="AS2044" s="63" t="str">
        <f ca="1">IF($AQ2044&lt;&gt;"", INDEX(Inputs!$B$3:$B$101, MATCH($AQ2044,Inputs!$A$3:$A$101,1)), "")</f>
        <v/>
      </c>
      <c r="AT2044" s="48" t="str">
        <f t="shared" ca="1" si="344"/>
        <v/>
      </c>
      <c r="AU2044" s="3" t="str">
        <f t="shared" ca="1" si="341"/>
        <v/>
      </c>
      <c r="AV2044" s="3" t="str">
        <f t="shared" ca="1" si="342"/>
        <v/>
      </c>
    </row>
    <row r="2045" spans="43:48" x14ac:dyDescent="0.2">
      <c r="AQ2045" s="4" t="str">
        <f t="shared" ca="1" si="343"/>
        <v/>
      </c>
      <c r="AR2045" s="3" t="str">
        <f t="shared" ca="1" si="340"/>
        <v/>
      </c>
      <c r="AS2045" s="63" t="str">
        <f ca="1">IF($AQ2045&lt;&gt;"", INDEX(Inputs!$B$3:$B$101, MATCH($AQ2045,Inputs!$A$3:$A$101,1)), "")</f>
        <v/>
      </c>
      <c r="AT2045" s="48" t="str">
        <f t="shared" ca="1" si="344"/>
        <v/>
      </c>
      <c r="AU2045" s="3" t="str">
        <f t="shared" ca="1" si="341"/>
        <v/>
      </c>
      <c r="AV2045" s="3" t="str">
        <f t="shared" ca="1" si="342"/>
        <v/>
      </c>
    </row>
    <row r="2046" spans="43:48" x14ac:dyDescent="0.2">
      <c r="AQ2046" s="4" t="str">
        <f t="shared" ca="1" si="343"/>
        <v/>
      </c>
      <c r="AR2046" s="3" t="str">
        <f t="shared" ca="1" si="340"/>
        <v/>
      </c>
      <c r="AS2046" s="63" t="str">
        <f ca="1">IF($AQ2046&lt;&gt;"", INDEX(Inputs!$B$3:$B$101, MATCH($AQ2046,Inputs!$A$3:$A$101,1)), "")</f>
        <v/>
      </c>
      <c r="AT2046" s="48" t="str">
        <f t="shared" ca="1" si="344"/>
        <v/>
      </c>
      <c r="AU2046" s="3" t="str">
        <f t="shared" ca="1" si="341"/>
        <v/>
      </c>
      <c r="AV2046" s="3" t="str">
        <f t="shared" ca="1" si="342"/>
        <v/>
      </c>
    </row>
    <row r="2047" spans="43:48" x14ac:dyDescent="0.2">
      <c r="AQ2047" s="4" t="str">
        <f t="shared" ca="1" si="343"/>
        <v/>
      </c>
      <c r="AR2047" s="3" t="str">
        <f t="shared" ca="1" si="340"/>
        <v/>
      </c>
      <c r="AS2047" s="63" t="str">
        <f ca="1">IF($AQ2047&lt;&gt;"", INDEX(Inputs!$B$3:$B$101, MATCH($AQ2047,Inputs!$A$3:$A$101,1)), "")</f>
        <v/>
      </c>
      <c r="AT2047" s="48" t="str">
        <f t="shared" ca="1" si="344"/>
        <v/>
      </c>
      <c r="AU2047" s="3" t="str">
        <f t="shared" ca="1" si="341"/>
        <v/>
      </c>
      <c r="AV2047" s="3" t="str">
        <f t="shared" ca="1" si="342"/>
        <v/>
      </c>
    </row>
    <row r="2048" spans="43:48" x14ac:dyDescent="0.2">
      <c r="AQ2048" s="4" t="str">
        <f t="shared" ca="1" si="343"/>
        <v/>
      </c>
      <c r="AR2048" s="3" t="str">
        <f t="shared" ca="1" si="340"/>
        <v/>
      </c>
      <c r="AS2048" s="63" t="str">
        <f ca="1">IF($AQ2048&lt;&gt;"", INDEX(Inputs!$B$3:$B$101, MATCH($AQ2048,Inputs!$A$3:$A$101,1)), "")</f>
        <v/>
      </c>
      <c r="AT2048" s="48" t="str">
        <f t="shared" ca="1" si="344"/>
        <v/>
      </c>
      <c r="AU2048" s="3" t="str">
        <f t="shared" ca="1" si="341"/>
        <v/>
      </c>
      <c r="AV2048" s="3" t="str">
        <f t="shared" ca="1" si="342"/>
        <v/>
      </c>
    </row>
    <row r="2049" spans="43:48" x14ac:dyDescent="0.2">
      <c r="AQ2049" s="4" t="str">
        <f t="shared" ca="1" si="343"/>
        <v/>
      </c>
      <c r="AR2049" s="3" t="str">
        <f t="shared" ca="1" si="340"/>
        <v/>
      </c>
      <c r="AS2049" s="63" t="str">
        <f ca="1">IF($AQ2049&lt;&gt;"", INDEX(Inputs!$B$3:$B$101, MATCH($AQ2049,Inputs!$A$3:$A$101,1)), "")</f>
        <v/>
      </c>
      <c r="AT2049" s="48" t="str">
        <f t="shared" ca="1" si="344"/>
        <v/>
      </c>
      <c r="AU2049" s="3" t="str">
        <f t="shared" ca="1" si="341"/>
        <v/>
      </c>
      <c r="AV2049" s="3" t="str">
        <f t="shared" ca="1" si="342"/>
        <v/>
      </c>
    </row>
    <row r="2050" spans="43:48" x14ac:dyDescent="0.2">
      <c r="AQ2050" s="4" t="str">
        <f t="shared" ca="1" si="343"/>
        <v/>
      </c>
      <c r="AR2050" s="3" t="str">
        <f t="shared" ca="1" si="340"/>
        <v/>
      </c>
      <c r="AS2050" s="63" t="str">
        <f ca="1">IF($AQ2050&lt;&gt;"", INDEX(Inputs!$B$3:$B$101, MATCH($AQ2050,Inputs!$A$3:$A$101,1)), "")</f>
        <v/>
      </c>
      <c r="AT2050" s="48" t="str">
        <f t="shared" ca="1" si="344"/>
        <v/>
      </c>
      <c r="AU2050" s="3" t="str">
        <f t="shared" ca="1" si="341"/>
        <v/>
      </c>
      <c r="AV2050" s="3" t="str">
        <f t="shared" ca="1" si="342"/>
        <v/>
      </c>
    </row>
    <row r="2051" spans="43:48" x14ac:dyDescent="0.2">
      <c r="AQ2051" s="4" t="str">
        <f t="shared" ca="1" si="343"/>
        <v/>
      </c>
      <c r="AR2051" s="3" t="str">
        <f t="shared" ca="1" si="340"/>
        <v/>
      </c>
      <c r="AS2051" s="63" t="str">
        <f ca="1">IF($AQ2051&lt;&gt;"", INDEX(Inputs!$B$3:$B$101, MATCH($AQ2051,Inputs!$A$3:$A$101,1)), "")</f>
        <v/>
      </c>
      <c r="AT2051" s="48" t="str">
        <f t="shared" ca="1" si="344"/>
        <v/>
      </c>
      <c r="AU2051" s="3" t="str">
        <f t="shared" ca="1" si="341"/>
        <v/>
      </c>
      <c r="AV2051" s="3" t="str">
        <f t="shared" ca="1" si="342"/>
        <v/>
      </c>
    </row>
    <row r="2052" spans="43:48" x14ac:dyDescent="0.2">
      <c r="AQ2052" s="4" t="str">
        <f t="shared" ca="1" si="343"/>
        <v/>
      </c>
      <c r="AR2052" s="3" t="str">
        <f t="shared" ca="1" si="340"/>
        <v/>
      </c>
      <c r="AS2052" s="63" t="str">
        <f ca="1">IF($AQ2052&lt;&gt;"", INDEX(Inputs!$B$3:$B$101, MATCH($AQ2052,Inputs!$A$3:$A$101,1)), "")</f>
        <v/>
      </c>
      <c r="AT2052" s="48" t="str">
        <f t="shared" ca="1" si="344"/>
        <v/>
      </c>
      <c r="AU2052" s="3" t="str">
        <f t="shared" ca="1" si="341"/>
        <v/>
      </c>
      <c r="AV2052" s="3" t="str">
        <f t="shared" ca="1" si="342"/>
        <v/>
      </c>
    </row>
    <row r="2053" spans="43:48" x14ac:dyDescent="0.2">
      <c r="AQ2053" s="4" t="str">
        <f t="shared" ca="1" si="343"/>
        <v/>
      </c>
      <c r="AR2053" s="3" t="str">
        <f t="shared" ca="1" si="340"/>
        <v/>
      </c>
      <c r="AS2053" s="63" t="str">
        <f ca="1">IF($AQ2053&lt;&gt;"", INDEX(Inputs!$B$3:$B$101, MATCH($AQ2053,Inputs!$A$3:$A$101,1)), "")</f>
        <v/>
      </c>
      <c r="AT2053" s="48" t="str">
        <f t="shared" ca="1" si="344"/>
        <v/>
      </c>
      <c r="AU2053" s="3" t="str">
        <f t="shared" ca="1" si="341"/>
        <v/>
      </c>
      <c r="AV2053" s="3" t="str">
        <f t="shared" ca="1" si="342"/>
        <v/>
      </c>
    </row>
    <row r="2054" spans="43:48" x14ac:dyDescent="0.2">
      <c r="AQ2054" s="4" t="str">
        <f t="shared" ca="1" si="343"/>
        <v/>
      </c>
      <c r="AR2054" s="3" t="str">
        <f t="shared" ca="1" si="340"/>
        <v/>
      </c>
      <c r="AS2054" s="63" t="str">
        <f ca="1">IF($AQ2054&lt;&gt;"", INDEX(Inputs!$B$3:$B$101, MATCH($AQ2054,Inputs!$A$3:$A$101,1)), "")</f>
        <v/>
      </c>
      <c r="AT2054" s="48" t="str">
        <f t="shared" ca="1" si="344"/>
        <v/>
      </c>
      <c r="AU2054" s="3" t="str">
        <f t="shared" ca="1" si="341"/>
        <v/>
      </c>
      <c r="AV2054" s="3" t="str">
        <f t="shared" ca="1" si="342"/>
        <v/>
      </c>
    </row>
    <row r="2055" spans="43:48" x14ac:dyDescent="0.2">
      <c r="AQ2055" s="4" t="str">
        <f t="shared" ca="1" si="343"/>
        <v/>
      </c>
      <c r="AR2055" s="3" t="str">
        <f t="shared" ca="1" si="340"/>
        <v/>
      </c>
      <c r="AS2055" s="63" t="str">
        <f ca="1">IF($AQ2055&lt;&gt;"", INDEX(Inputs!$B$3:$B$101, MATCH($AQ2055,Inputs!$A$3:$A$101,1)), "")</f>
        <v/>
      </c>
      <c r="AT2055" s="48" t="str">
        <f t="shared" ca="1" si="344"/>
        <v/>
      </c>
      <c r="AU2055" s="3" t="str">
        <f t="shared" ca="1" si="341"/>
        <v/>
      </c>
      <c r="AV2055" s="3" t="str">
        <f t="shared" ca="1" si="342"/>
        <v/>
      </c>
    </row>
    <row r="2056" spans="43:48" x14ac:dyDescent="0.2">
      <c r="AQ2056" s="4" t="str">
        <f t="shared" ca="1" si="343"/>
        <v/>
      </c>
      <c r="AR2056" s="3" t="str">
        <f t="shared" ca="1" si="340"/>
        <v/>
      </c>
      <c r="AS2056" s="63" t="str">
        <f ca="1">IF($AQ2056&lt;&gt;"", INDEX(Inputs!$B$3:$B$101, MATCH($AQ2056,Inputs!$A$3:$A$101,1)), "")</f>
        <v/>
      </c>
      <c r="AT2056" s="48" t="str">
        <f t="shared" ca="1" si="344"/>
        <v/>
      </c>
      <c r="AU2056" s="3" t="str">
        <f t="shared" ca="1" si="341"/>
        <v/>
      </c>
      <c r="AV2056" s="3" t="str">
        <f t="shared" ca="1" si="342"/>
        <v/>
      </c>
    </row>
    <row r="2057" spans="43:48" x14ac:dyDescent="0.2">
      <c r="AQ2057" s="4" t="str">
        <f t="shared" ca="1" si="343"/>
        <v/>
      </c>
      <c r="AR2057" s="3" t="str">
        <f t="shared" ca="1" si="340"/>
        <v/>
      </c>
      <c r="AS2057" s="63" t="str">
        <f ca="1">IF($AQ2057&lt;&gt;"", INDEX(Inputs!$B$3:$B$101, MATCH($AQ2057,Inputs!$A$3:$A$101,1)), "")</f>
        <v/>
      </c>
      <c r="AT2057" s="48" t="str">
        <f t="shared" ca="1" si="344"/>
        <v/>
      </c>
      <c r="AU2057" s="3" t="str">
        <f t="shared" ca="1" si="341"/>
        <v/>
      </c>
      <c r="AV2057" s="3" t="str">
        <f t="shared" ca="1" si="342"/>
        <v/>
      </c>
    </row>
    <row r="2058" spans="43:48" x14ac:dyDescent="0.2">
      <c r="AQ2058" s="4" t="str">
        <f t="shared" ca="1" si="343"/>
        <v/>
      </c>
      <c r="AR2058" s="3" t="str">
        <f t="shared" ca="1" si="340"/>
        <v/>
      </c>
      <c r="AS2058" s="63" t="str">
        <f ca="1">IF($AQ2058&lt;&gt;"", INDEX(Inputs!$B$3:$B$101, MATCH($AQ2058,Inputs!$A$3:$A$101,1)), "")</f>
        <v/>
      </c>
      <c r="AT2058" s="48" t="str">
        <f t="shared" ca="1" si="344"/>
        <v/>
      </c>
      <c r="AU2058" s="3" t="str">
        <f t="shared" ca="1" si="341"/>
        <v/>
      </c>
      <c r="AV2058" s="3" t="str">
        <f t="shared" ca="1" si="342"/>
        <v/>
      </c>
    </row>
    <row r="2059" spans="43:48" x14ac:dyDescent="0.2">
      <c r="AQ2059" s="4" t="str">
        <f t="shared" ca="1" si="343"/>
        <v/>
      </c>
      <c r="AR2059" s="3" t="str">
        <f t="shared" ca="1" si="340"/>
        <v/>
      </c>
      <c r="AS2059" s="63" t="str">
        <f ca="1">IF($AQ2059&lt;&gt;"", INDEX(Inputs!$B$3:$B$101, MATCH($AQ2059,Inputs!$A$3:$A$101,1)), "")</f>
        <v/>
      </c>
      <c r="AT2059" s="48" t="str">
        <f t="shared" ca="1" si="344"/>
        <v/>
      </c>
      <c r="AU2059" s="3" t="str">
        <f t="shared" ca="1" si="341"/>
        <v/>
      </c>
      <c r="AV2059" s="3" t="str">
        <f t="shared" ca="1" si="342"/>
        <v/>
      </c>
    </row>
    <row r="2060" spans="43:48" x14ac:dyDescent="0.2">
      <c r="AQ2060" s="4" t="str">
        <f t="shared" ca="1" si="343"/>
        <v/>
      </c>
      <c r="AR2060" s="3" t="str">
        <f t="shared" ca="1" si="340"/>
        <v/>
      </c>
      <c r="AS2060" s="63" t="str">
        <f ca="1">IF($AQ2060&lt;&gt;"", INDEX(Inputs!$B$3:$B$101, MATCH($AQ2060,Inputs!$A$3:$A$101,1)), "")</f>
        <v/>
      </c>
      <c r="AT2060" s="48" t="str">
        <f t="shared" ca="1" si="344"/>
        <v/>
      </c>
      <c r="AU2060" s="3" t="str">
        <f t="shared" ca="1" si="341"/>
        <v/>
      </c>
      <c r="AV2060" s="3" t="str">
        <f t="shared" ca="1" si="342"/>
        <v/>
      </c>
    </row>
    <row r="2061" spans="43:48" x14ac:dyDescent="0.2">
      <c r="AQ2061" s="4" t="str">
        <f t="shared" ca="1" si="343"/>
        <v/>
      </c>
      <c r="AR2061" s="3" t="str">
        <f t="shared" ca="1" si="340"/>
        <v/>
      </c>
      <c r="AS2061" s="63" t="str">
        <f ca="1">IF($AQ2061&lt;&gt;"", INDEX(Inputs!$B$3:$B$101, MATCH($AQ2061,Inputs!$A$3:$A$101,1)), "")</f>
        <v/>
      </c>
      <c r="AT2061" s="48" t="str">
        <f t="shared" ca="1" si="344"/>
        <v/>
      </c>
      <c r="AU2061" s="3" t="str">
        <f t="shared" ca="1" si="341"/>
        <v/>
      </c>
      <c r="AV2061" s="3" t="str">
        <f t="shared" ca="1" si="342"/>
        <v/>
      </c>
    </row>
    <row r="2062" spans="43:48" x14ac:dyDescent="0.2">
      <c r="AQ2062" s="4" t="str">
        <f t="shared" ca="1" si="343"/>
        <v/>
      </c>
      <c r="AR2062" s="3" t="str">
        <f t="shared" ca="1" si="340"/>
        <v/>
      </c>
      <c r="AS2062" s="63" t="str">
        <f ca="1">IF($AQ2062&lt;&gt;"", INDEX(Inputs!$B$3:$B$101, MATCH($AQ2062,Inputs!$A$3:$A$101,1)), "")</f>
        <v/>
      </c>
      <c r="AT2062" s="48" t="str">
        <f t="shared" ca="1" si="344"/>
        <v/>
      </c>
      <c r="AU2062" s="3" t="str">
        <f t="shared" ca="1" si="341"/>
        <v/>
      </c>
      <c r="AV2062" s="3" t="str">
        <f t="shared" ca="1" si="342"/>
        <v/>
      </c>
    </row>
    <row r="2063" spans="43:48" x14ac:dyDescent="0.2">
      <c r="AQ2063" s="4" t="str">
        <f t="shared" ca="1" si="343"/>
        <v/>
      </c>
      <c r="AR2063" s="3" t="str">
        <f t="shared" ca="1" si="340"/>
        <v/>
      </c>
      <c r="AS2063" s="63" t="str">
        <f ca="1">IF($AQ2063&lt;&gt;"", INDEX(Inputs!$B$3:$B$101, MATCH($AQ2063,Inputs!$A$3:$A$101,1)), "")</f>
        <v/>
      </c>
      <c r="AT2063" s="48" t="str">
        <f t="shared" ca="1" si="344"/>
        <v/>
      </c>
      <c r="AU2063" s="3" t="str">
        <f t="shared" ca="1" si="341"/>
        <v/>
      </c>
      <c r="AV2063" s="3" t="str">
        <f t="shared" ca="1" si="342"/>
        <v/>
      </c>
    </row>
    <row r="2064" spans="43:48" x14ac:dyDescent="0.2">
      <c r="AQ2064" s="4" t="str">
        <f t="shared" ca="1" si="343"/>
        <v/>
      </c>
      <c r="AR2064" s="3" t="str">
        <f t="shared" ca="1" si="340"/>
        <v/>
      </c>
      <c r="AS2064" s="63" t="str">
        <f ca="1">IF($AQ2064&lt;&gt;"", INDEX(Inputs!$B$3:$B$101, MATCH($AQ2064,Inputs!$A$3:$A$101,1)), "")</f>
        <v/>
      </c>
      <c r="AT2064" s="48" t="str">
        <f t="shared" ca="1" si="344"/>
        <v/>
      </c>
      <c r="AU2064" s="3" t="str">
        <f t="shared" ca="1" si="341"/>
        <v/>
      </c>
      <c r="AV2064" s="3" t="str">
        <f t="shared" ca="1" si="342"/>
        <v/>
      </c>
    </row>
    <row r="2065" spans="43:48" x14ac:dyDescent="0.2">
      <c r="AQ2065" s="4" t="str">
        <f t="shared" ca="1" si="343"/>
        <v/>
      </c>
      <c r="AR2065" s="3" t="str">
        <f t="shared" ca="1" si="340"/>
        <v/>
      </c>
      <c r="AS2065" s="63" t="str">
        <f ca="1">IF($AQ2065&lt;&gt;"", INDEX(Inputs!$B$3:$B$101, MATCH($AQ2065,Inputs!$A$3:$A$101,1)), "")</f>
        <v/>
      </c>
      <c r="AT2065" s="48" t="str">
        <f t="shared" ca="1" si="344"/>
        <v/>
      </c>
      <c r="AU2065" s="3" t="str">
        <f t="shared" ca="1" si="341"/>
        <v/>
      </c>
      <c r="AV2065" s="3" t="str">
        <f t="shared" ca="1" si="342"/>
        <v/>
      </c>
    </row>
    <row r="2066" spans="43:48" x14ac:dyDescent="0.2">
      <c r="AQ2066" s="4" t="str">
        <f t="shared" ca="1" si="343"/>
        <v/>
      </c>
      <c r="AR2066" s="3" t="str">
        <f t="shared" ca="1" si="340"/>
        <v/>
      </c>
      <c r="AS2066" s="63" t="str">
        <f ca="1">IF($AQ2066&lt;&gt;"", INDEX(Inputs!$B$3:$B$101, MATCH($AQ2066,Inputs!$A$3:$A$101,1)), "")</f>
        <v/>
      </c>
      <c r="AT2066" s="48" t="str">
        <f t="shared" ca="1" si="344"/>
        <v/>
      </c>
      <c r="AU2066" s="3" t="str">
        <f t="shared" ca="1" si="341"/>
        <v/>
      </c>
      <c r="AV2066" s="3" t="str">
        <f t="shared" ca="1" si="342"/>
        <v/>
      </c>
    </row>
    <row r="2067" spans="43:48" x14ac:dyDescent="0.2">
      <c r="AQ2067" s="4" t="str">
        <f t="shared" ca="1" si="343"/>
        <v/>
      </c>
      <c r="AR2067" s="3" t="str">
        <f t="shared" ca="1" si="340"/>
        <v/>
      </c>
      <c r="AS2067" s="63" t="str">
        <f ca="1">IF($AQ2067&lt;&gt;"", INDEX(Inputs!$B$3:$B$101, MATCH($AQ2067,Inputs!$A$3:$A$101,1)), "")</f>
        <v/>
      </c>
      <c r="AT2067" s="48" t="str">
        <f t="shared" ca="1" si="344"/>
        <v/>
      </c>
      <c r="AU2067" s="3" t="str">
        <f t="shared" ca="1" si="341"/>
        <v/>
      </c>
      <c r="AV2067" s="3" t="str">
        <f t="shared" ca="1" si="342"/>
        <v/>
      </c>
    </row>
    <row r="2068" spans="43:48" x14ac:dyDescent="0.2">
      <c r="AQ2068" s="4" t="str">
        <f t="shared" ca="1" si="343"/>
        <v/>
      </c>
      <c r="AR2068" s="3" t="str">
        <f t="shared" ca="1" si="340"/>
        <v/>
      </c>
      <c r="AS2068" s="63" t="str">
        <f ca="1">IF($AQ2068&lt;&gt;"", INDEX(Inputs!$B$3:$B$101, MATCH($AQ2068,Inputs!$A$3:$A$101,1)), "")</f>
        <v/>
      </c>
      <c r="AT2068" s="48" t="str">
        <f t="shared" ca="1" si="344"/>
        <v/>
      </c>
      <c r="AU2068" s="3" t="str">
        <f t="shared" ca="1" si="341"/>
        <v/>
      </c>
      <c r="AV2068" s="3" t="str">
        <f t="shared" ca="1" si="342"/>
        <v/>
      </c>
    </row>
    <row r="2069" spans="43:48" x14ac:dyDescent="0.2">
      <c r="AQ2069" s="4" t="str">
        <f t="shared" ca="1" si="343"/>
        <v/>
      </c>
      <c r="AR2069" s="3" t="str">
        <f t="shared" ca="1" si="340"/>
        <v/>
      </c>
      <c r="AS2069" s="63" t="str">
        <f ca="1">IF($AQ2069&lt;&gt;"", INDEX(Inputs!$B$3:$B$101, MATCH($AQ2069,Inputs!$A$3:$A$101,1)), "")</f>
        <v/>
      </c>
      <c r="AT2069" s="48" t="str">
        <f t="shared" ca="1" si="344"/>
        <v/>
      </c>
      <c r="AU2069" s="3" t="str">
        <f t="shared" ca="1" si="341"/>
        <v/>
      </c>
      <c r="AV2069" s="3" t="str">
        <f t="shared" ca="1" si="342"/>
        <v/>
      </c>
    </row>
    <row r="2070" spans="43:48" x14ac:dyDescent="0.2">
      <c r="AQ2070" s="4" t="str">
        <f t="shared" ca="1" si="343"/>
        <v/>
      </c>
      <c r="AR2070" s="3" t="str">
        <f t="shared" ca="1" si="340"/>
        <v/>
      </c>
      <c r="AS2070" s="63" t="str">
        <f ca="1">IF($AQ2070&lt;&gt;"", INDEX(Inputs!$B$3:$B$101, MATCH($AQ2070,Inputs!$A$3:$A$101,1)), "")</f>
        <v/>
      </c>
      <c r="AT2070" s="48" t="str">
        <f t="shared" ca="1" si="344"/>
        <v/>
      </c>
      <c r="AU2070" s="3" t="str">
        <f t="shared" ca="1" si="341"/>
        <v/>
      </c>
      <c r="AV2070" s="3" t="str">
        <f t="shared" ca="1" si="342"/>
        <v/>
      </c>
    </row>
    <row r="2071" spans="43:48" x14ac:dyDescent="0.2">
      <c r="AQ2071" s="4" t="str">
        <f t="shared" ca="1" si="343"/>
        <v/>
      </c>
      <c r="AR2071" s="3" t="str">
        <f t="shared" ca="1" si="340"/>
        <v/>
      </c>
      <c r="AS2071" s="63" t="str">
        <f ca="1">IF($AQ2071&lt;&gt;"", INDEX(Inputs!$B$3:$B$101, MATCH($AQ2071,Inputs!$A$3:$A$101,1)), "")</f>
        <v/>
      </c>
      <c r="AT2071" s="48" t="str">
        <f t="shared" ca="1" si="344"/>
        <v/>
      </c>
      <c r="AU2071" s="3" t="str">
        <f t="shared" ca="1" si="341"/>
        <v/>
      </c>
      <c r="AV2071" s="3" t="str">
        <f t="shared" ca="1" si="342"/>
        <v/>
      </c>
    </row>
    <row r="2072" spans="43:48" x14ac:dyDescent="0.2">
      <c r="AQ2072" s="4" t="str">
        <f t="shared" ca="1" si="343"/>
        <v/>
      </c>
      <c r="AR2072" s="3" t="str">
        <f t="shared" ca="1" si="340"/>
        <v/>
      </c>
      <c r="AS2072" s="63" t="str">
        <f ca="1">IF($AQ2072&lt;&gt;"", INDEX(Inputs!$B$3:$B$101, MATCH($AQ2072,Inputs!$A$3:$A$101,1)), "")</f>
        <v/>
      </c>
      <c r="AT2072" s="48" t="str">
        <f t="shared" ca="1" si="344"/>
        <v/>
      </c>
      <c r="AU2072" s="3" t="str">
        <f t="shared" ca="1" si="341"/>
        <v/>
      </c>
      <c r="AV2072" s="3" t="str">
        <f t="shared" ca="1" si="342"/>
        <v/>
      </c>
    </row>
    <row r="2073" spans="43:48" x14ac:dyDescent="0.2">
      <c r="AQ2073" s="4" t="str">
        <f t="shared" ca="1" si="343"/>
        <v/>
      </c>
      <c r="AR2073" s="3" t="str">
        <f t="shared" ref="AR2073:AR2136" ca="1" si="345">IF($AQ2073&lt;&gt;"", INDEX($AC$3:$AC$1055, MATCH($AQ2073,$A$3:$A$1055,1)), "")</f>
        <v/>
      </c>
      <c r="AS2073" s="63" t="str">
        <f ca="1">IF($AQ2073&lt;&gt;"", INDEX(Inputs!$B$3:$B$101, MATCH($AQ2073,Inputs!$A$3:$A$101,1)), "")</f>
        <v/>
      </c>
      <c r="AT2073" s="48" t="str">
        <f t="shared" ca="1" si="344"/>
        <v/>
      </c>
      <c r="AU2073" s="3" t="str">
        <f t="shared" ref="AU2073:AU2136" ca="1" si="346">IF($AQ2073&lt;&gt;"", SUMIFS($AL$3:$AL$1054, $A$3:$A$1054,$AQ2073) + SUMIFS($M$3:$M$1054, $A$3:$A$1054,$AQ2073)*IFERROR(AVERAGEIFS($L$3:$L$1054, $A$3:$A$1054,$AQ2073, $M$3:$M$1054,"&gt;0"),0) - AT2073, "")</f>
        <v/>
      </c>
      <c r="AV2073" s="3" t="str">
        <f t="shared" ca="1" si="342"/>
        <v/>
      </c>
    </row>
    <row r="2074" spans="43:48" x14ac:dyDescent="0.2">
      <c r="AQ2074" s="4" t="str">
        <f t="shared" ca="1" si="343"/>
        <v/>
      </c>
      <c r="AR2074" s="3" t="str">
        <f t="shared" ca="1" si="345"/>
        <v/>
      </c>
      <c r="AS2074" s="63" t="str">
        <f ca="1">IF($AQ2074&lt;&gt;"", INDEX(Inputs!$B$3:$B$101, MATCH($AQ2074,Inputs!$A$3:$A$101,1)), "")</f>
        <v/>
      </c>
      <c r="AT2074" s="48" t="str">
        <f t="shared" ca="1" si="344"/>
        <v/>
      </c>
      <c r="AU2074" s="3" t="str">
        <f t="shared" ca="1" si="346"/>
        <v/>
      </c>
      <c r="AV2074" s="3" t="str">
        <f t="shared" ca="1" si="342"/>
        <v/>
      </c>
    </row>
    <row r="2075" spans="43:48" x14ac:dyDescent="0.2">
      <c r="AQ2075" s="4" t="str">
        <f t="shared" ca="1" si="343"/>
        <v/>
      </c>
      <c r="AR2075" s="3" t="str">
        <f t="shared" ca="1" si="345"/>
        <v/>
      </c>
      <c r="AS2075" s="63" t="str">
        <f ca="1">IF($AQ2075&lt;&gt;"", INDEX(Inputs!$B$3:$B$101, MATCH($AQ2075,Inputs!$A$3:$A$101,1)), "")</f>
        <v/>
      </c>
      <c r="AT2075" s="48" t="str">
        <f t="shared" ca="1" si="344"/>
        <v/>
      </c>
      <c r="AU2075" s="3" t="str">
        <f t="shared" ca="1" si="346"/>
        <v/>
      </c>
      <c r="AV2075" s="3" t="str">
        <f t="shared" ca="1" si="342"/>
        <v/>
      </c>
    </row>
    <row r="2076" spans="43:48" x14ac:dyDescent="0.2">
      <c r="AQ2076" s="4" t="str">
        <f t="shared" ca="1" si="343"/>
        <v/>
      </c>
      <c r="AR2076" s="3" t="str">
        <f t="shared" ca="1" si="345"/>
        <v/>
      </c>
      <c r="AS2076" s="63" t="str">
        <f ca="1">IF($AQ2076&lt;&gt;"", INDEX(Inputs!$B$3:$B$101, MATCH($AQ2076,Inputs!$A$3:$A$101,1)), "")</f>
        <v/>
      </c>
      <c r="AT2076" s="48" t="str">
        <f t="shared" ca="1" si="344"/>
        <v/>
      </c>
      <c r="AU2076" s="3" t="str">
        <f t="shared" ca="1" si="346"/>
        <v/>
      </c>
      <c r="AV2076" s="3" t="str">
        <f t="shared" ca="1" si="342"/>
        <v/>
      </c>
    </row>
    <row r="2077" spans="43:48" x14ac:dyDescent="0.2">
      <c r="AQ2077" s="4" t="str">
        <f t="shared" ca="1" si="343"/>
        <v/>
      </c>
      <c r="AR2077" s="3" t="str">
        <f t="shared" ca="1" si="345"/>
        <v/>
      </c>
      <c r="AS2077" s="63" t="str">
        <f ca="1">IF($AQ2077&lt;&gt;"", INDEX(Inputs!$B$3:$B$101, MATCH($AQ2077,Inputs!$A$3:$A$101,1)), "")</f>
        <v/>
      </c>
      <c r="AT2077" s="48" t="str">
        <f t="shared" ca="1" si="344"/>
        <v/>
      </c>
      <c r="AU2077" s="3" t="str">
        <f t="shared" ca="1" si="346"/>
        <v/>
      </c>
      <c r="AV2077" s="3" t="str">
        <f t="shared" ca="1" si="342"/>
        <v/>
      </c>
    </row>
    <row r="2078" spans="43:48" x14ac:dyDescent="0.2">
      <c r="AQ2078" s="4" t="str">
        <f t="shared" ca="1" si="343"/>
        <v/>
      </c>
      <c r="AR2078" s="3" t="str">
        <f t="shared" ca="1" si="345"/>
        <v/>
      </c>
      <c r="AS2078" s="63" t="str">
        <f ca="1">IF($AQ2078&lt;&gt;"", INDEX(Inputs!$B$3:$B$101, MATCH($AQ2078,Inputs!$A$3:$A$101,1)), "")</f>
        <v/>
      </c>
      <c r="AT2078" s="48" t="str">
        <f t="shared" ca="1" si="344"/>
        <v/>
      </c>
      <c r="AU2078" s="3" t="str">
        <f t="shared" ca="1" si="346"/>
        <v/>
      </c>
      <c r="AV2078" s="3" t="str">
        <f t="shared" ca="1" si="342"/>
        <v/>
      </c>
    </row>
    <row r="2079" spans="43:48" x14ac:dyDescent="0.2">
      <c r="AQ2079" s="4" t="str">
        <f t="shared" ca="1" si="343"/>
        <v/>
      </c>
      <c r="AR2079" s="3" t="str">
        <f t="shared" ca="1" si="345"/>
        <v/>
      </c>
      <c r="AS2079" s="63" t="str">
        <f ca="1">IF($AQ2079&lt;&gt;"", INDEX(Inputs!$B$3:$B$101, MATCH($AQ2079,Inputs!$A$3:$A$101,1)), "")</f>
        <v/>
      </c>
      <c r="AT2079" s="48" t="str">
        <f t="shared" ca="1" si="344"/>
        <v/>
      </c>
      <c r="AU2079" s="3" t="str">
        <f t="shared" ca="1" si="346"/>
        <v/>
      </c>
      <c r="AV2079" s="3" t="str">
        <f t="shared" ca="1" si="342"/>
        <v/>
      </c>
    </row>
    <row r="2080" spans="43:48" x14ac:dyDescent="0.2">
      <c r="AQ2080" s="4" t="str">
        <f t="shared" ca="1" si="343"/>
        <v/>
      </c>
      <c r="AR2080" s="3" t="str">
        <f t="shared" ca="1" si="345"/>
        <v/>
      </c>
      <c r="AS2080" s="63" t="str">
        <f ca="1">IF($AQ2080&lt;&gt;"", INDEX(Inputs!$B$3:$B$101, MATCH($AQ2080,Inputs!$A$3:$A$101,1)), "")</f>
        <v/>
      </c>
      <c r="AT2080" s="48" t="str">
        <f t="shared" ca="1" si="344"/>
        <v/>
      </c>
      <c r="AU2080" s="3" t="str">
        <f t="shared" ca="1" si="346"/>
        <v/>
      </c>
      <c r="AV2080" s="3" t="str">
        <f t="shared" ref="AV2080:AV2143" ca="1" si="347">IF(AQ2080&lt;&gt;"", AU2080*(1+$X$9/CompoundingRate)^-((AQ2080-AQ$3)/(365/CompoundingRate)), "")</f>
        <v/>
      </c>
    </row>
    <row r="2081" spans="43:48" x14ac:dyDescent="0.2">
      <c r="AQ2081" s="4" t="str">
        <f t="shared" ca="1" si="343"/>
        <v/>
      </c>
      <c r="AR2081" s="3" t="str">
        <f t="shared" ca="1" si="345"/>
        <v/>
      </c>
      <c r="AS2081" s="63" t="str">
        <f ca="1">IF($AQ2081&lt;&gt;"", INDEX(Inputs!$B$3:$B$101, MATCH($AQ2081,Inputs!$A$3:$A$101,1)), "")</f>
        <v/>
      </c>
      <c r="AT2081" s="48" t="str">
        <f t="shared" ca="1" si="344"/>
        <v/>
      </c>
      <c r="AU2081" s="3" t="str">
        <f t="shared" ca="1" si="346"/>
        <v/>
      </c>
      <c r="AV2081" s="3" t="str">
        <f t="shared" ca="1" si="347"/>
        <v/>
      </c>
    </row>
    <row r="2082" spans="43:48" x14ac:dyDescent="0.2">
      <c r="AQ2082" s="4" t="str">
        <f t="shared" ca="1" si="343"/>
        <v/>
      </c>
      <c r="AR2082" s="3" t="str">
        <f t="shared" ca="1" si="345"/>
        <v/>
      </c>
      <c r="AS2082" s="63" t="str">
        <f ca="1">IF($AQ2082&lt;&gt;"", INDEX(Inputs!$B$3:$B$101, MATCH($AQ2082,Inputs!$A$3:$A$101,1)), "")</f>
        <v/>
      </c>
      <c r="AT2082" s="48" t="str">
        <f t="shared" ca="1" si="344"/>
        <v/>
      </c>
      <c r="AU2082" s="3" t="str">
        <f t="shared" ca="1" si="346"/>
        <v/>
      </c>
      <c r="AV2082" s="3" t="str">
        <f t="shared" ca="1" si="347"/>
        <v/>
      </c>
    </row>
    <row r="2083" spans="43:48" x14ac:dyDescent="0.2">
      <c r="AQ2083" s="4" t="str">
        <f t="shared" ca="1" si="343"/>
        <v/>
      </c>
      <c r="AR2083" s="3" t="str">
        <f t="shared" ca="1" si="345"/>
        <v/>
      </c>
      <c r="AS2083" s="63" t="str">
        <f ca="1">IF($AQ2083&lt;&gt;"", INDEX(Inputs!$B$3:$B$101, MATCH($AQ2083,Inputs!$A$3:$A$101,1)), "")</f>
        <v/>
      </c>
      <c r="AT2083" s="48" t="str">
        <f t="shared" ca="1" si="344"/>
        <v/>
      </c>
      <c r="AU2083" s="3" t="str">
        <f t="shared" ca="1" si="346"/>
        <v/>
      </c>
      <c r="AV2083" s="3" t="str">
        <f t="shared" ca="1" si="347"/>
        <v/>
      </c>
    </row>
    <row r="2084" spans="43:48" x14ac:dyDescent="0.2">
      <c r="AQ2084" s="4" t="str">
        <f t="shared" ca="1" si="343"/>
        <v/>
      </c>
      <c r="AR2084" s="3" t="str">
        <f t="shared" ca="1" si="345"/>
        <v/>
      </c>
      <c r="AS2084" s="63" t="str">
        <f ca="1">IF($AQ2084&lt;&gt;"", INDEX(Inputs!$B$3:$B$101, MATCH($AQ2084,Inputs!$A$3:$A$101,1)), "")</f>
        <v/>
      </c>
      <c r="AT2084" s="48" t="str">
        <f t="shared" ca="1" si="344"/>
        <v/>
      </c>
      <c r="AU2084" s="3" t="str">
        <f t="shared" ca="1" si="346"/>
        <v/>
      </c>
      <c r="AV2084" s="3" t="str">
        <f t="shared" ca="1" si="347"/>
        <v/>
      </c>
    </row>
    <row r="2085" spans="43:48" x14ac:dyDescent="0.2">
      <c r="AQ2085" s="4" t="str">
        <f t="shared" ca="1" si="343"/>
        <v/>
      </c>
      <c r="AR2085" s="3" t="str">
        <f t="shared" ca="1" si="345"/>
        <v/>
      </c>
      <c r="AS2085" s="63" t="str">
        <f ca="1">IF($AQ2085&lt;&gt;"", INDEX(Inputs!$B$3:$B$101, MATCH($AQ2085,Inputs!$A$3:$A$101,1)), "")</f>
        <v/>
      </c>
      <c r="AT2085" s="48" t="str">
        <f t="shared" ca="1" si="344"/>
        <v/>
      </c>
      <c r="AU2085" s="3" t="str">
        <f t="shared" ca="1" si="346"/>
        <v/>
      </c>
      <c r="AV2085" s="3" t="str">
        <f t="shared" ca="1" si="347"/>
        <v/>
      </c>
    </row>
    <row r="2086" spans="43:48" x14ac:dyDescent="0.2">
      <c r="AQ2086" s="4" t="str">
        <f t="shared" ca="1" si="343"/>
        <v/>
      </c>
      <c r="AR2086" s="3" t="str">
        <f t="shared" ca="1" si="345"/>
        <v/>
      </c>
      <c r="AS2086" s="63" t="str">
        <f ca="1">IF($AQ2086&lt;&gt;"", INDEX(Inputs!$B$3:$B$101, MATCH($AQ2086,Inputs!$A$3:$A$101,1)), "")</f>
        <v/>
      </c>
      <c r="AT2086" s="48" t="str">
        <f t="shared" ca="1" si="344"/>
        <v/>
      </c>
      <c r="AU2086" s="3" t="str">
        <f t="shared" ca="1" si="346"/>
        <v/>
      </c>
      <c r="AV2086" s="3" t="str">
        <f t="shared" ca="1" si="347"/>
        <v/>
      </c>
    </row>
    <row r="2087" spans="43:48" x14ac:dyDescent="0.2">
      <c r="AQ2087" s="4" t="str">
        <f t="shared" ca="1" si="343"/>
        <v/>
      </c>
      <c r="AR2087" s="3" t="str">
        <f t="shared" ca="1" si="345"/>
        <v/>
      </c>
      <c r="AS2087" s="63" t="str">
        <f ca="1">IF($AQ2087&lt;&gt;"", INDEX(Inputs!$B$3:$B$101, MATCH($AQ2087,Inputs!$A$3:$A$101,1)), "")</f>
        <v/>
      </c>
      <c r="AT2087" s="48" t="str">
        <f t="shared" ca="1" si="344"/>
        <v/>
      </c>
      <c r="AU2087" s="3" t="str">
        <f t="shared" ca="1" si="346"/>
        <v/>
      </c>
      <c r="AV2087" s="3" t="str">
        <f t="shared" ca="1" si="347"/>
        <v/>
      </c>
    </row>
    <row r="2088" spans="43:48" x14ac:dyDescent="0.2">
      <c r="AQ2088" s="4" t="str">
        <f t="shared" ca="1" si="343"/>
        <v/>
      </c>
      <c r="AR2088" s="3" t="str">
        <f t="shared" ca="1" si="345"/>
        <v/>
      </c>
      <c r="AS2088" s="63" t="str">
        <f ca="1">IF($AQ2088&lt;&gt;"", INDEX(Inputs!$B$3:$B$101, MATCH($AQ2088,Inputs!$A$3:$A$101,1)), "")</f>
        <v/>
      </c>
      <c r="AT2088" s="48" t="str">
        <f t="shared" ca="1" si="344"/>
        <v/>
      </c>
      <c r="AU2088" s="3" t="str">
        <f t="shared" ca="1" si="346"/>
        <v/>
      </c>
      <c r="AV2088" s="3" t="str">
        <f t="shared" ca="1" si="347"/>
        <v/>
      </c>
    </row>
    <row r="2089" spans="43:48" x14ac:dyDescent="0.2">
      <c r="AQ2089" s="4" t="str">
        <f t="shared" ca="1" si="343"/>
        <v/>
      </c>
      <c r="AR2089" s="3" t="str">
        <f t="shared" ca="1" si="345"/>
        <v/>
      </c>
      <c r="AS2089" s="63" t="str">
        <f ca="1">IF($AQ2089&lt;&gt;"", INDEX(Inputs!$B$3:$B$101, MATCH($AQ2089,Inputs!$A$3:$A$101,1)), "")</f>
        <v/>
      </c>
      <c r="AT2089" s="48" t="str">
        <f t="shared" ca="1" si="344"/>
        <v/>
      </c>
      <c r="AU2089" s="3" t="str">
        <f t="shared" ca="1" si="346"/>
        <v/>
      </c>
      <c r="AV2089" s="3" t="str">
        <f t="shared" ca="1" si="347"/>
        <v/>
      </c>
    </row>
    <row r="2090" spans="43:48" x14ac:dyDescent="0.2">
      <c r="AQ2090" s="4" t="str">
        <f t="shared" ca="1" si="343"/>
        <v/>
      </c>
      <c r="AR2090" s="3" t="str">
        <f t="shared" ca="1" si="345"/>
        <v/>
      </c>
      <c r="AS2090" s="63" t="str">
        <f ca="1">IF($AQ2090&lt;&gt;"", INDEX(Inputs!$B$3:$B$101, MATCH($AQ2090,Inputs!$A$3:$A$101,1)), "")</f>
        <v/>
      </c>
      <c r="AT2090" s="48" t="str">
        <f t="shared" ca="1" si="344"/>
        <v/>
      </c>
      <c r="AU2090" s="3" t="str">
        <f t="shared" ca="1" si="346"/>
        <v/>
      </c>
      <c r="AV2090" s="3" t="str">
        <f t="shared" ca="1" si="347"/>
        <v/>
      </c>
    </row>
    <row r="2091" spans="43:48" x14ac:dyDescent="0.2">
      <c r="AQ2091" s="4" t="str">
        <f t="shared" ca="1" si="343"/>
        <v/>
      </c>
      <c r="AR2091" s="3" t="str">
        <f t="shared" ca="1" si="345"/>
        <v/>
      </c>
      <c r="AS2091" s="63" t="str">
        <f ca="1">IF($AQ2091&lt;&gt;"", INDEX(Inputs!$B$3:$B$101, MATCH($AQ2091,Inputs!$A$3:$A$101,1)), "")</f>
        <v/>
      </c>
      <c r="AT2091" s="48" t="str">
        <f t="shared" ca="1" si="344"/>
        <v/>
      </c>
      <c r="AU2091" s="3" t="str">
        <f t="shared" ca="1" si="346"/>
        <v/>
      </c>
      <c r="AV2091" s="3" t="str">
        <f t="shared" ca="1" si="347"/>
        <v/>
      </c>
    </row>
    <row r="2092" spans="43:48" x14ac:dyDescent="0.2">
      <c r="AQ2092" s="4" t="str">
        <f t="shared" ca="1" si="343"/>
        <v/>
      </c>
      <c r="AR2092" s="3" t="str">
        <f t="shared" ca="1" si="345"/>
        <v/>
      </c>
      <c r="AS2092" s="63" t="str">
        <f ca="1">IF($AQ2092&lt;&gt;"", INDEX(Inputs!$B$3:$B$101, MATCH($AQ2092,Inputs!$A$3:$A$101,1)), "")</f>
        <v/>
      </c>
      <c r="AT2092" s="48" t="str">
        <f t="shared" ca="1" si="344"/>
        <v/>
      </c>
      <c r="AU2092" s="3" t="str">
        <f t="shared" ca="1" si="346"/>
        <v/>
      </c>
      <c r="AV2092" s="3" t="str">
        <f t="shared" ca="1" si="347"/>
        <v/>
      </c>
    </row>
    <row r="2093" spans="43:48" x14ac:dyDescent="0.2">
      <c r="AQ2093" s="4" t="str">
        <f t="shared" ca="1" si="343"/>
        <v/>
      </c>
      <c r="AR2093" s="3" t="str">
        <f t="shared" ca="1" si="345"/>
        <v/>
      </c>
      <c r="AS2093" s="63" t="str">
        <f ca="1">IF($AQ2093&lt;&gt;"", INDEX(Inputs!$B$3:$B$101, MATCH($AQ2093,Inputs!$A$3:$A$101,1)), "")</f>
        <v/>
      </c>
      <c r="AT2093" s="48" t="str">
        <f t="shared" ca="1" si="344"/>
        <v/>
      </c>
      <c r="AU2093" s="3" t="str">
        <f t="shared" ca="1" si="346"/>
        <v/>
      </c>
      <c r="AV2093" s="3" t="str">
        <f t="shared" ca="1" si="347"/>
        <v/>
      </c>
    </row>
    <row r="2094" spans="43:48" x14ac:dyDescent="0.2">
      <c r="AQ2094" s="4" t="str">
        <f t="shared" ca="1" si="343"/>
        <v/>
      </c>
      <c r="AR2094" s="3" t="str">
        <f t="shared" ca="1" si="345"/>
        <v/>
      </c>
      <c r="AS2094" s="63" t="str">
        <f ca="1">IF($AQ2094&lt;&gt;"", INDEX(Inputs!$B$3:$B$101, MATCH($AQ2094,Inputs!$A$3:$A$101,1)), "")</f>
        <v/>
      </c>
      <c r="AT2094" s="48" t="str">
        <f t="shared" ca="1" si="344"/>
        <v/>
      </c>
      <c r="AU2094" s="3" t="str">
        <f t="shared" ca="1" si="346"/>
        <v/>
      </c>
      <c r="AV2094" s="3" t="str">
        <f t="shared" ca="1" si="347"/>
        <v/>
      </c>
    </row>
    <row r="2095" spans="43:48" x14ac:dyDescent="0.2">
      <c r="AQ2095" s="4" t="str">
        <f t="shared" ca="1" si="343"/>
        <v/>
      </c>
      <c r="AR2095" s="3" t="str">
        <f t="shared" ca="1" si="345"/>
        <v/>
      </c>
      <c r="AS2095" s="63" t="str">
        <f ca="1">IF($AQ2095&lt;&gt;"", INDEX(Inputs!$B$3:$B$101, MATCH($AQ2095,Inputs!$A$3:$A$101,1)), "")</f>
        <v/>
      </c>
      <c r="AT2095" s="48" t="str">
        <f t="shared" ca="1" si="344"/>
        <v/>
      </c>
      <c r="AU2095" s="3" t="str">
        <f t="shared" ca="1" si="346"/>
        <v/>
      </c>
      <c r="AV2095" s="3" t="str">
        <f t="shared" ca="1" si="347"/>
        <v/>
      </c>
    </row>
    <row r="2096" spans="43:48" x14ac:dyDescent="0.2">
      <c r="AQ2096" s="4" t="str">
        <f t="shared" ca="1" si="343"/>
        <v/>
      </c>
      <c r="AR2096" s="3" t="str">
        <f t="shared" ca="1" si="345"/>
        <v/>
      </c>
      <c r="AS2096" s="63" t="str">
        <f ca="1">IF($AQ2096&lt;&gt;"", INDEX(Inputs!$B$3:$B$101, MATCH($AQ2096,Inputs!$A$3:$A$101,1)), "")</f>
        <v/>
      </c>
      <c r="AT2096" s="48" t="str">
        <f t="shared" ca="1" si="344"/>
        <v/>
      </c>
      <c r="AU2096" s="3" t="str">
        <f t="shared" ca="1" si="346"/>
        <v/>
      </c>
      <c r="AV2096" s="3" t="str">
        <f t="shared" ca="1" si="347"/>
        <v/>
      </c>
    </row>
    <row r="2097" spans="43:48" x14ac:dyDescent="0.2">
      <c r="AQ2097" s="4" t="str">
        <f t="shared" ca="1" si="343"/>
        <v/>
      </c>
      <c r="AR2097" s="3" t="str">
        <f t="shared" ca="1" si="345"/>
        <v/>
      </c>
      <c r="AS2097" s="63" t="str">
        <f ca="1">IF($AQ2097&lt;&gt;"", INDEX(Inputs!$B$3:$B$101, MATCH($AQ2097,Inputs!$A$3:$A$101,1)), "")</f>
        <v/>
      </c>
      <c r="AT2097" s="48" t="str">
        <f t="shared" ca="1" si="344"/>
        <v/>
      </c>
      <c r="AU2097" s="3" t="str">
        <f t="shared" ca="1" si="346"/>
        <v/>
      </c>
      <c r="AV2097" s="3" t="str">
        <f t="shared" ca="1" si="347"/>
        <v/>
      </c>
    </row>
    <row r="2098" spans="43:48" x14ac:dyDescent="0.2">
      <c r="AQ2098" s="4" t="str">
        <f t="shared" ca="1" si="343"/>
        <v/>
      </c>
      <c r="AR2098" s="3" t="str">
        <f t="shared" ca="1" si="345"/>
        <v/>
      </c>
      <c r="AS2098" s="63" t="str">
        <f ca="1">IF($AQ2098&lt;&gt;"", INDEX(Inputs!$B$3:$B$101, MATCH($AQ2098,Inputs!$A$3:$A$101,1)), "")</f>
        <v/>
      </c>
      <c r="AT2098" s="48" t="str">
        <f t="shared" ca="1" si="344"/>
        <v/>
      </c>
      <c r="AU2098" s="3" t="str">
        <f t="shared" ca="1" si="346"/>
        <v/>
      </c>
      <c r="AV2098" s="3" t="str">
        <f t="shared" ca="1" si="347"/>
        <v/>
      </c>
    </row>
    <row r="2099" spans="43:48" x14ac:dyDescent="0.2">
      <c r="AQ2099" s="4" t="str">
        <f t="shared" ca="1" si="343"/>
        <v/>
      </c>
      <c r="AR2099" s="3" t="str">
        <f t="shared" ca="1" si="345"/>
        <v/>
      </c>
      <c r="AS2099" s="63" t="str">
        <f ca="1">IF($AQ2099&lt;&gt;"", INDEX(Inputs!$B$3:$B$101, MATCH($AQ2099,Inputs!$A$3:$A$101,1)), "")</f>
        <v/>
      </c>
      <c r="AT2099" s="48" t="str">
        <f t="shared" ca="1" si="344"/>
        <v/>
      </c>
      <c r="AU2099" s="3" t="str">
        <f t="shared" ca="1" si="346"/>
        <v/>
      </c>
      <c r="AV2099" s="3" t="str">
        <f t="shared" ca="1" si="347"/>
        <v/>
      </c>
    </row>
    <row r="2100" spans="43:48" x14ac:dyDescent="0.2">
      <c r="AQ2100" s="4" t="str">
        <f t="shared" ca="1" si="343"/>
        <v/>
      </c>
      <c r="AR2100" s="3" t="str">
        <f t="shared" ca="1" si="345"/>
        <v/>
      </c>
      <c r="AS2100" s="63" t="str">
        <f ca="1">IF($AQ2100&lt;&gt;"", INDEX(Inputs!$B$3:$B$101, MATCH($AQ2100,Inputs!$A$3:$A$101,1)), "")</f>
        <v/>
      </c>
      <c r="AT2100" s="48" t="str">
        <f t="shared" ca="1" si="344"/>
        <v/>
      </c>
      <c r="AU2100" s="3" t="str">
        <f t="shared" ca="1" si="346"/>
        <v/>
      </c>
      <c r="AV2100" s="3" t="str">
        <f t="shared" ca="1" si="347"/>
        <v/>
      </c>
    </row>
    <row r="2101" spans="43:48" x14ac:dyDescent="0.2">
      <c r="AQ2101" s="4" t="str">
        <f t="shared" ca="1" si="343"/>
        <v/>
      </c>
      <c r="AR2101" s="3" t="str">
        <f t="shared" ca="1" si="345"/>
        <v/>
      </c>
      <c r="AS2101" s="63" t="str">
        <f ca="1">IF($AQ2101&lt;&gt;"", INDEX(Inputs!$B$3:$B$101, MATCH($AQ2101,Inputs!$A$3:$A$101,1)), "")</f>
        <v/>
      </c>
      <c r="AT2101" s="48" t="str">
        <f t="shared" ca="1" si="344"/>
        <v/>
      </c>
      <c r="AU2101" s="3" t="str">
        <f t="shared" ca="1" si="346"/>
        <v/>
      </c>
      <c r="AV2101" s="3" t="str">
        <f t="shared" ca="1" si="347"/>
        <v/>
      </c>
    </row>
    <row r="2102" spans="43:48" x14ac:dyDescent="0.2">
      <c r="AQ2102" s="4" t="str">
        <f t="shared" ca="1" si="343"/>
        <v/>
      </c>
      <c r="AR2102" s="3" t="str">
        <f t="shared" ca="1" si="345"/>
        <v/>
      </c>
      <c r="AS2102" s="63" t="str">
        <f ca="1">IF($AQ2102&lt;&gt;"", INDEX(Inputs!$B$3:$B$101, MATCH($AQ2102,Inputs!$A$3:$A$101,1)), "")</f>
        <v/>
      </c>
      <c r="AT2102" s="48" t="str">
        <f t="shared" ca="1" si="344"/>
        <v/>
      </c>
      <c r="AU2102" s="3" t="str">
        <f t="shared" ca="1" si="346"/>
        <v/>
      </c>
      <c r="AV2102" s="3" t="str">
        <f t="shared" ca="1" si="347"/>
        <v/>
      </c>
    </row>
    <row r="2103" spans="43:48" x14ac:dyDescent="0.2">
      <c r="AQ2103" s="4" t="str">
        <f t="shared" ca="1" si="343"/>
        <v/>
      </c>
      <c r="AR2103" s="3" t="str">
        <f t="shared" ca="1" si="345"/>
        <v/>
      </c>
      <c r="AS2103" s="63" t="str">
        <f ca="1">IF($AQ2103&lt;&gt;"", INDEX(Inputs!$B$3:$B$101, MATCH($AQ2103,Inputs!$A$3:$A$101,1)), "")</f>
        <v/>
      </c>
      <c r="AT2103" s="48" t="str">
        <f t="shared" ca="1" si="344"/>
        <v/>
      </c>
      <c r="AU2103" s="3" t="str">
        <f t="shared" ca="1" si="346"/>
        <v/>
      </c>
      <c r="AV2103" s="3" t="str">
        <f t="shared" ca="1" si="347"/>
        <v/>
      </c>
    </row>
    <row r="2104" spans="43:48" x14ac:dyDescent="0.2">
      <c r="AQ2104" s="4" t="str">
        <f t="shared" ca="1" si="343"/>
        <v/>
      </c>
      <c r="AR2104" s="3" t="str">
        <f t="shared" ca="1" si="345"/>
        <v/>
      </c>
      <c r="AS2104" s="63" t="str">
        <f ca="1">IF($AQ2104&lt;&gt;"", INDEX(Inputs!$B$3:$B$101, MATCH($AQ2104,Inputs!$A$3:$A$101,1)), "")</f>
        <v/>
      </c>
      <c r="AT2104" s="48" t="str">
        <f t="shared" ca="1" si="344"/>
        <v/>
      </c>
      <c r="AU2104" s="3" t="str">
        <f t="shared" ca="1" si="346"/>
        <v/>
      </c>
      <c r="AV2104" s="3" t="str">
        <f t="shared" ca="1" si="347"/>
        <v/>
      </c>
    </row>
    <row r="2105" spans="43:48" x14ac:dyDescent="0.2">
      <c r="AQ2105" s="4" t="str">
        <f t="shared" ref="AQ2105:AQ2168" ca="1" si="348">IF(AQ2104&lt;$AP$3,AQ2104+1,"")</f>
        <v/>
      </c>
      <c r="AR2105" s="3" t="str">
        <f t="shared" ca="1" si="345"/>
        <v/>
      </c>
      <c r="AS2105" s="63" t="str">
        <f ca="1">IF($AQ2105&lt;&gt;"", INDEX(Inputs!$B$3:$B$101, MATCH($AQ2105,Inputs!$A$3:$A$101,1)), "")</f>
        <v/>
      </c>
      <c r="AT2105" s="48" t="str">
        <f t="shared" ref="AT2105:AT2168" ca="1" si="349">IF($AQ2105&lt;&gt;"", AR2105*AS2105/365, "")</f>
        <v/>
      </c>
      <c r="AU2105" s="3" t="str">
        <f t="shared" ca="1" si="346"/>
        <v/>
      </c>
      <c r="AV2105" s="3" t="str">
        <f t="shared" ca="1" si="347"/>
        <v/>
      </c>
    </row>
    <row r="2106" spans="43:48" x14ac:dyDescent="0.2">
      <c r="AQ2106" s="4" t="str">
        <f t="shared" ca="1" si="348"/>
        <v/>
      </c>
      <c r="AR2106" s="3" t="str">
        <f t="shared" ca="1" si="345"/>
        <v/>
      </c>
      <c r="AS2106" s="63" t="str">
        <f ca="1">IF($AQ2106&lt;&gt;"", INDEX(Inputs!$B$3:$B$101, MATCH($AQ2106,Inputs!$A$3:$A$101,1)), "")</f>
        <v/>
      </c>
      <c r="AT2106" s="48" t="str">
        <f t="shared" ca="1" si="349"/>
        <v/>
      </c>
      <c r="AU2106" s="3" t="str">
        <f t="shared" ca="1" si="346"/>
        <v/>
      </c>
      <c r="AV2106" s="3" t="str">
        <f t="shared" ca="1" si="347"/>
        <v/>
      </c>
    </row>
    <row r="2107" spans="43:48" x14ac:dyDescent="0.2">
      <c r="AQ2107" s="4" t="str">
        <f t="shared" ca="1" si="348"/>
        <v/>
      </c>
      <c r="AR2107" s="3" t="str">
        <f t="shared" ca="1" si="345"/>
        <v/>
      </c>
      <c r="AS2107" s="63" t="str">
        <f ca="1">IF($AQ2107&lt;&gt;"", INDEX(Inputs!$B$3:$B$101, MATCH($AQ2107,Inputs!$A$3:$A$101,1)), "")</f>
        <v/>
      </c>
      <c r="AT2107" s="48" t="str">
        <f t="shared" ca="1" si="349"/>
        <v/>
      </c>
      <c r="AU2107" s="3" t="str">
        <f t="shared" ca="1" si="346"/>
        <v/>
      </c>
      <c r="AV2107" s="3" t="str">
        <f t="shared" ca="1" si="347"/>
        <v/>
      </c>
    </row>
    <row r="2108" spans="43:48" x14ac:dyDescent="0.2">
      <c r="AQ2108" s="4" t="str">
        <f t="shared" ca="1" si="348"/>
        <v/>
      </c>
      <c r="AR2108" s="3" t="str">
        <f t="shared" ca="1" si="345"/>
        <v/>
      </c>
      <c r="AS2108" s="63" t="str">
        <f ca="1">IF($AQ2108&lt;&gt;"", INDEX(Inputs!$B$3:$B$101, MATCH($AQ2108,Inputs!$A$3:$A$101,1)), "")</f>
        <v/>
      </c>
      <c r="AT2108" s="48" t="str">
        <f t="shared" ca="1" si="349"/>
        <v/>
      </c>
      <c r="AU2108" s="3" t="str">
        <f t="shared" ca="1" si="346"/>
        <v/>
      </c>
      <c r="AV2108" s="3" t="str">
        <f t="shared" ca="1" si="347"/>
        <v/>
      </c>
    </row>
    <row r="2109" spans="43:48" x14ac:dyDescent="0.2">
      <c r="AQ2109" s="4" t="str">
        <f t="shared" ca="1" si="348"/>
        <v/>
      </c>
      <c r="AR2109" s="3" t="str">
        <f t="shared" ca="1" si="345"/>
        <v/>
      </c>
      <c r="AS2109" s="63" t="str">
        <f ca="1">IF($AQ2109&lt;&gt;"", INDEX(Inputs!$B$3:$B$101, MATCH($AQ2109,Inputs!$A$3:$A$101,1)), "")</f>
        <v/>
      </c>
      <c r="AT2109" s="48" t="str">
        <f t="shared" ca="1" si="349"/>
        <v/>
      </c>
      <c r="AU2109" s="3" t="str">
        <f t="shared" ca="1" si="346"/>
        <v/>
      </c>
      <c r="AV2109" s="3" t="str">
        <f t="shared" ca="1" si="347"/>
        <v/>
      </c>
    </row>
    <row r="2110" spans="43:48" x14ac:dyDescent="0.2">
      <c r="AQ2110" s="4" t="str">
        <f t="shared" ca="1" si="348"/>
        <v/>
      </c>
      <c r="AR2110" s="3" t="str">
        <f t="shared" ca="1" si="345"/>
        <v/>
      </c>
      <c r="AS2110" s="63" t="str">
        <f ca="1">IF($AQ2110&lt;&gt;"", INDEX(Inputs!$B$3:$B$101, MATCH($AQ2110,Inputs!$A$3:$A$101,1)), "")</f>
        <v/>
      </c>
      <c r="AT2110" s="48" t="str">
        <f t="shared" ca="1" si="349"/>
        <v/>
      </c>
      <c r="AU2110" s="3" t="str">
        <f t="shared" ca="1" si="346"/>
        <v/>
      </c>
      <c r="AV2110" s="3" t="str">
        <f t="shared" ca="1" si="347"/>
        <v/>
      </c>
    </row>
    <row r="2111" spans="43:48" x14ac:dyDescent="0.2">
      <c r="AQ2111" s="4" t="str">
        <f t="shared" ca="1" si="348"/>
        <v/>
      </c>
      <c r="AR2111" s="3" t="str">
        <f t="shared" ca="1" si="345"/>
        <v/>
      </c>
      <c r="AS2111" s="63" t="str">
        <f ca="1">IF($AQ2111&lt;&gt;"", INDEX(Inputs!$B$3:$B$101, MATCH($AQ2111,Inputs!$A$3:$A$101,1)), "")</f>
        <v/>
      </c>
      <c r="AT2111" s="48" t="str">
        <f t="shared" ca="1" si="349"/>
        <v/>
      </c>
      <c r="AU2111" s="3" t="str">
        <f t="shared" ca="1" si="346"/>
        <v/>
      </c>
      <c r="AV2111" s="3" t="str">
        <f t="shared" ca="1" si="347"/>
        <v/>
      </c>
    </row>
    <row r="2112" spans="43:48" x14ac:dyDescent="0.2">
      <c r="AQ2112" s="4" t="str">
        <f t="shared" ca="1" si="348"/>
        <v/>
      </c>
      <c r="AR2112" s="3" t="str">
        <f t="shared" ca="1" si="345"/>
        <v/>
      </c>
      <c r="AS2112" s="63" t="str">
        <f ca="1">IF($AQ2112&lt;&gt;"", INDEX(Inputs!$B$3:$B$101, MATCH($AQ2112,Inputs!$A$3:$A$101,1)), "")</f>
        <v/>
      </c>
      <c r="AT2112" s="48" t="str">
        <f t="shared" ca="1" si="349"/>
        <v/>
      </c>
      <c r="AU2112" s="3" t="str">
        <f t="shared" ca="1" si="346"/>
        <v/>
      </c>
      <c r="AV2112" s="3" t="str">
        <f t="shared" ca="1" si="347"/>
        <v/>
      </c>
    </row>
    <row r="2113" spans="43:48" x14ac:dyDescent="0.2">
      <c r="AQ2113" s="4" t="str">
        <f t="shared" ca="1" si="348"/>
        <v/>
      </c>
      <c r="AR2113" s="3" t="str">
        <f t="shared" ca="1" si="345"/>
        <v/>
      </c>
      <c r="AS2113" s="63" t="str">
        <f ca="1">IF($AQ2113&lt;&gt;"", INDEX(Inputs!$B$3:$B$101, MATCH($AQ2113,Inputs!$A$3:$A$101,1)), "")</f>
        <v/>
      </c>
      <c r="AT2113" s="48" t="str">
        <f t="shared" ca="1" si="349"/>
        <v/>
      </c>
      <c r="AU2113" s="3" t="str">
        <f t="shared" ca="1" si="346"/>
        <v/>
      </c>
      <c r="AV2113" s="3" t="str">
        <f t="shared" ca="1" si="347"/>
        <v/>
      </c>
    </row>
    <row r="2114" spans="43:48" x14ac:dyDescent="0.2">
      <c r="AQ2114" s="4" t="str">
        <f t="shared" ca="1" si="348"/>
        <v/>
      </c>
      <c r="AR2114" s="3" t="str">
        <f t="shared" ca="1" si="345"/>
        <v/>
      </c>
      <c r="AS2114" s="63" t="str">
        <f ca="1">IF($AQ2114&lt;&gt;"", INDEX(Inputs!$B$3:$B$101, MATCH($AQ2114,Inputs!$A$3:$A$101,1)), "")</f>
        <v/>
      </c>
      <c r="AT2114" s="48" t="str">
        <f t="shared" ca="1" si="349"/>
        <v/>
      </c>
      <c r="AU2114" s="3" t="str">
        <f t="shared" ca="1" si="346"/>
        <v/>
      </c>
      <c r="AV2114" s="3" t="str">
        <f t="shared" ca="1" si="347"/>
        <v/>
      </c>
    </row>
    <row r="2115" spans="43:48" x14ac:dyDescent="0.2">
      <c r="AQ2115" s="4" t="str">
        <f t="shared" ca="1" si="348"/>
        <v/>
      </c>
      <c r="AR2115" s="3" t="str">
        <f t="shared" ca="1" si="345"/>
        <v/>
      </c>
      <c r="AS2115" s="63" t="str">
        <f ca="1">IF($AQ2115&lt;&gt;"", INDEX(Inputs!$B$3:$B$101, MATCH($AQ2115,Inputs!$A$3:$A$101,1)), "")</f>
        <v/>
      </c>
      <c r="AT2115" s="48" t="str">
        <f t="shared" ca="1" si="349"/>
        <v/>
      </c>
      <c r="AU2115" s="3" t="str">
        <f t="shared" ca="1" si="346"/>
        <v/>
      </c>
      <c r="AV2115" s="3" t="str">
        <f t="shared" ca="1" si="347"/>
        <v/>
      </c>
    </row>
    <row r="2116" spans="43:48" x14ac:dyDescent="0.2">
      <c r="AQ2116" s="4" t="str">
        <f t="shared" ca="1" si="348"/>
        <v/>
      </c>
      <c r="AR2116" s="3" t="str">
        <f t="shared" ca="1" si="345"/>
        <v/>
      </c>
      <c r="AS2116" s="63" t="str">
        <f ca="1">IF($AQ2116&lt;&gt;"", INDEX(Inputs!$B$3:$B$101, MATCH($AQ2116,Inputs!$A$3:$A$101,1)), "")</f>
        <v/>
      </c>
      <c r="AT2116" s="48" t="str">
        <f t="shared" ca="1" si="349"/>
        <v/>
      </c>
      <c r="AU2116" s="3" t="str">
        <f t="shared" ca="1" si="346"/>
        <v/>
      </c>
      <c r="AV2116" s="3" t="str">
        <f t="shared" ca="1" si="347"/>
        <v/>
      </c>
    </row>
    <row r="2117" spans="43:48" x14ac:dyDescent="0.2">
      <c r="AQ2117" s="4" t="str">
        <f t="shared" ca="1" si="348"/>
        <v/>
      </c>
      <c r="AR2117" s="3" t="str">
        <f t="shared" ca="1" si="345"/>
        <v/>
      </c>
      <c r="AS2117" s="63" t="str">
        <f ca="1">IF($AQ2117&lt;&gt;"", INDEX(Inputs!$B$3:$B$101, MATCH($AQ2117,Inputs!$A$3:$A$101,1)), "")</f>
        <v/>
      </c>
      <c r="AT2117" s="48" t="str">
        <f t="shared" ca="1" si="349"/>
        <v/>
      </c>
      <c r="AU2117" s="3" t="str">
        <f t="shared" ca="1" si="346"/>
        <v/>
      </c>
      <c r="AV2117" s="3" t="str">
        <f t="shared" ca="1" si="347"/>
        <v/>
      </c>
    </row>
    <row r="2118" spans="43:48" x14ac:dyDescent="0.2">
      <c r="AQ2118" s="4" t="str">
        <f t="shared" ca="1" si="348"/>
        <v/>
      </c>
      <c r="AR2118" s="3" t="str">
        <f t="shared" ca="1" si="345"/>
        <v/>
      </c>
      <c r="AS2118" s="63" t="str">
        <f ca="1">IF($AQ2118&lt;&gt;"", INDEX(Inputs!$B$3:$B$101, MATCH($AQ2118,Inputs!$A$3:$A$101,1)), "")</f>
        <v/>
      </c>
      <c r="AT2118" s="48" t="str">
        <f t="shared" ca="1" si="349"/>
        <v/>
      </c>
      <c r="AU2118" s="3" t="str">
        <f t="shared" ca="1" si="346"/>
        <v/>
      </c>
      <c r="AV2118" s="3" t="str">
        <f t="shared" ca="1" si="347"/>
        <v/>
      </c>
    </row>
    <row r="2119" spans="43:48" x14ac:dyDescent="0.2">
      <c r="AQ2119" s="4" t="str">
        <f t="shared" ca="1" si="348"/>
        <v/>
      </c>
      <c r="AR2119" s="3" t="str">
        <f t="shared" ca="1" si="345"/>
        <v/>
      </c>
      <c r="AS2119" s="63" t="str">
        <f ca="1">IF($AQ2119&lt;&gt;"", INDEX(Inputs!$B$3:$B$101, MATCH($AQ2119,Inputs!$A$3:$A$101,1)), "")</f>
        <v/>
      </c>
      <c r="AT2119" s="48" t="str">
        <f t="shared" ca="1" si="349"/>
        <v/>
      </c>
      <c r="AU2119" s="3" t="str">
        <f t="shared" ca="1" si="346"/>
        <v/>
      </c>
      <c r="AV2119" s="3" t="str">
        <f t="shared" ca="1" si="347"/>
        <v/>
      </c>
    </row>
    <row r="2120" spans="43:48" x14ac:dyDescent="0.2">
      <c r="AQ2120" s="4" t="str">
        <f t="shared" ca="1" si="348"/>
        <v/>
      </c>
      <c r="AR2120" s="3" t="str">
        <f t="shared" ca="1" si="345"/>
        <v/>
      </c>
      <c r="AS2120" s="63" t="str">
        <f ca="1">IF($AQ2120&lt;&gt;"", INDEX(Inputs!$B$3:$B$101, MATCH($AQ2120,Inputs!$A$3:$A$101,1)), "")</f>
        <v/>
      </c>
      <c r="AT2120" s="48" t="str">
        <f t="shared" ca="1" si="349"/>
        <v/>
      </c>
      <c r="AU2120" s="3" t="str">
        <f t="shared" ca="1" si="346"/>
        <v/>
      </c>
      <c r="AV2120" s="3" t="str">
        <f t="shared" ca="1" si="347"/>
        <v/>
      </c>
    </row>
    <row r="2121" spans="43:48" x14ac:dyDescent="0.2">
      <c r="AQ2121" s="4" t="str">
        <f t="shared" ca="1" si="348"/>
        <v/>
      </c>
      <c r="AR2121" s="3" t="str">
        <f t="shared" ca="1" si="345"/>
        <v/>
      </c>
      <c r="AS2121" s="63" t="str">
        <f ca="1">IF($AQ2121&lt;&gt;"", INDEX(Inputs!$B$3:$B$101, MATCH($AQ2121,Inputs!$A$3:$A$101,1)), "")</f>
        <v/>
      </c>
      <c r="AT2121" s="48" t="str">
        <f t="shared" ca="1" si="349"/>
        <v/>
      </c>
      <c r="AU2121" s="3" t="str">
        <f t="shared" ca="1" si="346"/>
        <v/>
      </c>
      <c r="AV2121" s="3" t="str">
        <f t="shared" ca="1" si="347"/>
        <v/>
      </c>
    </row>
    <row r="2122" spans="43:48" x14ac:dyDescent="0.2">
      <c r="AQ2122" s="4" t="str">
        <f t="shared" ca="1" si="348"/>
        <v/>
      </c>
      <c r="AR2122" s="3" t="str">
        <f t="shared" ca="1" si="345"/>
        <v/>
      </c>
      <c r="AS2122" s="63" t="str">
        <f ca="1">IF($AQ2122&lt;&gt;"", INDEX(Inputs!$B$3:$B$101, MATCH($AQ2122,Inputs!$A$3:$A$101,1)), "")</f>
        <v/>
      </c>
      <c r="AT2122" s="48" t="str">
        <f t="shared" ca="1" si="349"/>
        <v/>
      </c>
      <c r="AU2122" s="3" t="str">
        <f t="shared" ca="1" si="346"/>
        <v/>
      </c>
      <c r="AV2122" s="3" t="str">
        <f t="shared" ca="1" si="347"/>
        <v/>
      </c>
    </row>
    <row r="2123" spans="43:48" x14ac:dyDescent="0.2">
      <c r="AQ2123" s="4" t="str">
        <f t="shared" ca="1" si="348"/>
        <v/>
      </c>
      <c r="AR2123" s="3" t="str">
        <f t="shared" ca="1" si="345"/>
        <v/>
      </c>
      <c r="AS2123" s="63" t="str">
        <f ca="1">IF($AQ2123&lt;&gt;"", INDEX(Inputs!$B$3:$B$101, MATCH($AQ2123,Inputs!$A$3:$A$101,1)), "")</f>
        <v/>
      </c>
      <c r="AT2123" s="48" t="str">
        <f t="shared" ca="1" si="349"/>
        <v/>
      </c>
      <c r="AU2123" s="3" t="str">
        <f t="shared" ca="1" si="346"/>
        <v/>
      </c>
      <c r="AV2123" s="3" t="str">
        <f t="shared" ca="1" si="347"/>
        <v/>
      </c>
    </row>
    <row r="2124" spans="43:48" x14ac:dyDescent="0.2">
      <c r="AQ2124" s="4" t="str">
        <f t="shared" ca="1" si="348"/>
        <v/>
      </c>
      <c r="AR2124" s="3" t="str">
        <f t="shared" ca="1" si="345"/>
        <v/>
      </c>
      <c r="AS2124" s="63" t="str">
        <f ca="1">IF($AQ2124&lt;&gt;"", INDEX(Inputs!$B$3:$B$101, MATCH($AQ2124,Inputs!$A$3:$A$101,1)), "")</f>
        <v/>
      </c>
      <c r="AT2124" s="48" t="str">
        <f t="shared" ca="1" si="349"/>
        <v/>
      </c>
      <c r="AU2124" s="3" t="str">
        <f t="shared" ca="1" si="346"/>
        <v/>
      </c>
      <c r="AV2124" s="3" t="str">
        <f t="shared" ca="1" si="347"/>
        <v/>
      </c>
    </row>
    <row r="2125" spans="43:48" x14ac:dyDescent="0.2">
      <c r="AQ2125" s="4" t="str">
        <f t="shared" ca="1" si="348"/>
        <v/>
      </c>
      <c r="AR2125" s="3" t="str">
        <f t="shared" ca="1" si="345"/>
        <v/>
      </c>
      <c r="AS2125" s="63" t="str">
        <f ca="1">IF($AQ2125&lt;&gt;"", INDEX(Inputs!$B$3:$B$101, MATCH($AQ2125,Inputs!$A$3:$A$101,1)), "")</f>
        <v/>
      </c>
      <c r="AT2125" s="48" t="str">
        <f t="shared" ca="1" si="349"/>
        <v/>
      </c>
      <c r="AU2125" s="3" t="str">
        <f t="shared" ca="1" si="346"/>
        <v/>
      </c>
      <c r="AV2125" s="3" t="str">
        <f t="shared" ca="1" si="347"/>
        <v/>
      </c>
    </row>
    <row r="2126" spans="43:48" x14ac:dyDescent="0.2">
      <c r="AQ2126" s="4" t="str">
        <f t="shared" ca="1" si="348"/>
        <v/>
      </c>
      <c r="AR2126" s="3" t="str">
        <f t="shared" ca="1" si="345"/>
        <v/>
      </c>
      <c r="AS2126" s="63" t="str">
        <f ca="1">IF($AQ2126&lt;&gt;"", INDEX(Inputs!$B$3:$B$101, MATCH($AQ2126,Inputs!$A$3:$A$101,1)), "")</f>
        <v/>
      </c>
      <c r="AT2126" s="48" t="str">
        <f t="shared" ca="1" si="349"/>
        <v/>
      </c>
      <c r="AU2126" s="3" t="str">
        <f t="shared" ca="1" si="346"/>
        <v/>
      </c>
      <c r="AV2126" s="3" t="str">
        <f t="shared" ca="1" si="347"/>
        <v/>
      </c>
    </row>
    <row r="2127" spans="43:48" x14ac:dyDescent="0.2">
      <c r="AQ2127" s="4" t="str">
        <f t="shared" ca="1" si="348"/>
        <v/>
      </c>
      <c r="AR2127" s="3" t="str">
        <f t="shared" ca="1" si="345"/>
        <v/>
      </c>
      <c r="AS2127" s="63" t="str">
        <f ca="1">IF($AQ2127&lt;&gt;"", INDEX(Inputs!$B$3:$B$101, MATCH($AQ2127,Inputs!$A$3:$A$101,1)), "")</f>
        <v/>
      </c>
      <c r="AT2127" s="48" t="str">
        <f t="shared" ca="1" si="349"/>
        <v/>
      </c>
      <c r="AU2127" s="3" t="str">
        <f t="shared" ca="1" si="346"/>
        <v/>
      </c>
      <c r="AV2127" s="3" t="str">
        <f t="shared" ca="1" si="347"/>
        <v/>
      </c>
    </row>
    <row r="2128" spans="43:48" x14ac:dyDescent="0.2">
      <c r="AQ2128" s="4" t="str">
        <f t="shared" ca="1" si="348"/>
        <v/>
      </c>
      <c r="AR2128" s="3" t="str">
        <f t="shared" ca="1" si="345"/>
        <v/>
      </c>
      <c r="AS2128" s="63" t="str">
        <f ca="1">IF($AQ2128&lt;&gt;"", INDEX(Inputs!$B$3:$B$101, MATCH($AQ2128,Inputs!$A$3:$A$101,1)), "")</f>
        <v/>
      </c>
      <c r="AT2128" s="48" t="str">
        <f t="shared" ca="1" si="349"/>
        <v/>
      </c>
      <c r="AU2128" s="3" t="str">
        <f t="shared" ca="1" si="346"/>
        <v/>
      </c>
      <c r="AV2128" s="3" t="str">
        <f t="shared" ca="1" si="347"/>
        <v/>
      </c>
    </row>
    <row r="2129" spans="43:48" x14ac:dyDescent="0.2">
      <c r="AQ2129" s="4" t="str">
        <f t="shared" ca="1" si="348"/>
        <v/>
      </c>
      <c r="AR2129" s="3" t="str">
        <f t="shared" ca="1" si="345"/>
        <v/>
      </c>
      <c r="AS2129" s="63" t="str">
        <f ca="1">IF($AQ2129&lt;&gt;"", INDEX(Inputs!$B$3:$B$101, MATCH($AQ2129,Inputs!$A$3:$A$101,1)), "")</f>
        <v/>
      </c>
      <c r="AT2129" s="48" t="str">
        <f t="shared" ca="1" si="349"/>
        <v/>
      </c>
      <c r="AU2129" s="3" t="str">
        <f t="shared" ca="1" si="346"/>
        <v/>
      </c>
      <c r="AV2129" s="3" t="str">
        <f t="shared" ca="1" si="347"/>
        <v/>
      </c>
    </row>
    <row r="2130" spans="43:48" x14ac:dyDescent="0.2">
      <c r="AQ2130" s="4" t="str">
        <f t="shared" ca="1" si="348"/>
        <v/>
      </c>
      <c r="AR2130" s="3" t="str">
        <f t="shared" ca="1" si="345"/>
        <v/>
      </c>
      <c r="AS2130" s="63" t="str">
        <f ca="1">IF($AQ2130&lt;&gt;"", INDEX(Inputs!$B$3:$B$101, MATCH($AQ2130,Inputs!$A$3:$A$101,1)), "")</f>
        <v/>
      </c>
      <c r="AT2130" s="48" t="str">
        <f t="shared" ca="1" si="349"/>
        <v/>
      </c>
      <c r="AU2130" s="3" t="str">
        <f t="shared" ca="1" si="346"/>
        <v/>
      </c>
      <c r="AV2130" s="3" t="str">
        <f t="shared" ca="1" si="347"/>
        <v/>
      </c>
    </row>
    <row r="2131" spans="43:48" x14ac:dyDescent="0.2">
      <c r="AQ2131" s="4" t="str">
        <f t="shared" ca="1" si="348"/>
        <v/>
      </c>
      <c r="AR2131" s="3" t="str">
        <f t="shared" ca="1" si="345"/>
        <v/>
      </c>
      <c r="AS2131" s="63" t="str">
        <f ca="1">IF($AQ2131&lt;&gt;"", INDEX(Inputs!$B$3:$B$101, MATCH($AQ2131,Inputs!$A$3:$A$101,1)), "")</f>
        <v/>
      </c>
      <c r="AT2131" s="48" t="str">
        <f t="shared" ca="1" si="349"/>
        <v/>
      </c>
      <c r="AU2131" s="3" t="str">
        <f t="shared" ca="1" si="346"/>
        <v/>
      </c>
      <c r="AV2131" s="3" t="str">
        <f t="shared" ca="1" si="347"/>
        <v/>
      </c>
    </row>
    <row r="2132" spans="43:48" x14ac:dyDescent="0.2">
      <c r="AQ2132" s="4" t="str">
        <f t="shared" ca="1" si="348"/>
        <v/>
      </c>
      <c r="AR2132" s="3" t="str">
        <f t="shared" ca="1" si="345"/>
        <v/>
      </c>
      <c r="AS2132" s="63" t="str">
        <f ca="1">IF($AQ2132&lt;&gt;"", INDEX(Inputs!$B$3:$B$101, MATCH($AQ2132,Inputs!$A$3:$A$101,1)), "")</f>
        <v/>
      </c>
      <c r="AT2132" s="48" t="str">
        <f t="shared" ca="1" si="349"/>
        <v/>
      </c>
      <c r="AU2132" s="3" t="str">
        <f t="shared" ca="1" si="346"/>
        <v/>
      </c>
      <c r="AV2132" s="3" t="str">
        <f t="shared" ca="1" si="347"/>
        <v/>
      </c>
    </row>
    <row r="2133" spans="43:48" x14ac:dyDescent="0.2">
      <c r="AQ2133" s="4" t="str">
        <f t="shared" ca="1" si="348"/>
        <v/>
      </c>
      <c r="AR2133" s="3" t="str">
        <f t="shared" ca="1" si="345"/>
        <v/>
      </c>
      <c r="AS2133" s="63" t="str">
        <f ca="1">IF($AQ2133&lt;&gt;"", INDEX(Inputs!$B$3:$B$101, MATCH($AQ2133,Inputs!$A$3:$A$101,1)), "")</f>
        <v/>
      </c>
      <c r="AT2133" s="48" t="str">
        <f t="shared" ca="1" si="349"/>
        <v/>
      </c>
      <c r="AU2133" s="3" t="str">
        <f t="shared" ca="1" si="346"/>
        <v/>
      </c>
      <c r="AV2133" s="3" t="str">
        <f t="shared" ca="1" si="347"/>
        <v/>
      </c>
    </row>
    <row r="2134" spans="43:48" x14ac:dyDescent="0.2">
      <c r="AQ2134" s="4" t="str">
        <f t="shared" ca="1" si="348"/>
        <v/>
      </c>
      <c r="AR2134" s="3" t="str">
        <f t="shared" ca="1" si="345"/>
        <v/>
      </c>
      <c r="AS2134" s="63" t="str">
        <f ca="1">IF($AQ2134&lt;&gt;"", INDEX(Inputs!$B$3:$B$101, MATCH($AQ2134,Inputs!$A$3:$A$101,1)), "")</f>
        <v/>
      </c>
      <c r="AT2134" s="48" t="str">
        <f t="shared" ca="1" si="349"/>
        <v/>
      </c>
      <c r="AU2134" s="3" t="str">
        <f t="shared" ca="1" si="346"/>
        <v/>
      </c>
      <c r="AV2134" s="3" t="str">
        <f t="shared" ca="1" si="347"/>
        <v/>
      </c>
    </row>
    <row r="2135" spans="43:48" x14ac:dyDescent="0.2">
      <c r="AQ2135" s="4" t="str">
        <f t="shared" ca="1" si="348"/>
        <v/>
      </c>
      <c r="AR2135" s="3" t="str">
        <f t="shared" ca="1" si="345"/>
        <v/>
      </c>
      <c r="AS2135" s="63" t="str">
        <f ca="1">IF($AQ2135&lt;&gt;"", INDEX(Inputs!$B$3:$B$101, MATCH($AQ2135,Inputs!$A$3:$A$101,1)), "")</f>
        <v/>
      </c>
      <c r="AT2135" s="48" t="str">
        <f t="shared" ca="1" si="349"/>
        <v/>
      </c>
      <c r="AU2135" s="3" t="str">
        <f t="shared" ca="1" si="346"/>
        <v/>
      </c>
      <c r="AV2135" s="3" t="str">
        <f t="shared" ca="1" si="347"/>
        <v/>
      </c>
    </row>
    <row r="2136" spans="43:48" x14ac:dyDescent="0.2">
      <c r="AQ2136" s="4" t="str">
        <f t="shared" ca="1" si="348"/>
        <v/>
      </c>
      <c r="AR2136" s="3" t="str">
        <f t="shared" ca="1" si="345"/>
        <v/>
      </c>
      <c r="AS2136" s="63" t="str">
        <f ca="1">IF($AQ2136&lt;&gt;"", INDEX(Inputs!$B$3:$B$101, MATCH($AQ2136,Inputs!$A$3:$A$101,1)), "")</f>
        <v/>
      </c>
      <c r="AT2136" s="48" t="str">
        <f t="shared" ca="1" si="349"/>
        <v/>
      </c>
      <c r="AU2136" s="3" t="str">
        <f t="shared" ca="1" si="346"/>
        <v/>
      </c>
      <c r="AV2136" s="3" t="str">
        <f t="shared" ca="1" si="347"/>
        <v/>
      </c>
    </row>
    <row r="2137" spans="43:48" x14ac:dyDescent="0.2">
      <c r="AQ2137" s="4" t="str">
        <f t="shared" ca="1" si="348"/>
        <v/>
      </c>
      <c r="AR2137" s="3" t="str">
        <f t="shared" ref="AR2137:AR2200" ca="1" si="350">IF($AQ2137&lt;&gt;"", INDEX($AC$3:$AC$1055, MATCH($AQ2137,$A$3:$A$1055,1)), "")</f>
        <v/>
      </c>
      <c r="AS2137" s="63" t="str">
        <f ca="1">IF($AQ2137&lt;&gt;"", INDEX(Inputs!$B$3:$B$101, MATCH($AQ2137,Inputs!$A$3:$A$101,1)), "")</f>
        <v/>
      </c>
      <c r="AT2137" s="48" t="str">
        <f t="shared" ca="1" si="349"/>
        <v/>
      </c>
      <c r="AU2137" s="3" t="str">
        <f t="shared" ref="AU2137:AU2200" ca="1" si="351">IF($AQ2137&lt;&gt;"", SUMIFS($AL$3:$AL$1054, $A$3:$A$1054,$AQ2137) + SUMIFS($M$3:$M$1054, $A$3:$A$1054,$AQ2137)*IFERROR(AVERAGEIFS($L$3:$L$1054, $A$3:$A$1054,$AQ2137, $M$3:$M$1054,"&gt;0"),0) - AT2137, "")</f>
        <v/>
      </c>
      <c r="AV2137" s="3" t="str">
        <f t="shared" ca="1" si="347"/>
        <v/>
      </c>
    </row>
    <row r="2138" spans="43:48" x14ac:dyDescent="0.2">
      <c r="AQ2138" s="4" t="str">
        <f t="shared" ca="1" si="348"/>
        <v/>
      </c>
      <c r="AR2138" s="3" t="str">
        <f t="shared" ca="1" si="350"/>
        <v/>
      </c>
      <c r="AS2138" s="63" t="str">
        <f ca="1">IF($AQ2138&lt;&gt;"", INDEX(Inputs!$B$3:$B$101, MATCH($AQ2138,Inputs!$A$3:$A$101,1)), "")</f>
        <v/>
      </c>
      <c r="AT2138" s="48" t="str">
        <f t="shared" ca="1" si="349"/>
        <v/>
      </c>
      <c r="AU2138" s="3" t="str">
        <f t="shared" ca="1" si="351"/>
        <v/>
      </c>
      <c r="AV2138" s="3" t="str">
        <f t="shared" ca="1" si="347"/>
        <v/>
      </c>
    </row>
    <row r="2139" spans="43:48" x14ac:dyDescent="0.2">
      <c r="AQ2139" s="4" t="str">
        <f t="shared" ca="1" si="348"/>
        <v/>
      </c>
      <c r="AR2139" s="3" t="str">
        <f t="shared" ca="1" si="350"/>
        <v/>
      </c>
      <c r="AS2139" s="63" t="str">
        <f ca="1">IF($AQ2139&lt;&gt;"", INDEX(Inputs!$B$3:$B$101, MATCH($AQ2139,Inputs!$A$3:$A$101,1)), "")</f>
        <v/>
      </c>
      <c r="AT2139" s="48" t="str">
        <f t="shared" ca="1" si="349"/>
        <v/>
      </c>
      <c r="AU2139" s="3" t="str">
        <f t="shared" ca="1" si="351"/>
        <v/>
      </c>
      <c r="AV2139" s="3" t="str">
        <f t="shared" ca="1" si="347"/>
        <v/>
      </c>
    </row>
    <row r="2140" spans="43:48" x14ac:dyDescent="0.2">
      <c r="AQ2140" s="4" t="str">
        <f t="shared" ca="1" si="348"/>
        <v/>
      </c>
      <c r="AR2140" s="3" t="str">
        <f t="shared" ca="1" si="350"/>
        <v/>
      </c>
      <c r="AS2140" s="63" t="str">
        <f ca="1">IF($AQ2140&lt;&gt;"", INDEX(Inputs!$B$3:$B$101, MATCH($AQ2140,Inputs!$A$3:$A$101,1)), "")</f>
        <v/>
      </c>
      <c r="AT2140" s="48" t="str">
        <f t="shared" ca="1" si="349"/>
        <v/>
      </c>
      <c r="AU2140" s="3" t="str">
        <f t="shared" ca="1" si="351"/>
        <v/>
      </c>
      <c r="AV2140" s="3" t="str">
        <f t="shared" ca="1" si="347"/>
        <v/>
      </c>
    </row>
    <row r="2141" spans="43:48" x14ac:dyDescent="0.2">
      <c r="AQ2141" s="4" t="str">
        <f t="shared" ca="1" si="348"/>
        <v/>
      </c>
      <c r="AR2141" s="3" t="str">
        <f t="shared" ca="1" si="350"/>
        <v/>
      </c>
      <c r="AS2141" s="63" t="str">
        <f ca="1">IF($AQ2141&lt;&gt;"", INDEX(Inputs!$B$3:$B$101, MATCH($AQ2141,Inputs!$A$3:$A$101,1)), "")</f>
        <v/>
      </c>
      <c r="AT2141" s="48" t="str">
        <f t="shared" ca="1" si="349"/>
        <v/>
      </c>
      <c r="AU2141" s="3" t="str">
        <f t="shared" ca="1" si="351"/>
        <v/>
      </c>
      <c r="AV2141" s="3" t="str">
        <f t="shared" ca="1" si="347"/>
        <v/>
      </c>
    </row>
    <row r="2142" spans="43:48" x14ac:dyDescent="0.2">
      <c r="AQ2142" s="4" t="str">
        <f t="shared" ca="1" si="348"/>
        <v/>
      </c>
      <c r="AR2142" s="3" t="str">
        <f t="shared" ca="1" si="350"/>
        <v/>
      </c>
      <c r="AS2142" s="63" t="str">
        <f ca="1">IF($AQ2142&lt;&gt;"", INDEX(Inputs!$B$3:$B$101, MATCH($AQ2142,Inputs!$A$3:$A$101,1)), "")</f>
        <v/>
      </c>
      <c r="AT2142" s="48" t="str">
        <f t="shared" ca="1" si="349"/>
        <v/>
      </c>
      <c r="AU2142" s="3" t="str">
        <f t="shared" ca="1" si="351"/>
        <v/>
      </c>
      <c r="AV2142" s="3" t="str">
        <f t="shared" ca="1" si="347"/>
        <v/>
      </c>
    </row>
    <row r="2143" spans="43:48" x14ac:dyDescent="0.2">
      <c r="AQ2143" s="4" t="str">
        <f t="shared" ca="1" si="348"/>
        <v/>
      </c>
      <c r="AR2143" s="3" t="str">
        <f t="shared" ca="1" si="350"/>
        <v/>
      </c>
      <c r="AS2143" s="63" t="str">
        <f ca="1">IF($AQ2143&lt;&gt;"", INDEX(Inputs!$B$3:$B$101, MATCH($AQ2143,Inputs!$A$3:$A$101,1)), "")</f>
        <v/>
      </c>
      <c r="AT2143" s="48" t="str">
        <f t="shared" ca="1" si="349"/>
        <v/>
      </c>
      <c r="AU2143" s="3" t="str">
        <f t="shared" ca="1" si="351"/>
        <v/>
      </c>
      <c r="AV2143" s="3" t="str">
        <f t="shared" ca="1" si="347"/>
        <v/>
      </c>
    </row>
    <row r="2144" spans="43:48" x14ac:dyDescent="0.2">
      <c r="AQ2144" s="4" t="str">
        <f t="shared" ca="1" si="348"/>
        <v/>
      </c>
      <c r="AR2144" s="3" t="str">
        <f t="shared" ca="1" si="350"/>
        <v/>
      </c>
      <c r="AS2144" s="63" t="str">
        <f ca="1">IF($AQ2144&lt;&gt;"", INDEX(Inputs!$B$3:$B$101, MATCH($AQ2144,Inputs!$A$3:$A$101,1)), "")</f>
        <v/>
      </c>
      <c r="AT2144" s="48" t="str">
        <f t="shared" ca="1" si="349"/>
        <v/>
      </c>
      <c r="AU2144" s="3" t="str">
        <f t="shared" ca="1" si="351"/>
        <v/>
      </c>
      <c r="AV2144" s="3" t="str">
        <f t="shared" ref="AV2144:AV2207" ca="1" si="352">IF(AQ2144&lt;&gt;"", AU2144*(1+$X$9/CompoundingRate)^-((AQ2144-AQ$3)/(365/CompoundingRate)), "")</f>
        <v/>
      </c>
    </row>
    <row r="2145" spans="43:48" x14ac:dyDescent="0.2">
      <c r="AQ2145" s="4" t="str">
        <f t="shared" ca="1" si="348"/>
        <v/>
      </c>
      <c r="AR2145" s="3" t="str">
        <f t="shared" ca="1" si="350"/>
        <v/>
      </c>
      <c r="AS2145" s="63" t="str">
        <f ca="1">IF($AQ2145&lt;&gt;"", INDEX(Inputs!$B$3:$B$101, MATCH($AQ2145,Inputs!$A$3:$A$101,1)), "")</f>
        <v/>
      </c>
      <c r="AT2145" s="48" t="str">
        <f t="shared" ca="1" si="349"/>
        <v/>
      </c>
      <c r="AU2145" s="3" t="str">
        <f t="shared" ca="1" si="351"/>
        <v/>
      </c>
      <c r="AV2145" s="3" t="str">
        <f t="shared" ca="1" si="352"/>
        <v/>
      </c>
    </row>
    <row r="2146" spans="43:48" x14ac:dyDescent="0.2">
      <c r="AQ2146" s="4" t="str">
        <f t="shared" ca="1" si="348"/>
        <v/>
      </c>
      <c r="AR2146" s="3" t="str">
        <f t="shared" ca="1" si="350"/>
        <v/>
      </c>
      <c r="AS2146" s="63" t="str">
        <f ca="1">IF($AQ2146&lt;&gt;"", INDEX(Inputs!$B$3:$B$101, MATCH($AQ2146,Inputs!$A$3:$A$101,1)), "")</f>
        <v/>
      </c>
      <c r="AT2146" s="48" t="str">
        <f t="shared" ca="1" si="349"/>
        <v/>
      </c>
      <c r="AU2146" s="3" t="str">
        <f t="shared" ca="1" si="351"/>
        <v/>
      </c>
      <c r="AV2146" s="3" t="str">
        <f t="shared" ca="1" si="352"/>
        <v/>
      </c>
    </row>
    <row r="2147" spans="43:48" x14ac:dyDescent="0.2">
      <c r="AQ2147" s="4" t="str">
        <f t="shared" ca="1" si="348"/>
        <v/>
      </c>
      <c r="AR2147" s="3" t="str">
        <f t="shared" ca="1" si="350"/>
        <v/>
      </c>
      <c r="AS2147" s="63" t="str">
        <f ca="1">IF($AQ2147&lt;&gt;"", INDEX(Inputs!$B$3:$B$101, MATCH($AQ2147,Inputs!$A$3:$A$101,1)), "")</f>
        <v/>
      </c>
      <c r="AT2147" s="48" t="str">
        <f t="shared" ca="1" si="349"/>
        <v/>
      </c>
      <c r="AU2147" s="3" t="str">
        <f t="shared" ca="1" si="351"/>
        <v/>
      </c>
      <c r="AV2147" s="3" t="str">
        <f t="shared" ca="1" si="352"/>
        <v/>
      </c>
    </row>
    <row r="2148" spans="43:48" x14ac:dyDescent="0.2">
      <c r="AQ2148" s="4" t="str">
        <f t="shared" ca="1" si="348"/>
        <v/>
      </c>
      <c r="AR2148" s="3" t="str">
        <f t="shared" ca="1" si="350"/>
        <v/>
      </c>
      <c r="AS2148" s="63" t="str">
        <f ca="1">IF($AQ2148&lt;&gt;"", INDEX(Inputs!$B$3:$B$101, MATCH($AQ2148,Inputs!$A$3:$A$101,1)), "")</f>
        <v/>
      </c>
      <c r="AT2148" s="48" t="str">
        <f t="shared" ca="1" si="349"/>
        <v/>
      </c>
      <c r="AU2148" s="3" t="str">
        <f t="shared" ca="1" si="351"/>
        <v/>
      </c>
      <c r="AV2148" s="3" t="str">
        <f t="shared" ca="1" si="352"/>
        <v/>
      </c>
    </row>
    <row r="2149" spans="43:48" x14ac:dyDescent="0.2">
      <c r="AQ2149" s="4" t="str">
        <f t="shared" ca="1" si="348"/>
        <v/>
      </c>
      <c r="AR2149" s="3" t="str">
        <f t="shared" ca="1" si="350"/>
        <v/>
      </c>
      <c r="AS2149" s="63" t="str">
        <f ca="1">IF($AQ2149&lt;&gt;"", INDEX(Inputs!$B$3:$B$101, MATCH($AQ2149,Inputs!$A$3:$A$101,1)), "")</f>
        <v/>
      </c>
      <c r="AT2149" s="48" t="str">
        <f t="shared" ca="1" si="349"/>
        <v/>
      </c>
      <c r="AU2149" s="3" t="str">
        <f t="shared" ca="1" si="351"/>
        <v/>
      </c>
      <c r="AV2149" s="3" t="str">
        <f t="shared" ca="1" si="352"/>
        <v/>
      </c>
    </row>
    <row r="2150" spans="43:48" x14ac:dyDescent="0.2">
      <c r="AQ2150" s="4" t="str">
        <f t="shared" ca="1" si="348"/>
        <v/>
      </c>
      <c r="AR2150" s="3" t="str">
        <f t="shared" ca="1" si="350"/>
        <v/>
      </c>
      <c r="AS2150" s="63" t="str">
        <f ca="1">IF($AQ2150&lt;&gt;"", INDEX(Inputs!$B$3:$B$101, MATCH($AQ2150,Inputs!$A$3:$A$101,1)), "")</f>
        <v/>
      </c>
      <c r="AT2150" s="48" t="str">
        <f t="shared" ca="1" si="349"/>
        <v/>
      </c>
      <c r="AU2150" s="3" t="str">
        <f t="shared" ca="1" si="351"/>
        <v/>
      </c>
      <c r="AV2150" s="3" t="str">
        <f t="shared" ca="1" si="352"/>
        <v/>
      </c>
    </row>
    <row r="2151" spans="43:48" x14ac:dyDescent="0.2">
      <c r="AQ2151" s="4" t="str">
        <f t="shared" ca="1" si="348"/>
        <v/>
      </c>
      <c r="AR2151" s="3" t="str">
        <f t="shared" ca="1" si="350"/>
        <v/>
      </c>
      <c r="AS2151" s="63" t="str">
        <f ca="1">IF($AQ2151&lt;&gt;"", INDEX(Inputs!$B$3:$B$101, MATCH($AQ2151,Inputs!$A$3:$A$101,1)), "")</f>
        <v/>
      </c>
      <c r="AT2151" s="48" t="str">
        <f t="shared" ca="1" si="349"/>
        <v/>
      </c>
      <c r="AU2151" s="3" t="str">
        <f t="shared" ca="1" si="351"/>
        <v/>
      </c>
      <c r="AV2151" s="3" t="str">
        <f t="shared" ca="1" si="352"/>
        <v/>
      </c>
    </row>
    <row r="2152" spans="43:48" x14ac:dyDescent="0.2">
      <c r="AQ2152" s="4" t="str">
        <f t="shared" ca="1" si="348"/>
        <v/>
      </c>
      <c r="AR2152" s="3" t="str">
        <f t="shared" ca="1" si="350"/>
        <v/>
      </c>
      <c r="AS2152" s="63" t="str">
        <f ca="1">IF($AQ2152&lt;&gt;"", INDEX(Inputs!$B$3:$B$101, MATCH($AQ2152,Inputs!$A$3:$A$101,1)), "")</f>
        <v/>
      </c>
      <c r="AT2152" s="48" t="str">
        <f t="shared" ca="1" si="349"/>
        <v/>
      </c>
      <c r="AU2152" s="3" t="str">
        <f t="shared" ca="1" si="351"/>
        <v/>
      </c>
      <c r="AV2152" s="3" t="str">
        <f t="shared" ca="1" si="352"/>
        <v/>
      </c>
    </row>
    <row r="2153" spans="43:48" x14ac:dyDescent="0.2">
      <c r="AQ2153" s="4" t="str">
        <f t="shared" ca="1" si="348"/>
        <v/>
      </c>
      <c r="AR2153" s="3" t="str">
        <f t="shared" ca="1" si="350"/>
        <v/>
      </c>
      <c r="AS2153" s="63" t="str">
        <f ca="1">IF($AQ2153&lt;&gt;"", INDEX(Inputs!$B$3:$B$101, MATCH($AQ2153,Inputs!$A$3:$A$101,1)), "")</f>
        <v/>
      </c>
      <c r="AT2153" s="48" t="str">
        <f t="shared" ca="1" si="349"/>
        <v/>
      </c>
      <c r="AU2153" s="3" t="str">
        <f t="shared" ca="1" si="351"/>
        <v/>
      </c>
      <c r="AV2153" s="3" t="str">
        <f t="shared" ca="1" si="352"/>
        <v/>
      </c>
    </row>
    <row r="2154" spans="43:48" x14ac:dyDescent="0.2">
      <c r="AQ2154" s="4" t="str">
        <f t="shared" ca="1" si="348"/>
        <v/>
      </c>
      <c r="AR2154" s="3" t="str">
        <f t="shared" ca="1" si="350"/>
        <v/>
      </c>
      <c r="AS2154" s="63" t="str">
        <f ca="1">IF($AQ2154&lt;&gt;"", INDEX(Inputs!$B$3:$B$101, MATCH($AQ2154,Inputs!$A$3:$A$101,1)), "")</f>
        <v/>
      </c>
      <c r="AT2154" s="48" t="str">
        <f t="shared" ca="1" si="349"/>
        <v/>
      </c>
      <c r="AU2154" s="3" t="str">
        <f t="shared" ca="1" si="351"/>
        <v/>
      </c>
      <c r="AV2154" s="3" t="str">
        <f t="shared" ca="1" si="352"/>
        <v/>
      </c>
    </row>
    <row r="2155" spans="43:48" x14ac:dyDescent="0.2">
      <c r="AQ2155" s="4" t="str">
        <f t="shared" ca="1" si="348"/>
        <v/>
      </c>
      <c r="AR2155" s="3" t="str">
        <f t="shared" ca="1" si="350"/>
        <v/>
      </c>
      <c r="AS2155" s="63" t="str">
        <f ca="1">IF($AQ2155&lt;&gt;"", INDEX(Inputs!$B$3:$B$101, MATCH($AQ2155,Inputs!$A$3:$A$101,1)), "")</f>
        <v/>
      </c>
      <c r="AT2155" s="48" t="str">
        <f t="shared" ca="1" si="349"/>
        <v/>
      </c>
      <c r="AU2155" s="3" t="str">
        <f t="shared" ca="1" si="351"/>
        <v/>
      </c>
      <c r="AV2155" s="3" t="str">
        <f t="shared" ca="1" si="352"/>
        <v/>
      </c>
    </row>
    <row r="2156" spans="43:48" x14ac:dyDescent="0.2">
      <c r="AQ2156" s="4" t="str">
        <f t="shared" ca="1" si="348"/>
        <v/>
      </c>
      <c r="AR2156" s="3" t="str">
        <f t="shared" ca="1" si="350"/>
        <v/>
      </c>
      <c r="AS2156" s="63" t="str">
        <f ca="1">IF($AQ2156&lt;&gt;"", INDEX(Inputs!$B$3:$B$101, MATCH($AQ2156,Inputs!$A$3:$A$101,1)), "")</f>
        <v/>
      </c>
      <c r="AT2156" s="48" t="str">
        <f t="shared" ca="1" si="349"/>
        <v/>
      </c>
      <c r="AU2156" s="3" t="str">
        <f t="shared" ca="1" si="351"/>
        <v/>
      </c>
      <c r="AV2156" s="3" t="str">
        <f t="shared" ca="1" si="352"/>
        <v/>
      </c>
    </row>
    <row r="2157" spans="43:48" x14ac:dyDescent="0.2">
      <c r="AQ2157" s="4" t="str">
        <f t="shared" ca="1" si="348"/>
        <v/>
      </c>
      <c r="AR2157" s="3" t="str">
        <f t="shared" ca="1" si="350"/>
        <v/>
      </c>
      <c r="AS2157" s="63" t="str">
        <f ca="1">IF($AQ2157&lt;&gt;"", INDEX(Inputs!$B$3:$B$101, MATCH($AQ2157,Inputs!$A$3:$A$101,1)), "")</f>
        <v/>
      </c>
      <c r="AT2157" s="48" t="str">
        <f t="shared" ca="1" si="349"/>
        <v/>
      </c>
      <c r="AU2157" s="3" t="str">
        <f t="shared" ca="1" si="351"/>
        <v/>
      </c>
      <c r="AV2157" s="3" t="str">
        <f t="shared" ca="1" si="352"/>
        <v/>
      </c>
    </row>
    <row r="2158" spans="43:48" x14ac:dyDescent="0.2">
      <c r="AQ2158" s="4" t="str">
        <f t="shared" ca="1" si="348"/>
        <v/>
      </c>
      <c r="AR2158" s="3" t="str">
        <f t="shared" ca="1" si="350"/>
        <v/>
      </c>
      <c r="AS2158" s="63" t="str">
        <f ca="1">IF($AQ2158&lt;&gt;"", INDEX(Inputs!$B$3:$B$101, MATCH($AQ2158,Inputs!$A$3:$A$101,1)), "")</f>
        <v/>
      </c>
      <c r="AT2158" s="48" t="str">
        <f t="shared" ca="1" si="349"/>
        <v/>
      </c>
      <c r="AU2158" s="3" t="str">
        <f t="shared" ca="1" si="351"/>
        <v/>
      </c>
      <c r="AV2158" s="3" t="str">
        <f t="shared" ca="1" si="352"/>
        <v/>
      </c>
    </row>
    <row r="2159" spans="43:48" x14ac:dyDescent="0.2">
      <c r="AQ2159" s="4" t="str">
        <f t="shared" ca="1" si="348"/>
        <v/>
      </c>
      <c r="AR2159" s="3" t="str">
        <f t="shared" ca="1" si="350"/>
        <v/>
      </c>
      <c r="AS2159" s="63" t="str">
        <f ca="1">IF($AQ2159&lt;&gt;"", INDEX(Inputs!$B$3:$B$101, MATCH($AQ2159,Inputs!$A$3:$A$101,1)), "")</f>
        <v/>
      </c>
      <c r="AT2159" s="48" t="str">
        <f t="shared" ca="1" si="349"/>
        <v/>
      </c>
      <c r="AU2159" s="3" t="str">
        <f t="shared" ca="1" si="351"/>
        <v/>
      </c>
      <c r="AV2159" s="3" t="str">
        <f t="shared" ca="1" si="352"/>
        <v/>
      </c>
    </row>
    <row r="2160" spans="43:48" x14ac:dyDescent="0.2">
      <c r="AQ2160" s="4" t="str">
        <f t="shared" ca="1" si="348"/>
        <v/>
      </c>
      <c r="AR2160" s="3" t="str">
        <f t="shared" ca="1" si="350"/>
        <v/>
      </c>
      <c r="AS2160" s="63" t="str">
        <f ca="1">IF($AQ2160&lt;&gt;"", INDEX(Inputs!$B$3:$B$101, MATCH($AQ2160,Inputs!$A$3:$A$101,1)), "")</f>
        <v/>
      </c>
      <c r="AT2160" s="48" t="str">
        <f t="shared" ca="1" si="349"/>
        <v/>
      </c>
      <c r="AU2160" s="3" t="str">
        <f t="shared" ca="1" si="351"/>
        <v/>
      </c>
      <c r="AV2160" s="3" t="str">
        <f t="shared" ca="1" si="352"/>
        <v/>
      </c>
    </row>
    <row r="2161" spans="43:48" x14ac:dyDescent="0.2">
      <c r="AQ2161" s="4" t="str">
        <f t="shared" ca="1" si="348"/>
        <v/>
      </c>
      <c r="AR2161" s="3" t="str">
        <f t="shared" ca="1" si="350"/>
        <v/>
      </c>
      <c r="AS2161" s="63" t="str">
        <f ca="1">IF($AQ2161&lt;&gt;"", INDEX(Inputs!$B$3:$B$101, MATCH($AQ2161,Inputs!$A$3:$A$101,1)), "")</f>
        <v/>
      </c>
      <c r="AT2161" s="48" t="str">
        <f t="shared" ca="1" si="349"/>
        <v/>
      </c>
      <c r="AU2161" s="3" t="str">
        <f t="shared" ca="1" si="351"/>
        <v/>
      </c>
      <c r="AV2161" s="3" t="str">
        <f t="shared" ca="1" si="352"/>
        <v/>
      </c>
    </row>
    <row r="2162" spans="43:48" x14ac:dyDescent="0.2">
      <c r="AQ2162" s="4" t="str">
        <f t="shared" ca="1" si="348"/>
        <v/>
      </c>
      <c r="AR2162" s="3" t="str">
        <f t="shared" ca="1" si="350"/>
        <v/>
      </c>
      <c r="AS2162" s="63" t="str">
        <f ca="1">IF($AQ2162&lt;&gt;"", INDEX(Inputs!$B$3:$B$101, MATCH($AQ2162,Inputs!$A$3:$A$101,1)), "")</f>
        <v/>
      </c>
      <c r="AT2162" s="48" t="str">
        <f t="shared" ca="1" si="349"/>
        <v/>
      </c>
      <c r="AU2162" s="3" t="str">
        <f t="shared" ca="1" si="351"/>
        <v/>
      </c>
      <c r="AV2162" s="3" t="str">
        <f t="shared" ca="1" si="352"/>
        <v/>
      </c>
    </row>
    <row r="2163" spans="43:48" x14ac:dyDescent="0.2">
      <c r="AQ2163" s="4" t="str">
        <f t="shared" ca="1" si="348"/>
        <v/>
      </c>
      <c r="AR2163" s="3" t="str">
        <f t="shared" ca="1" si="350"/>
        <v/>
      </c>
      <c r="AS2163" s="63" t="str">
        <f ca="1">IF($AQ2163&lt;&gt;"", INDEX(Inputs!$B$3:$B$101, MATCH($AQ2163,Inputs!$A$3:$A$101,1)), "")</f>
        <v/>
      </c>
      <c r="AT2163" s="48" t="str">
        <f t="shared" ca="1" si="349"/>
        <v/>
      </c>
      <c r="AU2163" s="3" t="str">
        <f t="shared" ca="1" si="351"/>
        <v/>
      </c>
      <c r="AV2163" s="3" t="str">
        <f t="shared" ca="1" si="352"/>
        <v/>
      </c>
    </row>
    <row r="2164" spans="43:48" x14ac:dyDescent="0.2">
      <c r="AQ2164" s="4" t="str">
        <f t="shared" ca="1" si="348"/>
        <v/>
      </c>
      <c r="AR2164" s="3" t="str">
        <f t="shared" ca="1" si="350"/>
        <v/>
      </c>
      <c r="AS2164" s="63" t="str">
        <f ca="1">IF($AQ2164&lt;&gt;"", INDEX(Inputs!$B$3:$B$101, MATCH($AQ2164,Inputs!$A$3:$A$101,1)), "")</f>
        <v/>
      </c>
      <c r="AT2164" s="48" t="str">
        <f t="shared" ca="1" si="349"/>
        <v/>
      </c>
      <c r="AU2164" s="3" t="str">
        <f t="shared" ca="1" si="351"/>
        <v/>
      </c>
      <c r="AV2164" s="3" t="str">
        <f t="shared" ca="1" si="352"/>
        <v/>
      </c>
    </row>
    <row r="2165" spans="43:48" x14ac:dyDescent="0.2">
      <c r="AQ2165" s="4" t="str">
        <f t="shared" ca="1" si="348"/>
        <v/>
      </c>
      <c r="AR2165" s="3" t="str">
        <f t="shared" ca="1" si="350"/>
        <v/>
      </c>
      <c r="AS2165" s="63" t="str">
        <f ca="1">IF($AQ2165&lt;&gt;"", INDEX(Inputs!$B$3:$B$101, MATCH($AQ2165,Inputs!$A$3:$A$101,1)), "")</f>
        <v/>
      </c>
      <c r="AT2165" s="48" t="str">
        <f t="shared" ca="1" si="349"/>
        <v/>
      </c>
      <c r="AU2165" s="3" t="str">
        <f t="shared" ca="1" si="351"/>
        <v/>
      </c>
      <c r="AV2165" s="3" t="str">
        <f t="shared" ca="1" si="352"/>
        <v/>
      </c>
    </row>
    <row r="2166" spans="43:48" x14ac:dyDescent="0.2">
      <c r="AQ2166" s="4" t="str">
        <f t="shared" ca="1" si="348"/>
        <v/>
      </c>
      <c r="AR2166" s="3" t="str">
        <f t="shared" ca="1" si="350"/>
        <v/>
      </c>
      <c r="AS2166" s="63" t="str">
        <f ca="1">IF($AQ2166&lt;&gt;"", INDEX(Inputs!$B$3:$B$101, MATCH($AQ2166,Inputs!$A$3:$A$101,1)), "")</f>
        <v/>
      </c>
      <c r="AT2166" s="48" t="str">
        <f t="shared" ca="1" si="349"/>
        <v/>
      </c>
      <c r="AU2166" s="3" t="str">
        <f t="shared" ca="1" si="351"/>
        <v/>
      </c>
      <c r="AV2166" s="3" t="str">
        <f t="shared" ca="1" si="352"/>
        <v/>
      </c>
    </row>
    <row r="2167" spans="43:48" x14ac:dyDescent="0.2">
      <c r="AQ2167" s="4" t="str">
        <f t="shared" ca="1" si="348"/>
        <v/>
      </c>
      <c r="AR2167" s="3" t="str">
        <f t="shared" ca="1" si="350"/>
        <v/>
      </c>
      <c r="AS2167" s="63" t="str">
        <f ca="1">IF($AQ2167&lt;&gt;"", INDEX(Inputs!$B$3:$B$101, MATCH($AQ2167,Inputs!$A$3:$A$101,1)), "")</f>
        <v/>
      </c>
      <c r="AT2167" s="48" t="str">
        <f t="shared" ca="1" si="349"/>
        <v/>
      </c>
      <c r="AU2167" s="3" t="str">
        <f t="shared" ca="1" si="351"/>
        <v/>
      </c>
      <c r="AV2167" s="3" t="str">
        <f t="shared" ca="1" si="352"/>
        <v/>
      </c>
    </row>
    <row r="2168" spans="43:48" x14ac:dyDescent="0.2">
      <c r="AQ2168" s="4" t="str">
        <f t="shared" ca="1" si="348"/>
        <v/>
      </c>
      <c r="AR2168" s="3" t="str">
        <f t="shared" ca="1" si="350"/>
        <v/>
      </c>
      <c r="AS2168" s="63" t="str">
        <f ca="1">IF($AQ2168&lt;&gt;"", INDEX(Inputs!$B$3:$B$101, MATCH($AQ2168,Inputs!$A$3:$A$101,1)), "")</f>
        <v/>
      </c>
      <c r="AT2168" s="48" t="str">
        <f t="shared" ca="1" si="349"/>
        <v/>
      </c>
      <c r="AU2168" s="3" t="str">
        <f t="shared" ca="1" si="351"/>
        <v/>
      </c>
      <c r="AV2168" s="3" t="str">
        <f t="shared" ca="1" si="352"/>
        <v/>
      </c>
    </row>
    <row r="2169" spans="43:48" x14ac:dyDescent="0.2">
      <c r="AQ2169" s="4" t="str">
        <f t="shared" ref="AQ2169:AQ2232" ca="1" si="353">IF(AQ2168&lt;$AP$3,AQ2168+1,"")</f>
        <v/>
      </c>
      <c r="AR2169" s="3" t="str">
        <f t="shared" ca="1" si="350"/>
        <v/>
      </c>
      <c r="AS2169" s="63" t="str">
        <f ca="1">IF($AQ2169&lt;&gt;"", INDEX(Inputs!$B$3:$B$101, MATCH($AQ2169,Inputs!$A$3:$A$101,1)), "")</f>
        <v/>
      </c>
      <c r="AT2169" s="48" t="str">
        <f t="shared" ref="AT2169:AT2232" ca="1" si="354">IF($AQ2169&lt;&gt;"", AR2169*AS2169/365, "")</f>
        <v/>
      </c>
      <c r="AU2169" s="3" t="str">
        <f t="shared" ca="1" si="351"/>
        <v/>
      </c>
      <c r="AV2169" s="3" t="str">
        <f t="shared" ca="1" si="352"/>
        <v/>
      </c>
    </row>
    <row r="2170" spans="43:48" x14ac:dyDescent="0.2">
      <c r="AQ2170" s="4" t="str">
        <f t="shared" ca="1" si="353"/>
        <v/>
      </c>
      <c r="AR2170" s="3" t="str">
        <f t="shared" ca="1" si="350"/>
        <v/>
      </c>
      <c r="AS2170" s="63" t="str">
        <f ca="1">IF($AQ2170&lt;&gt;"", INDEX(Inputs!$B$3:$B$101, MATCH($AQ2170,Inputs!$A$3:$A$101,1)), "")</f>
        <v/>
      </c>
      <c r="AT2170" s="48" t="str">
        <f t="shared" ca="1" si="354"/>
        <v/>
      </c>
      <c r="AU2170" s="3" t="str">
        <f t="shared" ca="1" si="351"/>
        <v/>
      </c>
      <c r="AV2170" s="3" t="str">
        <f t="shared" ca="1" si="352"/>
        <v/>
      </c>
    </row>
    <row r="2171" spans="43:48" x14ac:dyDescent="0.2">
      <c r="AQ2171" s="4" t="str">
        <f t="shared" ca="1" si="353"/>
        <v/>
      </c>
      <c r="AR2171" s="3" t="str">
        <f t="shared" ca="1" si="350"/>
        <v/>
      </c>
      <c r="AS2171" s="63" t="str">
        <f ca="1">IF($AQ2171&lt;&gt;"", INDEX(Inputs!$B$3:$B$101, MATCH($AQ2171,Inputs!$A$3:$A$101,1)), "")</f>
        <v/>
      </c>
      <c r="AT2171" s="48" t="str">
        <f t="shared" ca="1" si="354"/>
        <v/>
      </c>
      <c r="AU2171" s="3" t="str">
        <f t="shared" ca="1" si="351"/>
        <v/>
      </c>
      <c r="AV2171" s="3" t="str">
        <f t="shared" ca="1" si="352"/>
        <v/>
      </c>
    </row>
    <row r="2172" spans="43:48" x14ac:dyDescent="0.2">
      <c r="AQ2172" s="4" t="str">
        <f t="shared" ca="1" si="353"/>
        <v/>
      </c>
      <c r="AR2172" s="3" t="str">
        <f t="shared" ca="1" si="350"/>
        <v/>
      </c>
      <c r="AS2172" s="63" t="str">
        <f ca="1">IF($AQ2172&lt;&gt;"", INDEX(Inputs!$B$3:$B$101, MATCH($AQ2172,Inputs!$A$3:$A$101,1)), "")</f>
        <v/>
      </c>
      <c r="AT2172" s="48" t="str">
        <f t="shared" ca="1" si="354"/>
        <v/>
      </c>
      <c r="AU2172" s="3" t="str">
        <f t="shared" ca="1" si="351"/>
        <v/>
      </c>
      <c r="AV2172" s="3" t="str">
        <f t="shared" ca="1" si="352"/>
        <v/>
      </c>
    </row>
    <row r="2173" spans="43:48" x14ac:dyDescent="0.2">
      <c r="AQ2173" s="4" t="str">
        <f t="shared" ca="1" si="353"/>
        <v/>
      </c>
      <c r="AR2173" s="3" t="str">
        <f t="shared" ca="1" si="350"/>
        <v/>
      </c>
      <c r="AS2173" s="63" t="str">
        <f ca="1">IF($AQ2173&lt;&gt;"", INDEX(Inputs!$B$3:$B$101, MATCH($AQ2173,Inputs!$A$3:$A$101,1)), "")</f>
        <v/>
      </c>
      <c r="AT2173" s="48" t="str">
        <f t="shared" ca="1" si="354"/>
        <v/>
      </c>
      <c r="AU2173" s="3" t="str">
        <f t="shared" ca="1" si="351"/>
        <v/>
      </c>
      <c r="AV2173" s="3" t="str">
        <f t="shared" ca="1" si="352"/>
        <v/>
      </c>
    </row>
    <row r="2174" spans="43:48" x14ac:dyDescent="0.2">
      <c r="AQ2174" s="4" t="str">
        <f t="shared" ca="1" si="353"/>
        <v/>
      </c>
      <c r="AR2174" s="3" t="str">
        <f t="shared" ca="1" si="350"/>
        <v/>
      </c>
      <c r="AS2174" s="63" t="str">
        <f ca="1">IF($AQ2174&lt;&gt;"", INDEX(Inputs!$B$3:$B$101, MATCH($AQ2174,Inputs!$A$3:$A$101,1)), "")</f>
        <v/>
      </c>
      <c r="AT2174" s="48" t="str">
        <f t="shared" ca="1" si="354"/>
        <v/>
      </c>
      <c r="AU2174" s="3" t="str">
        <f t="shared" ca="1" si="351"/>
        <v/>
      </c>
      <c r="AV2174" s="3" t="str">
        <f t="shared" ca="1" si="352"/>
        <v/>
      </c>
    </row>
    <row r="2175" spans="43:48" x14ac:dyDescent="0.2">
      <c r="AQ2175" s="4" t="str">
        <f t="shared" ca="1" si="353"/>
        <v/>
      </c>
      <c r="AR2175" s="3" t="str">
        <f t="shared" ca="1" si="350"/>
        <v/>
      </c>
      <c r="AS2175" s="63" t="str">
        <f ca="1">IF($AQ2175&lt;&gt;"", INDEX(Inputs!$B$3:$B$101, MATCH($AQ2175,Inputs!$A$3:$A$101,1)), "")</f>
        <v/>
      </c>
      <c r="AT2175" s="48" t="str">
        <f t="shared" ca="1" si="354"/>
        <v/>
      </c>
      <c r="AU2175" s="3" t="str">
        <f t="shared" ca="1" si="351"/>
        <v/>
      </c>
      <c r="AV2175" s="3" t="str">
        <f t="shared" ca="1" si="352"/>
        <v/>
      </c>
    </row>
    <row r="2176" spans="43:48" x14ac:dyDescent="0.2">
      <c r="AQ2176" s="4" t="str">
        <f t="shared" ca="1" si="353"/>
        <v/>
      </c>
      <c r="AR2176" s="3" t="str">
        <f t="shared" ca="1" si="350"/>
        <v/>
      </c>
      <c r="AS2176" s="63" t="str">
        <f ca="1">IF($AQ2176&lt;&gt;"", INDEX(Inputs!$B$3:$B$101, MATCH($AQ2176,Inputs!$A$3:$A$101,1)), "")</f>
        <v/>
      </c>
      <c r="AT2176" s="48" t="str">
        <f t="shared" ca="1" si="354"/>
        <v/>
      </c>
      <c r="AU2176" s="3" t="str">
        <f t="shared" ca="1" si="351"/>
        <v/>
      </c>
      <c r="AV2176" s="3" t="str">
        <f t="shared" ca="1" si="352"/>
        <v/>
      </c>
    </row>
    <row r="2177" spans="43:48" x14ac:dyDescent="0.2">
      <c r="AQ2177" s="4" t="str">
        <f t="shared" ca="1" si="353"/>
        <v/>
      </c>
      <c r="AR2177" s="3" t="str">
        <f t="shared" ca="1" si="350"/>
        <v/>
      </c>
      <c r="AS2177" s="63" t="str">
        <f ca="1">IF($AQ2177&lt;&gt;"", INDEX(Inputs!$B$3:$B$101, MATCH($AQ2177,Inputs!$A$3:$A$101,1)), "")</f>
        <v/>
      </c>
      <c r="AT2177" s="48" t="str">
        <f t="shared" ca="1" si="354"/>
        <v/>
      </c>
      <c r="AU2177" s="3" t="str">
        <f t="shared" ca="1" si="351"/>
        <v/>
      </c>
      <c r="AV2177" s="3" t="str">
        <f t="shared" ca="1" si="352"/>
        <v/>
      </c>
    </row>
    <row r="2178" spans="43:48" x14ac:dyDescent="0.2">
      <c r="AQ2178" s="4" t="str">
        <f t="shared" ca="1" si="353"/>
        <v/>
      </c>
      <c r="AR2178" s="3" t="str">
        <f t="shared" ca="1" si="350"/>
        <v/>
      </c>
      <c r="AS2178" s="63" t="str">
        <f ca="1">IF($AQ2178&lt;&gt;"", INDEX(Inputs!$B$3:$B$101, MATCH($AQ2178,Inputs!$A$3:$A$101,1)), "")</f>
        <v/>
      </c>
      <c r="AT2178" s="48" t="str">
        <f t="shared" ca="1" si="354"/>
        <v/>
      </c>
      <c r="AU2178" s="3" t="str">
        <f t="shared" ca="1" si="351"/>
        <v/>
      </c>
      <c r="AV2178" s="3" t="str">
        <f t="shared" ca="1" si="352"/>
        <v/>
      </c>
    </row>
    <row r="2179" spans="43:48" x14ac:dyDescent="0.2">
      <c r="AQ2179" s="4" t="str">
        <f t="shared" ca="1" si="353"/>
        <v/>
      </c>
      <c r="AR2179" s="3" t="str">
        <f t="shared" ca="1" si="350"/>
        <v/>
      </c>
      <c r="AS2179" s="63" t="str">
        <f ca="1">IF($AQ2179&lt;&gt;"", INDEX(Inputs!$B$3:$B$101, MATCH($AQ2179,Inputs!$A$3:$A$101,1)), "")</f>
        <v/>
      </c>
      <c r="AT2179" s="48" t="str">
        <f t="shared" ca="1" si="354"/>
        <v/>
      </c>
      <c r="AU2179" s="3" t="str">
        <f t="shared" ca="1" si="351"/>
        <v/>
      </c>
      <c r="AV2179" s="3" t="str">
        <f t="shared" ca="1" si="352"/>
        <v/>
      </c>
    </row>
    <row r="2180" spans="43:48" x14ac:dyDescent="0.2">
      <c r="AQ2180" s="4" t="str">
        <f t="shared" ca="1" si="353"/>
        <v/>
      </c>
      <c r="AR2180" s="3" t="str">
        <f t="shared" ca="1" si="350"/>
        <v/>
      </c>
      <c r="AS2180" s="63" t="str">
        <f ca="1">IF($AQ2180&lt;&gt;"", INDEX(Inputs!$B$3:$B$101, MATCH($AQ2180,Inputs!$A$3:$A$101,1)), "")</f>
        <v/>
      </c>
      <c r="AT2180" s="48" t="str">
        <f t="shared" ca="1" si="354"/>
        <v/>
      </c>
      <c r="AU2180" s="3" t="str">
        <f t="shared" ca="1" si="351"/>
        <v/>
      </c>
      <c r="AV2180" s="3" t="str">
        <f t="shared" ca="1" si="352"/>
        <v/>
      </c>
    </row>
    <row r="2181" spans="43:48" x14ac:dyDescent="0.2">
      <c r="AQ2181" s="4" t="str">
        <f t="shared" ca="1" si="353"/>
        <v/>
      </c>
      <c r="AR2181" s="3" t="str">
        <f t="shared" ca="1" si="350"/>
        <v/>
      </c>
      <c r="AS2181" s="63" t="str">
        <f ca="1">IF($AQ2181&lt;&gt;"", INDEX(Inputs!$B$3:$B$101, MATCH($AQ2181,Inputs!$A$3:$A$101,1)), "")</f>
        <v/>
      </c>
      <c r="AT2181" s="48" t="str">
        <f t="shared" ca="1" si="354"/>
        <v/>
      </c>
      <c r="AU2181" s="3" t="str">
        <f t="shared" ca="1" si="351"/>
        <v/>
      </c>
      <c r="AV2181" s="3" t="str">
        <f t="shared" ca="1" si="352"/>
        <v/>
      </c>
    </row>
    <row r="2182" spans="43:48" x14ac:dyDescent="0.2">
      <c r="AQ2182" s="4" t="str">
        <f t="shared" ca="1" si="353"/>
        <v/>
      </c>
      <c r="AR2182" s="3" t="str">
        <f t="shared" ca="1" si="350"/>
        <v/>
      </c>
      <c r="AS2182" s="63" t="str">
        <f ca="1">IF($AQ2182&lt;&gt;"", INDEX(Inputs!$B$3:$B$101, MATCH($AQ2182,Inputs!$A$3:$A$101,1)), "")</f>
        <v/>
      </c>
      <c r="AT2182" s="48" t="str">
        <f t="shared" ca="1" si="354"/>
        <v/>
      </c>
      <c r="AU2182" s="3" t="str">
        <f t="shared" ca="1" si="351"/>
        <v/>
      </c>
      <c r="AV2182" s="3" t="str">
        <f t="shared" ca="1" si="352"/>
        <v/>
      </c>
    </row>
    <row r="2183" spans="43:48" x14ac:dyDescent="0.2">
      <c r="AQ2183" s="4" t="str">
        <f t="shared" ca="1" si="353"/>
        <v/>
      </c>
      <c r="AR2183" s="3" t="str">
        <f t="shared" ca="1" si="350"/>
        <v/>
      </c>
      <c r="AS2183" s="63" t="str">
        <f ca="1">IF($AQ2183&lt;&gt;"", INDEX(Inputs!$B$3:$B$101, MATCH($AQ2183,Inputs!$A$3:$A$101,1)), "")</f>
        <v/>
      </c>
      <c r="AT2183" s="48" t="str">
        <f t="shared" ca="1" si="354"/>
        <v/>
      </c>
      <c r="AU2183" s="3" t="str">
        <f t="shared" ca="1" si="351"/>
        <v/>
      </c>
      <c r="AV2183" s="3" t="str">
        <f t="shared" ca="1" si="352"/>
        <v/>
      </c>
    </row>
    <row r="2184" spans="43:48" x14ac:dyDescent="0.2">
      <c r="AQ2184" s="4" t="str">
        <f t="shared" ca="1" si="353"/>
        <v/>
      </c>
      <c r="AR2184" s="3" t="str">
        <f t="shared" ca="1" si="350"/>
        <v/>
      </c>
      <c r="AS2184" s="63" t="str">
        <f ca="1">IF($AQ2184&lt;&gt;"", INDEX(Inputs!$B$3:$B$101, MATCH($AQ2184,Inputs!$A$3:$A$101,1)), "")</f>
        <v/>
      </c>
      <c r="AT2184" s="48" t="str">
        <f t="shared" ca="1" si="354"/>
        <v/>
      </c>
      <c r="AU2184" s="3" t="str">
        <f t="shared" ca="1" si="351"/>
        <v/>
      </c>
      <c r="AV2184" s="3" t="str">
        <f t="shared" ca="1" si="352"/>
        <v/>
      </c>
    </row>
    <row r="2185" spans="43:48" x14ac:dyDescent="0.2">
      <c r="AQ2185" s="4" t="str">
        <f t="shared" ca="1" si="353"/>
        <v/>
      </c>
      <c r="AR2185" s="3" t="str">
        <f t="shared" ca="1" si="350"/>
        <v/>
      </c>
      <c r="AS2185" s="63" t="str">
        <f ca="1">IF($AQ2185&lt;&gt;"", INDEX(Inputs!$B$3:$B$101, MATCH($AQ2185,Inputs!$A$3:$A$101,1)), "")</f>
        <v/>
      </c>
      <c r="AT2185" s="48" t="str">
        <f t="shared" ca="1" si="354"/>
        <v/>
      </c>
      <c r="AU2185" s="3" t="str">
        <f t="shared" ca="1" si="351"/>
        <v/>
      </c>
      <c r="AV2185" s="3" t="str">
        <f t="shared" ca="1" si="352"/>
        <v/>
      </c>
    </row>
    <row r="2186" spans="43:48" x14ac:dyDescent="0.2">
      <c r="AQ2186" s="4" t="str">
        <f t="shared" ca="1" si="353"/>
        <v/>
      </c>
      <c r="AR2186" s="3" t="str">
        <f t="shared" ca="1" si="350"/>
        <v/>
      </c>
      <c r="AS2186" s="63" t="str">
        <f ca="1">IF($AQ2186&lt;&gt;"", INDEX(Inputs!$B$3:$B$101, MATCH($AQ2186,Inputs!$A$3:$A$101,1)), "")</f>
        <v/>
      </c>
      <c r="AT2186" s="48" t="str">
        <f t="shared" ca="1" si="354"/>
        <v/>
      </c>
      <c r="AU2186" s="3" t="str">
        <f t="shared" ca="1" si="351"/>
        <v/>
      </c>
      <c r="AV2186" s="3" t="str">
        <f t="shared" ca="1" si="352"/>
        <v/>
      </c>
    </row>
    <row r="2187" spans="43:48" x14ac:dyDescent="0.2">
      <c r="AQ2187" s="4" t="str">
        <f t="shared" ca="1" si="353"/>
        <v/>
      </c>
      <c r="AR2187" s="3" t="str">
        <f t="shared" ca="1" si="350"/>
        <v/>
      </c>
      <c r="AS2187" s="63" t="str">
        <f ca="1">IF($AQ2187&lt;&gt;"", INDEX(Inputs!$B$3:$B$101, MATCH($AQ2187,Inputs!$A$3:$A$101,1)), "")</f>
        <v/>
      </c>
      <c r="AT2187" s="48" t="str">
        <f t="shared" ca="1" si="354"/>
        <v/>
      </c>
      <c r="AU2187" s="3" t="str">
        <f t="shared" ca="1" si="351"/>
        <v/>
      </c>
      <c r="AV2187" s="3" t="str">
        <f t="shared" ca="1" si="352"/>
        <v/>
      </c>
    </row>
    <row r="2188" spans="43:48" x14ac:dyDescent="0.2">
      <c r="AQ2188" s="4" t="str">
        <f t="shared" ca="1" si="353"/>
        <v/>
      </c>
      <c r="AR2188" s="3" t="str">
        <f t="shared" ca="1" si="350"/>
        <v/>
      </c>
      <c r="AS2188" s="63" t="str">
        <f ca="1">IF($AQ2188&lt;&gt;"", INDEX(Inputs!$B$3:$B$101, MATCH($AQ2188,Inputs!$A$3:$A$101,1)), "")</f>
        <v/>
      </c>
      <c r="AT2188" s="48" t="str">
        <f t="shared" ca="1" si="354"/>
        <v/>
      </c>
      <c r="AU2188" s="3" t="str">
        <f t="shared" ca="1" si="351"/>
        <v/>
      </c>
      <c r="AV2188" s="3" t="str">
        <f t="shared" ca="1" si="352"/>
        <v/>
      </c>
    </row>
    <row r="2189" spans="43:48" x14ac:dyDescent="0.2">
      <c r="AQ2189" s="4" t="str">
        <f t="shared" ca="1" si="353"/>
        <v/>
      </c>
      <c r="AR2189" s="3" t="str">
        <f t="shared" ca="1" si="350"/>
        <v/>
      </c>
      <c r="AS2189" s="63" t="str">
        <f ca="1">IF($AQ2189&lt;&gt;"", INDEX(Inputs!$B$3:$B$101, MATCH($AQ2189,Inputs!$A$3:$A$101,1)), "")</f>
        <v/>
      </c>
      <c r="AT2189" s="48" t="str">
        <f t="shared" ca="1" si="354"/>
        <v/>
      </c>
      <c r="AU2189" s="3" t="str">
        <f t="shared" ca="1" si="351"/>
        <v/>
      </c>
      <c r="AV2189" s="3" t="str">
        <f t="shared" ca="1" si="352"/>
        <v/>
      </c>
    </row>
    <row r="2190" spans="43:48" x14ac:dyDescent="0.2">
      <c r="AQ2190" s="4" t="str">
        <f t="shared" ca="1" si="353"/>
        <v/>
      </c>
      <c r="AR2190" s="3" t="str">
        <f t="shared" ca="1" si="350"/>
        <v/>
      </c>
      <c r="AS2190" s="63" t="str">
        <f ca="1">IF($AQ2190&lt;&gt;"", INDEX(Inputs!$B$3:$B$101, MATCH($AQ2190,Inputs!$A$3:$A$101,1)), "")</f>
        <v/>
      </c>
      <c r="AT2190" s="48" t="str">
        <f t="shared" ca="1" si="354"/>
        <v/>
      </c>
      <c r="AU2190" s="3" t="str">
        <f t="shared" ca="1" si="351"/>
        <v/>
      </c>
      <c r="AV2190" s="3" t="str">
        <f t="shared" ca="1" si="352"/>
        <v/>
      </c>
    </row>
    <row r="2191" spans="43:48" x14ac:dyDescent="0.2">
      <c r="AQ2191" s="4" t="str">
        <f t="shared" ca="1" si="353"/>
        <v/>
      </c>
      <c r="AR2191" s="3" t="str">
        <f t="shared" ca="1" si="350"/>
        <v/>
      </c>
      <c r="AS2191" s="63" t="str">
        <f ca="1">IF($AQ2191&lt;&gt;"", INDEX(Inputs!$B$3:$B$101, MATCH($AQ2191,Inputs!$A$3:$A$101,1)), "")</f>
        <v/>
      </c>
      <c r="AT2191" s="48" t="str">
        <f t="shared" ca="1" si="354"/>
        <v/>
      </c>
      <c r="AU2191" s="3" t="str">
        <f t="shared" ca="1" si="351"/>
        <v/>
      </c>
      <c r="AV2191" s="3" t="str">
        <f t="shared" ca="1" si="352"/>
        <v/>
      </c>
    </row>
    <row r="2192" spans="43:48" x14ac:dyDescent="0.2">
      <c r="AQ2192" s="4" t="str">
        <f t="shared" ca="1" si="353"/>
        <v/>
      </c>
      <c r="AR2192" s="3" t="str">
        <f t="shared" ca="1" si="350"/>
        <v/>
      </c>
      <c r="AS2192" s="63" t="str">
        <f ca="1">IF($AQ2192&lt;&gt;"", INDEX(Inputs!$B$3:$B$101, MATCH($AQ2192,Inputs!$A$3:$A$101,1)), "")</f>
        <v/>
      </c>
      <c r="AT2192" s="48" t="str">
        <f t="shared" ca="1" si="354"/>
        <v/>
      </c>
      <c r="AU2192" s="3" t="str">
        <f t="shared" ca="1" si="351"/>
        <v/>
      </c>
      <c r="AV2192" s="3" t="str">
        <f t="shared" ca="1" si="352"/>
        <v/>
      </c>
    </row>
    <row r="2193" spans="43:48" x14ac:dyDescent="0.2">
      <c r="AQ2193" s="4" t="str">
        <f t="shared" ca="1" si="353"/>
        <v/>
      </c>
      <c r="AR2193" s="3" t="str">
        <f t="shared" ca="1" si="350"/>
        <v/>
      </c>
      <c r="AS2193" s="63" t="str">
        <f ca="1">IF($AQ2193&lt;&gt;"", INDEX(Inputs!$B$3:$B$101, MATCH($AQ2193,Inputs!$A$3:$A$101,1)), "")</f>
        <v/>
      </c>
      <c r="AT2193" s="48" t="str">
        <f t="shared" ca="1" si="354"/>
        <v/>
      </c>
      <c r="AU2193" s="3" t="str">
        <f t="shared" ca="1" si="351"/>
        <v/>
      </c>
      <c r="AV2193" s="3" t="str">
        <f t="shared" ca="1" si="352"/>
        <v/>
      </c>
    </row>
    <row r="2194" spans="43:48" x14ac:dyDescent="0.2">
      <c r="AQ2194" s="4" t="str">
        <f t="shared" ca="1" si="353"/>
        <v/>
      </c>
      <c r="AR2194" s="3" t="str">
        <f t="shared" ca="1" si="350"/>
        <v/>
      </c>
      <c r="AS2194" s="63" t="str">
        <f ca="1">IF($AQ2194&lt;&gt;"", INDEX(Inputs!$B$3:$B$101, MATCH($AQ2194,Inputs!$A$3:$A$101,1)), "")</f>
        <v/>
      </c>
      <c r="AT2194" s="48" t="str">
        <f t="shared" ca="1" si="354"/>
        <v/>
      </c>
      <c r="AU2194" s="3" t="str">
        <f t="shared" ca="1" si="351"/>
        <v/>
      </c>
      <c r="AV2194" s="3" t="str">
        <f t="shared" ca="1" si="352"/>
        <v/>
      </c>
    </row>
    <row r="2195" spans="43:48" x14ac:dyDescent="0.2">
      <c r="AQ2195" s="4" t="str">
        <f t="shared" ca="1" si="353"/>
        <v/>
      </c>
      <c r="AR2195" s="3" t="str">
        <f t="shared" ca="1" si="350"/>
        <v/>
      </c>
      <c r="AS2195" s="63" t="str">
        <f ca="1">IF($AQ2195&lt;&gt;"", INDEX(Inputs!$B$3:$B$101, MATCH($AQ2195,Inputs!$A$3:$A$101,1)), "")</f>
        <v/>
      </c>
      <c r="AT2195" s="48" t="str">
        <f t="shared" ca="1" si="354"/>
        <v/>
      </c>
      <c r="AU2195" s="3" t="str">
        <f t="shared" ca="1" si="351"/>
        <v/>
      </c>
      <c r="AV2195" s="3" t="str">
        <f t="shared" ca="1" si="352"/>
        <v/>
      </c>
    </row>
    <row r="2196" spans="43:48" x14ac:dyDescent="0.2">
      <c r="AQ2196" s="4" t="str">
        <f t="shared" ca="1" si="353"/>
        <v/>
      </c>
      <c r="AR2196" s="3" t="str">
        <f t="shared" ca="1" si="350"/>
        <v/>
      </c>
      <c r="AS2196" s="63" t="str">
        <f ca="1">IF($AQ2196&lt;&gt;"", INDEX(Inputs!$B$3:$B$101, MATCH($AQ2196,Inputs!$A$3:$A$101,1)), "")</f>
        <v/>
      </c>
      <c r="AT2196" s="48" t="str">
        <f t="shared" ca="1" si="354"/>
        <v/>
      </c>
      <c r="AU2196" s="3" t="str">
        <f t="shared" ca="1" si="351"/>
        <v/>
      </c>
      <c r="AV2196" s="3" t="str">
        <f t="shared" ca="1" si="352"/>
        <v/>
      </c>
    </row>
    <row r="2197" spans="43:48" x14ac:dyDescent="0.2">
      <c r="AQ2197" s="4" t="str">
        <f t="shared" ca="1" si="353"/>
        <v/>
      </c>
      <c r="AR2197" s="3" t="str">
        <f t="shared" ca="1" si="350"/>
        <v/>
      </c>
      <c r="AS2197" s="63" t="str">
        <f ca="1">IF($AQ2197&lt;&gt;"", INDEX(Inputs!$B$3:$B$101, MATCH($AQ2197,Inputs!$A$3:$A$101,1)), "")</f>
        <v/>
      </c>
      <c r="AT2197" s="48" t="str">
        <f t="shared" ca="1" si="354"/>
        <v/>
      </c>
      <c r="AU2197" s="3" t="str">
        <f t="shared" ca="1" si="351"/>
        <v/>
      </c>
      <c r="AV2197" s="3" t="str">
        <f t="shared" ca="1" si="352"/>
        <v/>
      </c>
    </row>
    <row r="2198" spans="43:48" x14ac:dyDescent="0.2">
      <c r="AQ2198" s="4" t="str">
        <f t="shared" ca="1" si="353"/>
        <v/>
      </c>
      <c r="AR2198" s="3" t="str">
        <f t="shared" ca="1" si="350"/>
        <v/>
      </c>
      <c r="AS2198" s="63" t="str">
        <f ca="1">IF($AQ2198&lt;&gt;"", INDEX(Inputs!$B$3:$B$101, MATCH($AQ2198,Inputs!$A$3:$A$101,1)), "")</f>
        <v/>
      </c>
      <c r="AT2198" s="48" t="str">
        <f t="shared" ca="1" si="354"/>
        <v/>
      </c>
      <c r="AU2198" s="3" t="str">
        <f t="shared" ca="1" si="351"/>
        <v/>
      </c>
      <c r="AV2198" s="3" t="str">
        <f t="shared" ca="1" si="352"/>
        <v/>
      </c>
    </row>
    <row r="2199" spans="43:48" x14ac:dyDescent="0.2">
      <c r="AQ2199" s="4" t="str">
        <f t="shared" ca="1" si="353"/>
        <v/>
      </c>
      <c r="AR2199" s="3" t="str">
        <f t="shared" ca="1" si="350"/>
        <v/>
      </c>
      <c r="AS2199" s="63" t="str">
        <f ca="1">IF($AQ2199&lt;&gt;"", INDEX(Inputs!$B$3:$B$101, MATCH($AQ2199,Inputs!$A$3:$A$101,1)), "")</f>
        <v/>
      </c>
      <c r="AT2199" s="48" t="str">
        <f t="shared" ca="1" si="354"/>
        <v/>
      </c>
      <c r="AU2199" s="3" t="str">
        <f t="shared" ca="1" si="351"/>
        <v/>
      </c>
      <c r="AV2199" s="3" t="str">
        <f t="shared" ca="1" si="352"/>
        <v/>
      </c>
    </row>
    <row r="2200" spans="43:48" x14ac:dyDescent="0.2">
      <c r="AQ2200" s="4" t="str">
        <f t="shared" ca="1" si="353"/>
        <v/>
      </c>
      <c r="AR2200" s="3" t="str">
        <f t="shared" ca="1" si="350"/>
        <v/>
      </c>
      <c r="AS2200" s="63" t="str">
        <f ca="1">IF($AQ2200&lt;&gt;"", INDEX(Inputs!$B$3:$B$101, MATCH($AQ2200,Inputs!$A$3:$A$101,1)), "")</f>
        <v/>
      </c>
      <c r="AT2200" s="48" t="str">
        <f t="shared" ca="1" si="354"/>
        <v/>
      </c>
      <c r="AU2200" s="3" t="str">
        <f t="shared" ca="1" si="351"/>
        <v/>
      </c>
      <c r="AV2200" s="3" t="str">
        <f t="shared" ca="1" si="352"/>
        <v/>
      </c>
    </row>
    <row r="2201" spans="43:48" x14ac:dyDescent="0.2">
      <c r="AQ2201" s="4" t="str">
        <f t="shared" ca="1" si="353"/>
        <v/>
      </c>
      <c r="AR2201" s="3" t="str">
        <f t="shared" ref="AR2201:AR2264" ca="1" si="355">IF($AQ2201&lt;&gt;"", INDEX($AC$3:$AC$1055, MATCH($AQ2201,$A$3:$A$1055,1)), "")</f>
        <v/>
      </c>
      <c r="AS2201" s="63" t="str">
        <f ca="1">IF($AQ2201&lt;&gt;"", INDEX(Inputs!$B$3:$B$101, MATCH($AQ2201,Inputs!$A$3:$A$101,1)), "")</f>
        <v/>
      </c>
      <c r="AT2201" s="48" t="str">
        <f t="shared" ca="1" si="354"/>
        <v/>
      </c>
      <c r="AU2201" s="3" t="str">
        <f t="shared" ref="AU2201:AU2264" ca="1" si="356">IF($AQ2201&lt;&gt;"", SUMIFS($AL$3:$AL$1054, $A$3:$A$1054,$AQ2201) + SUMIFS($M$3:$M$1054, $A$3:$A$1054,$AQ2201)*IFERROR(AVERAGEIFS($L$3:$L$1054, $A$3:$A$1054,$AQ2201, $M$3:$M$1054,"&gt;0"),0) - AT2201, "")</f>
        <v/>
      </c>
      <c r="AV2201" s="3" t="str">
        <f t="shared" ca="1" si="352"/>
        <v/>
      </c>
    </row>
    <row r="2202" spans="43:48" x14ac:dyDescent="0.2">
      <c r="AQ2202" s="4" t="str">
        <f t="shared" ca="1" si="353"/>
        <v/>
      </c>
      <c r="AR2202" s="3" t="str">
        <f t="shared" ca="1" si="355"/>
        <v/>
      </c>
      <c r="AS2202" s="63" t="str">
        <f ca="1">IF($AQ2202&lt;&gt;"", INDEX(Inputs!$B$3:$B$101, MATCH($AQ2202,Inputs!$A$3:$A$101,1)), "")</f>
        <v/>
      </c>
      <c r="AT2202" s="48" t="str">
        <f t="shared" ca="1" si="354"/>
        <v/>
      </c>
      <c r="AU2202" s="3" t="str">
        <f t="shared" ca="1" si="356"/>
        <v/>
      </c>
      <c r="AV2202" s="3" t="str">
        <f t="shared" ca="1" si="352"/>
        <v/>
      </c>
    </row>
    <row r="2203" spans="43:48" x14ac:dyDescent="0.2">
      <c r="AQ2203" s="4" t="str">
        <f t="shared" ca="1" si="353"/>
        <v/>
      </c>
      <c r="AR2203" s="3" t="str">
        <f t="shared" ca="1" si="355"/>
        <v/>
      </c>
      <c r="AS2203" s="63" t="str">
        <f ca="1">IF($AQ2203&lt;&gt;"", INDEX(Inputs!$B$3:$B$101, MATCH($AQ2203,Inputs!$A$3:$A$101,1)), "")</f>
        <v/>
      </c>
      <c r="AT2203" s="48" t="str">
        <f t="shared" ca="1" si="354"/>
        <v/>
      </c>
      <c r="AU2203" s="3" t="str">
        <f t="shared" ca="1" si="356"/>
        <v/>
      </c>
      <c r="AV2203" s="3" t="str">
        <f t="shared" ca="1" si="352"/>
        <v/>
      </c>
    </row>
    <row r="2204" spans="43:48" x14ac:dyDescent="0.2">
      <c r="AQ2204" s="4" t="str">
        <f t="shared" ca="1" si="353"/>
        <v/>
      </c>
      <c r="AR2204" s="3" t="str">
        <f t="shared" ca="1" si="355"/>
        <v/>
      </c>
      <c r="AS2204" s="63" t="str">
        <f ca="1">IF($AQ2204&lt;&gt;"", INDEX(Inputs!$B$3:$B$101, MATCH($AQ2204,Inputs!$A$3:$A$101,1)), "")</f>
        <v/>
      </c>
      <c r="AT2204" s="48" t="str">
        <f t="shared" ca="1" si="354"/>
        <v/>
      </c>
      <c r="AU2204" s="3" t="str">
        <f t="shared" ca="1" si="356"/>
        <v/>
      </c>
      <c r="AV2204" s="3" t="str">
        <f t="shared" ca="1" si="352"/>
        <v/>
      </c>
    </row>
    <row r="2205" spans="43:48" x14ac:dyDescent="0.2">
      <c r="AQ2205" s="4" t="str">
        <f t="shared" ca="1" si="353"/>
        <v/>
      </c>
      <c r="AR2205" s="3" t="str">
        <f t="shared" ca="1" si="355"/>
        <v/>
      </c>
      <c r="AS2205" s="63" t="str">
        <f ca="1">IF($AQ2205&lt;&gt;"", INDEX(Inputs!$B$3:$B$101, MATCH($AQ2205,Inputs!$A$3:$A$101,1)), "")</f>
        <v/>
      </c>
      <c r="AT2205" s="48" t="str">
        <f t="shared" ca="1" si="354"/>
        <v/>
      </c>
      <c r="AU2205" s="3" t="str">
        <f t="shared" ca="1" si="356"/>
        <v/>
      </c>
      <c r="AV2205" s="3" t="str">
        <f t="shared" ca="1" si="352"/>
        <v/>
      </c>
    </row>
    <row r="2206" spans="43:48" x14ac:dyDescent="0.2">
      <c r="AQ2206" s="4" t="str">
        <f t="shared" ca="1" si="353"/>
        <v/>
      </c>
      <c r="AR2206" s="3" t="str">
        <f t="shared" ca="1" si="355"/>
        <v/>
      </c>
      <c r="AS2206" s="63" t="str">
        <f ca="1">IF($AQ2206&lt;&gt;"", INDEX(Inputs!$B$3:$B$101, MATCH($AQ2206,Inputs!$A$3:$A$101,1)), "")</f>
        <v/>
      </c>
      <c r="AT2206" s="48" t="str">
        <f t="shared" ca="1" si="354"/>
        <v/>
      </c>
      <c r="AU2206" s="3" t="str">
        <f t="shared" ca="1" si="356"/>
        <v/>
      </c>
      <c r="AV2206" s="3" t="str">
        <f t="shared" ca="1" si="352"/>
        <v/>
      </c>
    </row>
    <row r="2207" spans="43:48" x14ac:dyDescent="0.2">
      <c r="AQ2207" s="4" t="str">
        <f t="shared" ca="1" si="353"/>
        <v/>
      </c>
      <c r="AR2207" s="3" t="str">
        <f t="shared" ca="1" si="355"/>
        <v/>
      </c>
      <c r="AS2207" s="63" t="str">
        <f ca="1">IF($AQ2207&lt;&gt;"", INDEX(Inputs!$B$3:$B$101, MATCH($AQ2207,Inputs!$A$3:$A$101,1)), "")</f>
        <v/>
      </c>
      <c r="AT2207" s="48" t="str">
        <f t="shared" ca="1" si="354"/>
        <v/>
      </c>
      <c r="AU2207" s="3" t="str">
        <f t="shared" ca="1" si="356"/>
        <v/>
      </c>
      <c r="AV2207" s="3" t="str">
        <f t="shared" ca="1" si="352"/>
        <v/>
      </c>
    </row>
    <row r="2208" spans="43:48" x14ac:dyDescent="0.2">
      <c r="AQ2208" s="4" t="str">
        <f t="shared" ca="1" si="353"/>
        <v/>
      </c>
      <c r="AR2208" s="3" t="str">
        <f t="shared" ca="1" si="355"/>
        <v/>
      </c>
      <c r="AS2208" s="63" t="str">
        <f ca="1">IF($AQ2208&lt;&gt;"", INDEX(Inputs!$B$3:$B$101, MATCH($AQ2208,Inputs!$A$3:$A$101,1)), "")</f>
        <v/>
      </c>
      <c r="AT2208" s="48" t="str">
        <f t="shared" ca="1" si="354"/>
        <v/>
      </c>
      <c r="AU2208" s="3" t="str">
        <f t="shared" ca="1" si="356"/>
        <v/>
      </c>
      <c r="AV2208" s="3" t="str">
        <f t="shared" ref="AV2208:AV2271" ca="1" si="357">IF(AQ2208&lt;&gt;"", AU2208*(1+$X$9/CompoundingRate)^-((AQ2208-AQ$3)/(365/CompoundingRate)), "")</f>
        <v/>
      </c>
    </row>
    <row r="2209" spans="43:48" x14ac:dyDescent="0.2">
      <c r="AQ2209" s="4" t="str">
        <f t="shared" ca="1" si="353"/>
        <v/>
      </c>
      <c r="AR2209" s="3" t="str">
        <f t="shared" ca="1" si="355"/>
        <v/>
      </c>
      <c r="AS2209" s="63" t="str">
        <f ca="1">IF($AQ2209&lt;&gt;"", INDEX(Inputs!$B$3:$B$101, MATCH($AQ2209,Inputs!$A$3:$A$101,1)), "")</f>
        <v/>
      </c>
      <c r="AT2209" s="48" t="str">
        <f t="shared" ca="1" si="354"/>
        <v/>
      </c>
      <c r="AU2209" s="3" t="str">
        <f t="shared" ca="1" si="356"/>
        <v/>
      </c>
      <c r="AV2209" s="3" t="str">
        <f t="shared" ca="1" si="357"/>
        <v/>
      </c>
    </row>
    <row r="2210" spans="43:48" x14ac:dyDescent="0.2">
      <c r="AQ2210" s="4" t="str">
        <f t="shared" ca="1" si="353"/>
        <v/>
      </c>
      <c r="AR2210" s="3" t="str">
        <f t="shared" ca="1" si="355"/>
        <v/>
      </c>
      <c r="AS2210" s="63" t="str">
        <f ca="1">IF($AQ2210&lt;&gt;"", INDEX(Inputs!$B$3:$B$101, MATCH($AQ2210,Inputs!$A$3:$A$101,1)), "")</f>
        <v/>
      </c>
      <c r="AT2210" s="48" t="str">
        <f t="shared" ca="1" si="354"/>
        <v/>
      </c>
      <c r="AU2210" s="3" t="str">
        <f t="shared" ca="1" si="356"/>
        <v/>
      </c>
      <c r="AV2210" s="3" t="str">
        <f t="shared" ca="1" si="357"/>
        <v/>
      </c>
    </row>
    <row r="2211" spans="43:48" x14ac:dyDescent="0.2">
      <c r="AQ2211" s="4" t="str">
        <f t="shared" ca="1" si="353"/>
        <v/>
      </c>
      <c r="AR2211" s="3" t="str">
        <f t="shared" ca="1" si="355"/>
        <v/>
      </c>
      <c r="AS2211" s="63" t="str">
        <f ca="1">IF($AQ2211&lt;&gt;"", INDEX(Inputs!$B$3:$B$101, MATCH($AQ2211,Inputs!$A$3:$A$101,1)), "")</f>
        <v/>
      </c>
      <c r="AT2211" s="48" t="str">
        <f t="shared" ca="1" si="354"/>
        <v/>
      </c>
      <c r="AU2211" s="3" t="str">
        <f t="shared" ca="1" si="356"/>
        <v/>
      </c>
      <c r="AV2211" s="3" t="str">
        <f t="shared" ca="1" si="357"/>
        <v/>
      </c>
    </row>
    <row r="2212" spans="43:48" x14ac:dyDescent="0.2">
      <c r="AQ2212" s="4" t="str">
        <f t="shared" ca="1" si="353"/>
        <v/>
      </c>
      <c r="AR2212" s="3" t="str">
        <f t="shared" ca="1" si="355"/>
        <v/>
      </c>
      <c r="AS2212" s="63" t="str">
        <f ca="1">IF($AQ2212&lt;&gt;"", INDEX(Inputs!$B$3:$B$101, MATCH($AQ2212,Inputs!$A$3:$A$101,1)), "")</f>
        <v/>
      </c>
      <c r="AT2212" s="48" t="str">
        <f t="shared" ca="1" si="354"/>
        <v/>
      </c>
      <c r="AU2212" s="3" t="str">
        <f t="shared" ca="1" si="356"/>
        <v/>
      </c>
      <c r="AV2212" s="3" t="str">
        <f t="shared" ca="1" si="357"/>
        <v/>
      </c>
    </row>
    <row r="2213" spans="43:48" x14ac:dyDescent="0.2">
      <c r="AQ2213" s="4" t="str">
        <f t="shared" ca="1" si="353"/>
        <v/>
      </c>
      <c r="AR2213" s="3" t="str">
        <f t="shared" ca="1" si="355"/>
        <v/>
      </c>
      <c r="AS2213" s="63" t="str">
        <f ca="1">IF($AQ2213&lt;&gt;"", INDEX(Inputs!$B$3:$B$101, MATCH($AQ2213,Inputs!$A$3:$A$101,1)), "")</f>
        <v/>
      </c>
      <c r="AT2213" s="48" t="str">
        <f t="shared" ca="1" si="354"/>
        <v/>
      </c>
      <c r="AU2213" s="3" t="str">
        <f t="shared" ca="1" si="356"/>
        <v/>
      </c>
      <c r="AV2213" s="3" t="str">
        <f t="shared" ca="1" si="357"/>
        <v/>
      </c>
    </row>
    <row r="2214" spans="43:48" x14ac:dyDescent="0.2">
      <c r="AQ2214" s="4" t="str">
        <f t="shared" ca="1" si="353"/>
        <v/>
      </c>
      <c r="AR2214" s="3" t="str">
        <f t="shared" ca="1" si="355"/>
        <v/>
      </c>
      <c r="AS2214" s="63" t="str">
        <f ca="1">IF($AQ2214&lt;&gt;"", INDEX(Inputs!$B$3:$B$101, MATCH($AQ2214,Inputs!$A$3:$A$101,1)), "")</f>
        <v/>
      </c>
      <c r="AT2214" s="48" t="str">
        <f t="shared" ca="1" si="354"/>
        <v/>
      </c>
      <c r="AU2214" s="3" t="str">
        <f t="shared" ca="1" si="356"/>
        <v/>
      </c>
      <c r="AV2214" s="3" t="str">
        <f t="shared" ca="1" si="357"/>
        <v/>
      </c>
    </row>
    <row r="2215" spans="43:48" x14ac:dyDescent="0.2">
      <c r="AQ2215" s="4" t="str">
        <f t="shared" ca="1" si="353"/>
        <v/>
      </c>
      <c r="AR2215" s="3" t="str">
        <f t="shared" ca="1" si="355"/>
        <v/>
      </c>
      <c r="AS2215" s="63" t="str">
        <f ca="1">IF($AQ2215&lt;&gt;"", INDEX(Inputs!$B$3:$B$101, MATCH($AQ2215,Inputs!$A$3:$A$101,1)), "")</f>
        <v/>
      </c>
      <c r="AT2215" s="48" t="str">
        <f t="shared" ca="1" si="354"/>
        <v/>
      </c>
      <c r="AU2215" s="3" t="str">
        <f t="shared" ca="1" si="356"/>
        <v/>
      </c>
      <c r="AV2215" s="3" t="str">
        <f t="shared" ca="1" si="357"/>
        <v/>
      </c>
    </row>
    <row r="2216" spans="43:48" x14ac:dyDescent="0.2">
      <c r="AQ2216" s="4" t="str">
        <f t="shared" ca="1" si="353"/>
        <v/>
      </c>
      <c r="AR2216" s="3" t="str">
        <f t="shared" ca="1" si="355"/>
        <v/>
      </c>
      <c r="AS2216" s="63" t="str">
        <f ca="1">IF($AQ2216&lt;&gt;"", INDEX(Inputs!$B$3:$B$101, MATCH($AQ2216,Inputs!$A$3:$A$101,1)), "")</f>
        <v/>
      </c>
      <c r="AT2216" s="48" t="str">
        <f t="shared" ca="1" si="354"/>
        <v/>
      </c>
      <c r="AU2216" s="3" t="str">
        <f t="shared" ca="1" si="356"/>
        <v/>
      </c>
      <c r="AV2216" s="3" t="str">
        <f t="shared" ca="1" si="357"/>
        <v/>
      </c>
    </row>
    <row r="2217" spans="43:48" x14ac:dyDescent="0.2">
      <c r="AQ2217" s="4" t="str">
        <f t="shared" ca="1" si="353"/>
        <v/>
      </c>
      <c r="AR2217" s="3" t="str">
        <f t="shared" ca="1" si="355"/>
        <v/>
      </c>
      <c r="AS2217" s="63" t="str">
        <f ca="1">IF($AQ2217&lt;&gt;"", INDEX(Inputs!$B$3:$B$101, MATCH($AQ2217,Inputs!$A$3:$A$101,1)), "")</f>
        <v/>
      </c>
      <c r="AT2217" s="48" t="str">
        <f t="shared" ca="1" si="354"/>
        <v/>
      </c>
      <c r="AU2217" s="3" t="str">
        <f t="shared" ca="1" si="356"/>
        <v/>
      </c>
      <c r="AV2217" s="3" t="str">
        <f t="shared" ca="1" si="357"/>
        <v/>
      </c>
    </row>
    <row r="2218" spans="43:48" x14ac:dyDescent="0.2">
      <c r="AQ2218" s="4" t="str">
        <f t="shared" ca="1" si="353"/>
        <v/>
      </c>
      <c r="AR2218" s="3" t="str">
        <f t="shared" ca="1" si="355"/>
        <v/>
      </c>
      <c r="AS2218" s="63" t="str">
        <f ca="1">IF($AQ2218&lt;&gt;"", INDEX(Inputs!$B$3:$B$101, MATCH($AQ2218,Inputs!$A$3:$A$101,1)), "")</f>
        <v/>
      </c>
      <c r="AT2218" s="48" t="str">
        <f t="shared" ca="1" si="354"/>
        <v/>
      </c>
      <c r="AU2218" s="3" t="str">
        <f t="shared" ca="1" si="356"/>
        <v/>
      </c>
      <c r="AV2218" s="3" t="str">
        <f t="shared" ca="1" si="357"/>
        <v/>
      </c>
    </row>
    <row r="2219" spans="43:48" x14ac:dyDescent="0.2">
      <c r="AQ2219" s="4" t="str">
        <f t="shared" ca="1" si="353"/>
        <v/>
      </c>
      <c r="AR2219" s="3" t="str">
        <f t="shared" ca="1" si="355"/>
        <v/>
      </c>
      <c r="AS2219" s="63" t="str">
        <f ca="1">IF($AQ2219&lt;&gt;"", INDEX(Inputs!$B$3:$B$101, MATCH($AQ2219,Inputs!$A$3:$A$101,1)), "")</f>
        <v/>
      </c>
      <c r="AT2219" s="48" t="str">
        <f t="shared" ca="1" si="354"/>
        <v/>
      </c>
      <c r="AU2219" s="3" t="str">
        <f t="shared" ca="1" si="356"/>
        <v/>
      </c>
      <c r="AV2219" s="3" t="str">
        <f t="shared" ca="1" si="357"/>
        <v/>
      </c>
    </row>
    <row r="2220" spans="43:48" x14ac:dyDescent="0.2">
      <c r="AQ2220" s="4" t="str">
        <f t="shared" ca="1" si="353"/>
        <v/>
      </c>
      <c r="AR2220" s="3" t="str">
        <f t="shared" ca="1" si="355"/>
        <v/>
      </c>
      <c r="AS2220" s="63" t="str">
        <f ca="1">IF($AQ2220&lt;&gt;"", INDEX(Inputs!$B$3:$B$101, MATCH($AQ2220,Inputs!$A$3:$A$101,1)), "")</f>
        <v/>
      </c>
      <c r="AT2220" s="48" t="str">
        <f t="shared" ca="1" si="354"/>
        <v/>
      </c>
      <c r="AU2220" s="3" t="str">
        <f t="shared" ca="1" si="356"/>
        <v/>
      </c>
      <c r="AV2220" s="3" t="str">
        <f t="shared" ca="1" si="357"/>
        <v/>
      </c>
    </row>
    <row r="2221" spans="43:48" x14ac:dyDescent="0.2">
      <c r="AQ2221" s="4" t="str">
        <f t="shared" ca="1" si="353"/>
        <v/>
      </c>
      <c r="AR2221" s="3" t="str">
        <f t="shared" ca="1" si="355"/>
        <v/>
      </c>
      <c r="AS2221" s="63" t="str">
        <f ca="1">IF($AQ2221&lt;&gt;"", INDEX(Inputs!$B$3:$B$101, MATCH($AQ2221,Inputs!$A$3:$A$101,1)), "")</f>
        <v/>
      </c>
      <c r="AT2221" s="48" t="str">
        <f t="shared" ca="1" si="354"/>
        <v/>
      </c>
      <c r="AU2221" s="3" t="str">
        <f t="shared" ca="1" si="356"/>
        <v/>
      </c>
      <c r="AV2221" s="3" t="str">
        <f t="shared" ca="1" si="357"/>
        <v/>
      </c>
    </row>
    <row r="2222" spans="43:48" x14ac:dyDescent="0.2">
      <c r="AQ2222" s="4" t="str">
        <f t="shared" ca="1" si="353"/>
        <v/>
      </c>
      <c r="AR2222" s="3" t="str">
        <f t="shared" ca="1" si="355"/>
        <v/>
      </c>
      <c r="AS2222" s="63" t="str">
        <f ca="1">IF($AQ2222&lt;&gt;"", INDEX(Inputs!$B$3:$B$101, MATCH($AQ2222,Inputs!$A$3:$A$101,1)), "")</f>
        <v/>
      </c>
      <c r="AT2222" s="48" t="str">
        <f t="shared" ca="1" si="354"/>
        <v/>
      </c>
      <c r="AU2222" s="3" t="str">
        <f t="shared" ca="1" si="356"/>
        <v/>
      </c>
      <c r="AV2222" s="3" t="str">
        <f t="shared" ca="1" si="357"/>
        <v/>
      </c>
    </row>
    <row r="2223" spans="43:48" x14ac:dyDescent="0.2">
      <c r="AQ2223" s="4" t="str">
        <f t="shared" ca="1" si="353"/>
        <v/>
      </c>
      <c r="AR2223" s="3" t="str">
        <f t="shared" ca="1" si="355"/>
        <v/>
      </c>
      <c r="AS2223" s="63" t="str">
        <f ca="1">IF($AQ2223&lt;&gt;"", INDEX(Inputs!$B$3:$B$101, MATCH($AQ2223,Inputs!$A$3:$A$101,1)), "")</f>
        <v/>
      </c>
      <c r="AT2223" s="48" t="str">
        <f t="shared" ca="1" si="354"/>
        <v/>
      </c>
      <c r="AU2223" s="3" t="str">
        <f t="shared" ca="1" si="356"/>
        <v/>
      </c>
      <c r="AV2223" s="3" t="str">
        <f t="shared" ca="1" si="357"/>
        <v/>
      </c>
    </row>
    <row r="2224" spans="43:48" x14ac:dyDescent="0.2">
      <c r="AQ2224" s="4" t="str">
        <f t="shared" ca="1" si="353"/>
        <v/>
      </c>
      <c r="AR2224" s="3" t="str">
        <f t="shared" ca="1" si="355"/>
        <v/>
      </c>
      <c r="AS2224" s="63" t="str">
        <f ca="1">IF($AQ2224&lt;&gt;"", INDEX(Inputs!$B$3:$B$101, MATCH($AQ2224,Inputs!$A$3:$A$101,1)), "")</f>
        <v/>
      </c>
      <c r="AT2224" s="48" t="str">
        <f t="shared" ca="1" si="354"/>
        <v/>
      </c>
      <c r="AU2224" s="3" t="str">
        <f t="shared" ca="1" si="356"/>
        <v/>
      </c>
      <c r="AV2224" s="3" t="str">
        <f t="shared" ca="1" si="357"/>
        <v/>
      </c>
    </row>
    <row r="2225" spans="43:48" x14ac:dyDescent="0.2">
      <c r="AQ2225" s="4" t="str">
        <f t="shared" ca="1" si="353"/>
        <v/>
      </c>
      <c r="AR2225" s="3" t="str">
        <f t="shared" ca="1" si="355"/>
        <v/>
      </c>
      <c r="AS2225" s="63" t="str">
        <f ca="1">IF($AQ2225&lt;&gt;"", INDEX(Inputs!$B$3:$B$101, MATCH($AQ2225,Inputs!$A$3:$A$101,1)), "")</f>
        <v/>
      </c>
      <c r="AT2225" s="48" t="str">
        <f t="shared" ca="1" si="354"/>
        <v/>
      </c>
      <c r="AU2225" s="3" t="str">
        <f t="shared" ca="1" si="356"/>
        <v/>
      </c>
      <c r="AV2225" s="3" t="str">
        <f t="shared" ca="1" si="357"/>
        <v/>
      </c>
    </row>
    <row r="2226" spans="43:48" x14ac:dyDescent="0.2">
      <c r="AQ2226" s="4" t="str">
        <f t="shared" ca="1" si="353"/>
        <v/>
      </c>
      <c r="AR2226" s="3" t="str">
        <f t="shared" ca="1" si="355"/>
        <v/>
      </c>
      <c r="AS2226" s="63" t="str">
        <f ca="1">IF($AQ2226&lt;&gt;"", INDEX(Inputs!$B$3:$B$101, MATCH($AQ2226,Inputs!$A$3:$A$101,1)), "")</f>
        <v/>
      </c>
      <c r="AT2226" s="48" t="str">
        <f t="shared" ca="1" si="354"/>
        <v/>
      </c>
      <c r="AU2226" s="3" t="str">
        <f t="shared" ca="1" si="356"/>
        <v/>
      </c>
      <c r="AV2226" s="3" t="str">
        <f t="shared" ca="1" si="357"/>
        <v/>
      </c>
    </row>
    <row r="2227" spans="43:48" x14ac:dyDescent="0.2">
      <c r="AQ2227" s="4" t="str">
        <f t="shared" ca="1" si="353"/>
        <v/>
      </c>
      <c r="AR2227" s="3" t="str">
        <f t="shared" ca="1" si="355"/>
        <v/>
      </c>
      <c r="AS2227" s="63" t="str">
        <f ca="1">IF($AQ2227&lt;&gt;"", INDEX(Inputs!$B$3:$B$101, MATCH($AQ2227,Inputs!$A$3:$A$101,1)), "")</f>
        <v/>
      </c>
      <c r="AT2227" s="48" t="str">
        <f t="shared" ca="1" si="354"/>
        <v/>
      </c>
      <c r="AU2227" s="3" t="str">
        <f t="shared" ca="1" si="356"/>
        <v/>
      </c>
      <c r="AV2227" s="3" t="str">
        <f t="shared" ca="1" si="357"/>
        <v/>
      </c>
    </row>
    <row r="2228" spans="43:48" x14ac:dyDescent="0.2">
      <c r="AQ2228" s="4" t="str">
        <f t="shared" ca="1" si="353"/>
        <v/>
      </c>
      <c r="AR2228" s="3" t="str">
        <f t="shared" ca="1" si="355"/>
        <v/>
      </c>
      <c r="AS2228" s="63" t="str">
        <f ca="1">IF($AQ2228&lt;&gt;"", INDEX(Inputs!$B$3:$B$101, MATCH($AQ2228,Inputs!$A$3:$A$101,1)), "")</f>
        <v/>
      </c>
      <c r="AT2228" s="48" t="str">
        <f t="shared" ca="1" si="354"/>
        <v/>
      </c>
      <c r="AU2228" s="3" t="str">
        <f t="shared" ca="1" si="356"/>
        <v/>
      </c>
      <c r="AV2228" s="3" t="str">
        <f t="shared" ca="1" si="357"/>
        <v/>
      </c>
    </row>
    <row r="2229" spans="43:48" x14ac:dyDescent="0.2">
      <c r="AQ2229" s="4" t="str">
        <f t="shared" ca="1" si="353"/>
        <v/>
      </c>
      <c r="AR2229" s="3" t="str">
        <f t="shared" ca="1" si="355"/>
        <v/>
      </c>
      <c r="AS2229" s="63" t="str">
        <f ca="1">IF($AQ2229&lt;&gt;"", INDEX(Inputs!$B$3:$B$101, MATCH($AQ2229,Inputs!$A$3:$A$101,1)), "")</f>
        <v/>
      </c>
      <c r="AT2229" s="48" t="str">
        <f t="shared" ca="1" si="354"/>
        <v/>
      </c>
      <c r="AU2229" s="3" t="str">
        <f t="shared" ca="1" si="356"/>
        <v/>
      </c>
      <c r="AV2229" s="3" t="str">
        <f t="shared" ca="1" si="357"/>
        <v/>
      </c>
    </row>
    <row r="2230" spans="43:48" x14ac:dyDescent="0.2">
      <c r="AQ2230" s="4" t="str">
        <f t="shared" ca="1" si="353"/>
        <v/>
      </c>
      <c r="AR2230" s="3" t="str">
        <f t="shared" ca="1" si="355"/>
        <v/>
      </c>
      <c r="AS2230" s="63" t="str">
        <f ca="1">IF($AQ2230&lt;&gt;"", INDEX(Inputs!$B$3:$B$101, MATCH($AQ2230,Inputs!$A$3:$A$101,1)), "")</f>
        <v/>
      </c>
      <c r="AT2230" s="48" t="str">
        <f t="shared" ca="1" si="354"/>
        <v/>
      </c>
      <c r="AU2230" s="3" t="str">
        <f t="shared" ca="1" si="356"/>
        <v/>
      </c>
      <c r="AV2230" s="3" t="str">
        <f t="shared" ca="1" si="357"/>
        <v/>
      </c>
    </row>
    <row r="2231" spans="43:48" x14ac:dyDescent="0.2">
      <c r="AQ2231" s="4" t="str">
        <f t="shared" ca="1" si="353"/>
        <v/>
      </c>
      <c r="AR2231" s="3" t="str">
        <f t="shared" ca="1" si="355"/>
        <v/>
      </c>
      <c r="AS2231" s="63" t="str">
        <f ca="1">IF($AQ2231&lt;&gt;"", INDEX(Inputs!$B$3:$B$101, MATCH($AQ2231,Inputs!$A$3:$A$101,1)), "")</f>
        <v/>
      </c>
      <c r="AT2231" s="48" t="str">
        <f t="shared" ca="1" si="354"/>
        <v/>
      </c>
      <c r="AU2231" s="3" t="str">
        <f t="shared" ca="1" si="356"/>
        <v/>
      </c>
      <c r="AV2231" s="3" t="str">
        <f t="shared" ca="1" si="357"/>
        <v/>
      </c>
    </row>
    <row r="2232" spans="43:48" x14ac:dyDescent="0.2">
      <c r="AQ2232" s="4" t="str">
        <f t="shared" ca="1" si="353"/>
        <v/>
      </c>
      <c r="AR2232" s="3" t="str">
        <f t="shared" ca="1" si="355"/>
        <v/>
      </c>
      <c r="AS2232" s="63" t="str">
        <f ca="1">IF($AQ2232&lt;&gt;"", INDEX(Inputs!$B$3:$B$101, MATCH($AQ2232,Inputs!$A$3:$A$101,1)), "")</f>
        <v/>
      </c>
      <c r="AT2232" s="48" t="str">
        <f t="shared" ca="1" si="354"/>
        <v/>
      </c>
      <c r="AU2232" s="3" t="str">
        <f t="shared" ca="1" si="356"/>
        <v/>
      </c>
      <c r="AV2232" s="3" t="str">
        <f t="shared" ca="1" si="357"/>
        <v/>
      </c>
    </row>
    <row r="2233" spans="43:48" x14ac:dyDescent="0.2">
      <c r="AQ2233" s="4" t="str">
        <f t="shared" ref="AQ2233:AQ2296" ca="1" si="358">IF(AQ2232&lt;$AP$3,AQ2232+1,"")</f>
        <v/>
      </c>
      <c r="AR2233" s="3" t="str">
        <f t="shared" ca="1" si="355"/>
        <v/>
      </c>
      <c r="AS2233" s="63" t="str">
        <f ca="1">IF($AQ2233&lt;&gt;"", INDEX(Inputs!$B$3:$B$101, MATCH($AQ2233,Inputs!$A$3:$A$101,1)), "")</f>
        <v/>
      </c>
      <c r="AT2233" s="48" t="str">
        <f t="shared" ref="AT2233:AT2296" ca="1" si="359">IF($AQ2233&lt;&gt;"", AR2233*AS2233/365, "")</f>
        <v/>
      </c>
      <c r="AU2233" s="3" t="str">
        <f t="shared" ca="1" si="356"/>
        <v/>
      </c>
      <c r="AV2233" s="3" t="str">
        <f t="shared" ca="1" si="357"/>
        <v/>
      </c>
    </row>
    <row r="2234" spans="43:48" x14ac:dyDescent="0.2">
      <c r="AQ2234" s="4" t="str">
        <f t="shared" ca="1" si="358"/>
        <v/>
      </c>
      <c r="AR2234" s="3" t="str">
        <f t="shared" ca="1" si="355"/>
        <v/>
      </c>
      <c r="AS2234" s="63" t="str">
        <f ca="1">IF($AQ2234&lt;&gt;"", INDEX(Inputs!$B$3:$B$101, MATCH($AQ2234,Inputs!$A$3:$A$101,1)), "")</f>
        <v/>
      </c>
      <c r="AT2234" s="48" t="str">
        <f t="shared" ca="1" si="359"/>
        <v/>
      </c>
      <c r="AU2234" s="3" t="str">
        <f t="shared" ca="1" si="356"/>
        <v/>
      </c>
      <c r="AV2234" s="3" t="str">
        <f t="shared" ca="1" si="357"/>
        <v/>
      </c>
    </row>
    <row r="2235" spans="43:48" x14ac:dyDescent="0.2">
      <c r="AQ2235" s="4" t="str">
        <f t="shared" ca="1" si="358"/>
        <v/>
      </c>
      <c r="AR2235" s="3" t="str">
        <f t="shared" ca="1" si="355"/>
        <v/>
      </c>
      <c r="AS2235" s="63" t="str">
        <f ca="1">IF($AQ2235&lt;&gt;"", INDEX(Inputs!$B$3:$B$101, MATCH($AQ2235,Inputs!$A$3:$A$101,1)), "")</f>
        <v/>
      </c>
      <c r="AT2235" s="48" t="str">
        <f t="shared" ca="1" si="359"/>
        <v/>
      </c>
      <c r="AU2235" s="3" t="str">
        <f t="shared" ca="1" si="356"/>
        <v/>
      </c>
      <c r="AV2235" s="3" t="str">
        <f t="shared" ca="1" si="357"/>
        <v/>
      </c>
    </row>
    <row r="2236" spans="43:48" x14ac:dyDescent="0.2">
      <c r="AQ2236" s="4" t="str">
        <f t="shared" ca="1" si="358"/>
        <v/>
      </c>
      <c r="AR2236" s="3" t="str">
        <f t="shared" ca="1" si="355"/>
        <v/>
      </c>
      <c r="AS2236" s="63" t="str">
        <f ca="1">IF($AQ2236&lt;&gt;"", INDEX(Inputs!$B$3:$B$101, MATCH($AQ2236,Inputs!$A$3:$A$101,1)), "")</f>
        <v/>
      </c>
      <c r="AT2236" s="48" t="str">
        <f t="shared" ca="1" si="359"/>
        <v/>
      </c>
      <c r="AU2236" s="3" t="str">
        <f t="shared" ca="1" si="356"/>
        <v/>
      </c>
      <c r="AV2236" s="3" t="str">
        <f t="shared" ca="1" si="357"/>
        <v/>
      </c>
    </row>
    <row r="2237" spans="43:48" x14ac:dyDescent="0.2">
      <c r="AQ2237" s="4" t="str">
        <f t="shared" ca="1" si="358"/>
        <v/>
      </c>
      <c r="AR2237" s="3" t="str">
        <f t="shared" ca="1" si="355"/>
        <v/>
      </c>
      <c r="AS2237" s="63" t="str">
        <f ca="1">IF($AQ2237&lt;&gt;"", INDEX(Inputs!$B$3:$B$101, MATCH($AQ2237,Inputs!$A$3:$A$101,1)), "")</f>
        <v/>
      </c>
      <c r="AT2237" s="48" t="str">
        <f t="shared" ca="1" si="359"/>
        <v/>
      </c>
      <c r="AU2237" s="3" t="str">
        <f t="shared" ca="1" si="356"/>
        <v/>
      </c>
      <c r="AV2237" s="3" t="str">
        <f t="shared" ca="1" si="357"/>
        <v/>
      </c>
    </row>
    <row r="2238" spans="43:48" x14ac:dyDescent="0.2">
      <c r="AQ2238" s="4" t="str">
        <f t="shared" ca="1" si="358"/>
        <v/>
      </c>
      <c r="AR2238" s="3" t="str">
        <f t="shared" ca="1" si="355"/>
        <v/>
      </c>
      <c r="AS2238" s="63" t="str">
        <f ca="1">IF($AQ2238&lt;&gt;"", INDEX(Inputs!$B$3:$B$101, MATCH($AQ2238,Inputs!$A$3:$A$101,1)), "")</f>
        <v/>
      </c>
      <c r="AT2238" s="48" t="str">
        <f t="shared" ca="1" si="359"/>
        <v/>
      </c>
      <c r="AU2238" s="3" t="str">
        <f t="shared" ca="1" si="356"/>
        <v/>
      </c>
      <c r="AV2238" s="3" t="str">
        <f t="shared" ca="1" si="357"/>
        <v/>
      </c>
    </row>
    <row r="2239" spans="43:48" x14ac:dyDescent="0.2">
      <c r="AQ2239" s="4" t="str">
        <f t="shared" ca="1" si="358"/>
        <v/>
      </c>
      <c r="AR2239" s="3" t="str">
        <f t="shared" ca="1" si="355"/>
        <v/>
      </c>
      <c r="AS2239" s="63" t="str">
        <f ca="1">IF($AQ2239&lt;&gt;"", INDEX(Inputs!$B$3:$B$101, MATCH($AQ2239,Inputs!$A$3:$A$101,1)), "")</f>
        <v/>
      </c>
      <c r="AT2239" s="48" t="str">
        <f t="shared" ca="1" si="359"/>
        <v/>
      </c>
      <c r="AU2239" s="3" t="str">
        <f t="shared" ca="1" si="356"/>
        <v/>
      </c>
      <c r="AV2239" s="3" t="str">
        <f t="shared" ca="1" si="357"/>
        <v/>
      </c>
    </row>
    <row r="2240" spans="43:48" x14ac:dyDescent="0.2">
      <c r="AQ2240" s="4" t="str">
        <f t="shared" ca="1" si="358"/>
        <v/>
      </c>
      <c r="AR2240" s="3" t="str">
        <f t="shared" ca="1" si="355"/>
        <v/>
      </c>
      <c r="AS2240" s="63" t="str">
        <f ca="1">IF($AQ2240&lt;&gt;"", INDEX(Inputs!$B$3:$B$101, MATCH($AQ2240,Inputs!$A$3:$A$101,1)), "")</f>
        <v/>
      </c>
      <c r="AT2240" s="48" t="str">
        <f t="shared" ca="1" si="359"/>
        <v/>
      </c>
      <c r="AU2240" s="3" t="str">
        <f t="shared" ca="1" si="356"/>
        <v/>
      </c>
      <c r="AV2240" s="3" t="str">
        <f t="shared" ca="1" si="357"/>
        <v/>
      </c>
    </row>
    <row r="2241" spans="43:48" x14ac:dyDescent="0.2">
      <c r="AQ2241" s="4" t="str">
        <f t="shared" ca="1" si="358"/>
        <v/>
      </c>
      <c r="AR2241" s="3" t="str">
        <f t="shared" ca="1" si="355"/>
        <v/>
      </c>
      <c r="AS2241" s="63" t="str">
        <f ca="1">IF($AQ2241&lt;&gt;"", INDEX(Inputs!$B$3:$B$101, MATCH($AQ2241,Inputs!$A$3:$A$101,1)), "")</f>
        <v/>
      </c>
      <c r="AT2241" s="48" t="str">
        <f t="shared" ca="1" si="359"/>
        <v/>
      </c>
      <c r="AU2241" s="3" t="str">
        <f t="shared" ca="1" si="356"/>
        <v/>
      </c>
      <c r="AV2241" s="3" t="str">
        <f t="shared" ca="1" si="357"/>
        <v/>
      </c>
    </row>
    <row r="2242" spans="43:48" x14ac:dyDescent="0.2">
      <c r="AQ2242" s="4" t="str">
        <f t="shared" ca="1" si="358"/>
        <v/>
      </c>
      <c r="AR2242" s="3" t="str">
        <f t="shared" ca="1" si="355"/>
        <v/>
      </c>
      <c r="AS2242" s="63" t="str">
        <f ca="1">IF($AQ2242&lt;&gt;"", INDEX(Inputs!$B$3:$B$101, MATCH($AQ2242,Inputs!$A$3:$A$101,1)), "")</f>
        <v/>
      </c>
      <c r="AT2242" s="48" t="str">
        <f t="shared" ca="1" si="359"/>
        <v/>
      </c>
      <c r="AU2242" s="3" t="str">
        <f t="shared" ca="1" si="356"/>
        <v/>
      </c>
      <c r="AV2242" s="3" t="str">
        <f t="shared" ca="1" si="357"/>
        <v/>
      </c>
    </row>
    <row r="2243" spans="43:48" x14ac:dyDescent="0.2">
      <c r="AQ2243" s="4" t="str">
        <f t="shared" ca="1" si="358"/>
        <v/>
      </c>
      <c r="AR2243" s="3" t="str">
        <f t="shared" ca="1" si="355"/>
        <v/>
      </c>
      <c r="AS2243" s="63" t="str">
        <f ca="1">IF($AQ2243&lt;&gt;"", INDEX(Inputs!$B$3:$B$101, MATCH($AQ2243,Inputs!$A$3:$A$101,1)), "")</f>
        <v/>
      </c>
      <c r="AT2243" s="48" t="str">
        <f t="shared" ca="1" si="359"/>
        <v/>
      </c>
      <c r="AU2243" s="3" t="str">
        <f t="shared" ca="1" si="356"/>
        <v/>
      </c>
      <c r="AV2243" s="3" t="str">
        <f t="shared" ca="1" si="357"/>
        <v/>
      </c>
    </row>
    <row r="2244" spans="43:48" x14ac:dyDescent="0.2">
      <c r="AQ2244" s="4" t="str">
        <f t="shared" ca="1" si="358"/>
        <v/>
      </c>
      <c r="AR2244" s="3" t="str">
        <f t="shared" ca="1" si="355"/>
        <v/>
      </c>
      <c r="AS2244" s="63" t="str">
        <f ca="1">IF($AQ2244&lt;&gt;"", INDEX(Inputs!$B$3:$B$101, MATCH($AQ2244,Inputs!$A$3:$A$101,1)), "")</f>
        <v/>
      </c>
      <c r="AT2244" s="48" t="str">
        <f t="shared" ca="1" si="359"/>
        <v/>
      </c>
      <c r="AU2244" s="3" t="str">
        <f t="shared" ca="1" si="356"/>
        <v/>
      </c>
      <c r="AV2244" s="3" t="str">
        <f t="shared" ca="1" si="357"/>
        <v/>
      </c>
    </row>
    <row r="2245" spans="43:48" x14ac:dyDescent="0.2">
      <c r="AQ2245" s="4" t="str">
        <f t="shared" ca="1" si="358"/>
        <v/>
      </c>
      <c r="AR2245" s="3" t="str">
        <f t="shared" ca="1" si="355"/>
        <v/>
      </c>
      <c r="AS2245" s="63" t="str">
        <f ca="1">IF($AQ2245&lt;&gt;"", INDEX(Inputs!$B$3:$B$101, MATCH($AQ2245,Inputs!$A$3:$A$101,1)), "")</f>
        <v/>
      </c>
      <c r="AT2245" s="48" t="str">
        <f t="shared" ca="1" si="359"/>
        <v/>
      </c>
      <c r="AU2245" s="3" t="str">
        <f t="shared" ca="1" si="356"/>
        <v/>
      </c>
      <c r="AV2245" s="3" t="str">
        <f t="shared" ca="1" si="357"/>
        <v/>
      </c>
    </row>
    <row r="2246" spans="43:48" x14ac:dyDescent="0.2">
      <c r="AQ2246" s="4" t="str">
        <f t="shared" ca="1" si="358"/>
        <v/>
      </c>
      <c r="AR2246" s="3" t="str">
        <f t="shared" ca="1" si="355"/>
        <v/>
      </c>
      <c r="AS2246" s="63" t="str">
        <f ca="1">IF($AQ2246&lt;&gt;"", INDEX(Inputs!$B$3:$B$101, MATCH($AQ2246,Inputs!$A$3:$A$101,1)), "")</f>
        <v/>
      </c>
      <c r="AT2246" s="48" t="str">
        <f t="shared" ca="1" si="359"/>
        <v/>
      </c>
      <c r="AU2246" s="3" t="str">
        <f t="shared" ca="1" si="356"/>
        <v/>
      </c>
      <c r="AV2246" s="3" t="str">
        <f t="shared" ca="1" si="357"/>
        <v/>
      </c>
    </row>
    <row r="2247" spans="43:48" x14ac:dyDescent="0.2">
      <c r="AQ2247" s="4" t="str">
        <f t="shared" ca="1" si="358"/>
        <v/>
      </c>
      <c r="AR2247" s="3" t="str">
        <f t="shared" ca="1" si="355"/>
        <v/>
      </c>
      <c r="AS2247" s="63" t="str">
        <f ca="1">IF($AQ2247&lt;&gt;"", INDEX(Inputs!$B$3:$B$101, MATCH($AQ2247,Inputs!$A$3:$A$101,1)), "")</f>
        <v/>
      </c>
      <c r="AT2247" s="48" t="str">
        <f t="shared" ca="1" si="359"/>
        <v/>
      </c>
      <c r="AU2247" s="3" t="str">
        <f t="shared" ca="1" si="356"/>
        <v/>
      </c>
      <c r="AV2247" s="3" t="str">
        <f t="shared" ca="1" si="357"/>
        <v/>
      </c>
    </row>
    <row r="2248" spans="43:48" x14ac:dyDescent="0.2">
      <c r="AQ2248" s="4" t="str">
        <f t="shared" ca="1" si="358"/>
        <v/>
      </c>
      <c r="AR2248" s="3" t="str">
        <f t="shared" ca="1" si="355"/>
        <v/>
      </c>
      <c r="AS2248" s="63" t="str">
        <f ca="1">IF($AQ2248&lt;&gt;"", INDEX(Inputs!$B$3:$B$101, MATCH($AQ2248,Inputs!$A$3:$A$101,1)), "")</f>
        <v/>
      </c>
      <c r="AT2248" s="48" t="str">
        <f t="shared" ca="1" si="359"/>
        <v/>
      </c>
      <c r="AU2248" s="3" t="str">
        <f t="shared" ca="1" si="356"/>
        <v/>
      </c>
      <c r="AV2248" s="3" t="str">
        <f t="shared" ca="1" si="357"/>
        <v/>
      </c>
    </row>
    <row r="2249" spans="43:48" x14ac:dyDescent="0.2">
      <c r="AQ2249" s="4" t="str">
        <f t="shared" ca="1" si="358"/>
        <v/>
      </c>
      <c r="AR2249" s="3" t="str">
        <f t="shared" ca="1" si="355"/>
        <v/>
      </c>
      <c r="AS2249" s="63" t="str">
        <f ca="1">IF($AQ2249&lt;&gt;"", INDEX(Inputs!$B$3:$B$101, MATCH($AQ2249,Inputs!$A$3:$A$101,1)), "")</f>
        <v/>
      </c>
      <c r="AT2249" s="48" t="str">
        <f t="shared" ca="1" si="359"/>
        <v/>
      </c>
      <c r="AU2249" s="3" t="str">
        <f t="shared" ca="1" si="356"/>
        <v/>
      </c>
      <c r="AV2249" s="3" t="str">
        <f t="shared" ca="1" si="357"/>
        <v/>
      </c>
    </row>
    <row r="2250" spans="43:48" x14ac:dyDescent="0.2">
      <c r="AQ2250" s="4" t="str">
        <f t="shared" ca="1" si="358"/>
        <v/>
      </c>
      <c r="AR2250" s="3" t="str">
        <f t="shared" ca="1" si="355"/>
        <v/>
      </c>
      <c r="AS2250" s="63" t="str">
        <f ca="1">IF($AQ2250&lt;&gt;"", INDEX(Inputs!$B$3:$B$101, MATCH($AQ2250,Inputs!$A$3:$A$101,1)), "")</f>
        <v/>
      </c>
      <c r="AT2250" s="48" t="str">
        <f t="shared" ca="1" si="359"/>
        <v/>
      </c>
      <c r="AU2250" s="3" t="str">
        <f t="shared" ca="1" si="356"/>
        <v/>
      </c>
      <c r="AV2250" s="3" t="str">
        <f t="shared" ca="1" si="357"/>
        <v/>
      </c>
    </row>
    <row r="2251" spans="43:48" x14ac:dyDescent="0.2">
      <c r="AQ2251" s="4" t="str">
        <f t="shared" ca="1" si="358"/>
        <v/>
      </c>
      <c r="AR2251" s="3" t="str">
        <f t="shared" ca="1" si="355"/>
        <v/>
      </c>
      <c r="AS2251" s="63" t="str">
        <f ca="1">IF($AQ2251&lt;&gt;"", INDEX(Inputs!$B$3:$B$101, MATCH($AQ2251,Inputs!$A$3:$A$101,1)), "")</f>
        <v/>
      </c>
      <c r="AT2251" s="48" t="str">
        <f t="shared" ca="1" si="359"/>
        <v/>
      </c>
      <c r="AU2251" s="3" t="str">
        <f t="shared" ca="1" si="356"/>
        <v/>
      </c>
      <c r="AV2251" s="3" t="str">
        <f t="shared" ca="1" si="357"/>
        <v/>
      </c>
    </row>
    <row r="2252" spans="43:48" x14ac:dyDescent="0.2">
      <c r="AQ2252" s="4" t="str">
        <f t="shared" ca="1" si="358"/>
        <v/>
      </c>
      <c r="AR2252" s="3" t="str">
        <f t="shared" ca="1" si="355"/>
        <v/>
      </c>
      <c r="AS2252" s="63" t="str">
        <f ca="1">IF($AQ2252&lt;&gt;"", INDEX(Inputs!$B$3:$B$101, MATCH($AQ2252,Inputs!$A$3:$A$101,1)), "")</f>
        <v/>
      </c>
      <c r="AT2252" s="48" t="str">
        <f t="shared" ca="1" si="359"/>
        <v/>
      </c>
      <c r="AU2252" s="3" t="str">
        <f t="shared" ca="1" si="356"/>
        <v/>
      </c>
      <c r="AV2252" s="3" t="str">
        <f t="shared" ca="1" si="357"/>
        <v/>
      </c>
    </row>
    <row r="2253" spans="43:48" x14ac:dyDescent="0.2">
      <c r="AQ2253" s="4" t="str">
        <f t="shared" ca="1" si="358"/>
        <v/>
      </c>
      <c r="AR2253" s="3" t="str">
        <f t="shared" ca="1" si="355"/>
        <v/>
      </c>
      <c r="AS2253" s="63" t="str">
        <f ca="1">IF($AQ2253&lt;&gt;"", INDEX(Inputs!$B$3:$B$101, MATCH($AQ2253,Inputs!$A$3:$A$101,1)), "")</f>
        <v/>
      </c>
      <c r="AT2253" s="48" t="str">
        <f t="shared" ca="1" si="359"/>
        <v/>
      </c>
      <c r="AU2253" s="3" t="str">
        <f t="shared" ca="1" si="356"/>
        <v/>
      </c>
      <c r="AV2253" s="3" t="str">
        <f t="shared" ca="1" si="357"/>
        <v/>
      </c>
    </row>
    <row r="2254" spans="43:48" x14ac:dyDescent="0.2">
      <c r="AQ2254" s="4" t="str">
        <f t="shared" ca="1" si="358"/>
        <v/>
      </c>
      <c r="AR2254" s="3" t="str">
        <f t="shared" ca="1" si="355"/>
        <v/>
      </c>
      <c r="AS2254" s="63" t="str">
        <f ca="1">IF($AQ2254&lt;&gt;"", INDEX(Inputs!$B$3:$B$101, MATCH($AQ2254,Inputs!$A$3:$A$101,1)), "")</f>
        <v/>
      </c>
      <c r="AT2254" s="48" t="str">
        <f t="shared" ca="1" si="359"/>
        <v/>
      </c>
      <c r="AU2254" s="3" t="str">
        <f t="shared" ca="1" si="356"/>
        <v/>
      </c>
      <c r="AV2254" s="3" t="str">
        <f t="shared" ca="1" si="357"/>
        <v/>
      </c>
    </row>
    <row r="2255" spans="43:48" x14ac:dyDescent="0.2">
      <c r="AQ2255" s="4" t="str">
        <f t="shared" ca="1" si="358"/>
        <v/>
      </c>
      <c r="AR2255" s="3" t="str">
        <f t="shared" ca="1" si="355"/>
        <v/>
      </c>
      <c r="AS2255" s="63" t="str">
        <f ca="1">IF($AQ2255&lt;&gt;"", INDEX(Inputs!$B$3:$B$101, MATCH($AQ2255,Inputs!$A$3:$A$101,1)), "")</f>
        <v/>
      </c>
      <c r="AT2255" s="48" t="str">
        <f t="shared" ca="1" si="359"/>
        <v/>
      </c>
      <c r="AU2255" s="3" t="str">
        <f t="shared" ca="1" si="356"/>
        <v/>
      </c>
      <c r="AV2255" s="3" t="str">
        <f t="shared" ca="1" si="357"/>
        <v/>
      </c>
    </row>
    <row r="2256" spans="43:48" x14ac:dyDescent="0.2">
      <c r="AQ2256" s="4" t="str">
        <f t="shared" ca="1" si="358"/>
        <v/>
      </c>
      <c r="AR2256" s="3" t="str">
        <f t="shared" ca="1" si="355"/>
        <v/>
      </c>
      <c r="AS2256" s="63" t="str">
        <f ca="1">IF($AQ2256&lt;&gt;"", INDEX(Inputs!$B$3:$B$101, MATCH($AQ2256,Inputs!$A$3:$A$101,1)), "")</f>
        <v/>
      </c>
      <c r="AT2256" s="48" t="str">
        <f t="shared" ca="1" si="359"/>
        <v/>
      </c>
      <c r="AU2256" s="3" t="str">
        <f t="shared" ca="1" si="356"/>
        <v/>
      </c>
      <c r="AV2256" s="3" t="str">
        <f t="shared" ca="1" si="357"/>
        <v/>
      </c>
    </row>
    <row r="2257" spans="43:48" x14ac:dyDescent="0.2">
      <c r="AQ2257" s="4" t="str">
        <f t="shared" ca="1" si="358"/>
        <v/>
      </c>
      <c r="AR2257" s="3" t="str">
        <f t="shared" ca="1" si="355"/>
        <v/>
      </c>
      <c r="AS2257" s="63" t="str">
        <f ca="1">IF($AQ2257&lt;&gt;"", INDEX(Inputs!$B$3:$B$101, MATCH($AQ2257,Inputs!$A$3:$A$101,1)), "")</f>
        <v/>
      </c>
      <c r="AT2257" s="48" t="str">
        <f t="shared" ca="1" si="359"/>
        <v/>
      </c>
      <c r="AU2257" s="3" t="str">
        <f t="shared" ca="1" si="356"/>
        <v/>
      </c>
      <c r="AV2257" s="3" t="str">
        <f t="shared" ca="1" si="357"/>
        <v/>
      </c>
    </row>
    <row r="2258" spans="43:48" x14ac:dyDescent="0.2">
      <c r="AQ2258" s="4" t="str">
        <f t="shared" ca="1" si="358"/>
        <v/>
      </c>
      <c r="AR2258" s="3" t="str">
        <f t="shared" ca="1" si="355"/>
        <v/>
      </c>
      <c r="AS2258" s="63" t="str">
        <f ca="1">IF($AQ2258&lt;&gt;"", INDEX(Inputs!$B$3:$B$101, MATCH($AQ2258,Inputs!$A$3:$A$101,1)), "")</f>
        <v/>
      </c>
      <c r="AT2258" s="48" t="str">
        <f t="shared" ca="1" si="359"/>
        <v/>
      </c>
      <c r="AU2258" s="3" t="str">
        <f t="shared" ca="1" si="356"/>
        <v/>
      </c>
      <c r="AV2258" s="3" t="str">
        <f t="shared" ca="1" si="357"/>
        <v/>
      </c>
    </row>
    <row r="2259" spans="43:48" x14ac:dyDescent="0.2">
      <c r="AQ2259" s="4" t="str">
        <f t="shared" ca="1" si="358"/>
        <v/>
      </c>
      <c r="AR2259" s="3" t="str">
        <f t="shared" ca="1" si="355"/>
        <v/>
      </c>
      <c r="AS2259" s="63" t="str">
        <f ca="1">IF($AQ2259&lt;&gt;"", INDEX(Inputs!$B$3:$B$101, MATCH($AQ2259,Inputs!$A$3:$A$101,1)), "")</f>
        <v/>
      </c>
      <c r="AT2259" s="48" t="str">
        <f t="shared" ca="1" si="359"/>
        <v/>
      </c>
      <c r="AU2259" s="3" t="str">
        <f t="shared" ca="1" si="356"/>
        <v/>
      </c>
      <c r="AV2259" s="3" t="str">
        <f t="shared" ca="1" si="357"/>
        <v/>
      </c>
    </row>
    <row r="2260" spans="43:48" x14ac:dyDescent="0.2">
      <c r="AQ2260" s="4" t="str">
        <f t="shared" ca="1" si="358"/>
        <v/>
      </c>
      <c r="AR2260" s="3" t="str">
        <f t="shared" ca="1" si="355"/>
        <v/>
      </c>
      <c r="AS2260" s="63" t="str">
        <f ca="1">IF($AQ2260&lt;&gt;"", INDEX(Inputs!$B$3:$B$101, MATCH($AQ2260,Inputs!$A$3:$A$101,1)), "")</f>
        <v/>
      </c>
      <c r="AT2260" s="48" t="str">
        <f t="shared" ca="1" si="359"/>
        <v/>
      </c>
      <c r="AU2260" s="3" t="str">
        <f t="shared" ca="1" si="356"/>
        <v/>
      </c>
      <c r="AV2260" s="3" t="str">
        <f t="shared" ca="1" si="357"/>
        <v/>
      </c>
    </row>
    <row r="2261" spans="43:48" x14ac:dyDescent="0.2">
      <c r="AQ2261" s="4" t="str">
        <f t="shared" ca="1" si="358"/>
        <v/>
      </c>
      <c r="AR2261" s="3" t="str">
        <f t="shared" ca="1" si="355"/>
        <v/>
      </c>
      <c r="AS2261" s="63" t="str">
        <f ca="1">IF($AQ2261&lt;&gt;"", INDEX(Inputs!$B$3:$B$101, MATCH($AQ2261,Inputs!$A$3:$A$101,1)), "")</f>
        <v/>
      </c>
      <c r="AT2261" s="48" t="str">
        <f t="shared" ca="1" si="359"/>
        <v/>
      </c>
      <c r="AU2261" s="3" t="str">
        <f t="shared" ca="1" si="356"/>
        <v/>
      </c>
      <c r="AV2261" s="3" t="str">
        <f t="shared" ca="1" si="357"/>
        <v/>
      </c>
    </row>
    <row r="2262" spans="43:48" x14ac:dyDescent="0.2">
      <c r="AQ2262" s="4" t="str">
        <f t="shared" ca="1" si="358"/>
        <v/>
      </c>
      <c r="AR2262" s="3" t="str">
        <f t="shared" ca="1" si="355"/>
        <v/>
      </c>
      <c r="AS2262" s="63" t="str">
        <f ca="1">IF($AQ2262&lt;&gt;"", INDEX(Inputs!$B$3:$B$101, MATCH($AQ2262,Inputs!$A$3:$A$101,1)), "")</f>
        <v/>
      </c>
      <c r="AT2262" s="48" t="str">
        <f t="shared" ca="1" si="359"/>
        <v/>
      </c>
      <c r="AU2262" s="3" t="str">
        <f t="shared" ca="1" si="356"/>
        <v/>
      </c>
      <c r="AV2262" s="3" t="str">
        <f t="shared" ca="1" si="357"/>
        <v/>
      </c>
    </row>
    <row r="2263" spans="43:48" x14ac:dyDescent="0.2">
      <c r="AQ2263" s="4" t="str">
        <f t="shared" ca="1" si="358"/>
        <v/>
      </c>
      <c r="AR2263" s="3" t="str">
        <f t="shared" ca="1" si="355"/>
        <v/>
      </c>
      <c r="AS2263" s="63" t="str">
        <f ca="1">IF($AQ2263&lt;&gt;"", INDEX(Inputs!$B$3:$B$101, MATCH($AQ2263,Inputs!$A$3:$A$101,1)), "")</f>
        <v/>
      </c>
      <c r="AT2263" s="48" t="str">
        <f t="shared" ca="1" si="359"/>
        <v/>
      </c>
      <c r="AU2263" s="3" t="str">
        <f t="shared" ca="1" si="356"/>
        <v/>
      </c>
      <c r="AV2263" s="3" t="str">
        <f t="shared" ca="1" si="357"/>
        <v/>
      </c>
    </row>
    <row r="2264" spans="43:48" x14ac:dyDescent="0.2">
      <c r="AQ2264" s="4" t="str">
        <f t="shared" ca="1" si="358"/>
        <v/>
      </c>
      <c r="AR2264" s="3" t="str">
        <f t="shared" ca="1" si="355"/>
        <v/>
      </c>
      <c r="AS2264" s="63" t="str">
        <f ca="1">IF($AQ2264&lt;&gt;"", INDEX(Inputs!$B$3:$B$101, MATCH($AQ2264,Inputs!$A$3:$A$101,1)), "")</f>
        <v/>
      </c>
      <c r="AT2264" s="48" t="str">
        <f t="shared" ca="1" si="359"/>
        <v/>
      </c>
      <c r="AU2264" s="3" t="str">
        <f t="shared" ca="1" si="356"/>
        <v/>
      </c>
      <c r="AV2264" s="3" t="str">
        <f t="shared" ca="1" si="357"/>
        <v/>
      </c>
    </row>
    <row r="2265" spans="43:48" x14ac:dyDescent="0.2">
      <c r="AQ2265" s="4" t="str">
        <f t="shared" ca="1" si="358"/>
        <v/>
      </c>
      <c r="AR2265" s="3" t="str">
        <f t="shared" ref="AR2265:AR2328" ca="1" si="360">IF($AQ2265&lt;&gt;"", INDEX($AC$3:$AC$1055, MATCH($AQ2265,$A$3:$A$1055,1)), "")</f>
        <v/>
      </c>
      <c r="AS2265" s="63" t="str">
        <f ca="1">IF($AQ2265&lt;&gt;"", INDEX(Inputs!$B$3:$B$101, MATCH($AQ2265,Inputs!$A$3:$A$101,1)), "")</f>
        <v/>
      </c>
      <c r="AT2265" s="48" t="str">
        <f t="shared" ca="1" si="359"/>
        <v/>
      </c>
      <c r="AU2265" s="3" t="str">
        <f t="shared" ref="AU2265:AU2328" ca="1" si="361">IF($AQ2265&lt;&gt;"", SUMIFS($AL$3:$AL$1054, $A$3:$A$1054,$AQ2265) + SUMIFS($M$3:$M$1054, $A$3:$A$1054,$AQ2265)*IFERROR(AVERAGEIFS($L$3:$L$1054, $A$3:$A$1054,$AQ2265, $M$3:$M$1054,"&gt;0"),0) - AT2265, "")</f>
        <v/>
      </c>
      <c r="AV2265" s="3" t="str">
        <f t="shared" ca="1" si="357"/>
        <v/>
      </c>
    </row>
    <row r="2266" spans="43:48" x14ac:dyDescent="0.2">
      <c r="AQ2266" s="4" t="str">
        <f t="shared" ca="1" si="358"/>
        <v/>
      </c>
      <c r="AR2266" s="3" t="str">
        <f t="shared" ca="1" si="360"/>
        <v/>
      </c>
      <c r="AS2266" s="63" t="str">
        <f ca="1">IF($AQ2266&lt;&gt;"", INDEX(Inputs!$B$3:$B$101, MATCH($AQ2266,Inputs!$A$3:$A$101,1)), "")</f>
        <v/>
      </c>
      <c r="AT2266" s="48" t="str">
        <f t="shared" ca="1" si="359"/>
        <v/>
      </c>
      <c r="AU2266" s="3" t="str">
        <f t="shared" ca="1" si="361"/>
        <v/>
      </c>
      <c r="AV2266" s="3" t="str">
        <f t="shared" ca="1" si="357"/>
        <v/>
      </c>
    </row>
    <row r="2267" spans="43:48" x14ac:dyDescent="0.2">
      <c r="AQ2267" s="4" t="str">
        <f t="shared" ca="1" si="358"/>
        <v/>
      </c>
      <c r="AR2267" s="3" t="str">
        <f t="shared" ca="1" si="360"/>
        <v/>
      </c>
      <c r="AS2267" s="63" t="str">
        <f ca="1">IF($AQ2267&lt;&gt;"", INDEX(Inputs!$B$3:$B$101, MATCH($AQ2267,Inputs!$A$3:$A$101,1)), "")</f>
        <v/>
      </c>
      <c r="AT2267" s="48" t="str">
        <f t="shared" ca="1" si="359"/>
        <v/>
      </c>
      <c r="AU2267" s="3" t="str">
        <f t="shared" ca="1" si="361"/>
        <v/>
      </c>
      <c r="AV2267" s="3" t="str">
        <f t="shared" ca="1" si="357"/>
        <v/>
      </c>
    </row>
    <row r="2268" spans="43:48" x14ac:dyDescent="0.2">
      <c r="AQ2268" s="4" t="str">
        <f t="shared" ca="1" si="358"/>
        <v/>
      </c>
      <c r="AR2268" s="3" t="str">
        <f t="shared" ca="1" si="360"/>
        <v/>
      </c>
      <c r="AS2268" s="63" t="str">
        <f ca="1">IF($AQ2268&lt;&gt;"", INDEX(Inputs!$B$3:$B$101, MATCH($AQ2268,Inputs!$A$3:$A$101,1)), "")</f>
        <v/>
      </c>
      <c r="AT2268" s="48" t="str">
        <f t="shared" ca="1" si="359"/>
        <v/>
      </c>
      <c r="AU2268" s="3" t="str">
        <f t="shared" ca="1" si="361"/>
        <v/>
      </c>
      <c r="AV2268" s="3" t="str">
        <f t="shared" ca="1" si="357"/>
        <v/>
      </c>
    </row>
    <row r="2269" spans="43:48" x14ac:dyDescent="0.2">
      <c r="AQ2269" s="4" t="str">
        <f t="shared" ca="1" si="358"/>
        <v/>
      </c>
      <c r="AR2269" s="3" t="str">
        <f t="shared" ca="1" si="360"/>
        <v/>
      </c>
      <c r="AS2269" s="63" t="str">
        <f ca="1">IF($AQ2269&lt;&gt;"", INDEX(Inputs!$B$3:$B$101, MATCH($AQ2269,Inputs!$A$3:$A$101,1)), "")</f>
        <v/>
      </c>
      <c r="AT2269" s="48" t="str">
        <f t="shared" ca="1" si="359"/>
        <v/>
      </c>
      <c r="AU2269" s="3" t="str">
        <f t="shared" ca="1" si="361"/>
        <v/>
      </c>
      <c r="AV2269" s="3" t="str">
        <f t="shared" ca="1" si="357"/>
        <v/>
      </c>
    </row>
    <row r="2270" spans="43:48" x14ac:dyDescent="0.2">
      <c r="AQ2270" s="4" t="str">
        <f t="shared" ca="1" si="358"/>
        <v/>
      </c>
      <c r="AR2270" s="3" t="str">
        <f t="shared" ca="1" si="360"/>
        <v/>
      </c>
      <c r="AS2270" s="63" t="str">
        <f ca="1">IF($AQ2270&lt;&gt;"", INDEX(Inputs!$B$3:$B$101, MATCH($AQ2270,Inputs!$A$3:$A$101,1)), "")</f>
        <v/>
      </c>
      <c r="AT2270" s="48" t="str">
        <f t="shared" ca="1" si="359"/>
        <v/>
      </c>
      <c r="AU2270" s="3" t="str">
        <f t="shared" ca="1" si="361"/>
        <v/>
      </c>
      <c r="AV2270" s="3" t="str">
        <f t="shared" ca="1" si="357"/>
        <v/>
      </c>
    </row>
    <row r="2271" spans="43:48" x14ac:dyDescent="0.2">
      <c r="AQ2271" s="4" t="str">
        <f t="shared" ca="1" si="358"/>
        <v/>
      </c>
      <c r="AR2271" s="3" t="str">
        <f t="shared" ca="1" si="360"/>
        <v/>
      </c>
      <c r="AS2271" s="63" t="str">
        <f ca="1">IF($AQ2271&lt;&gt;"", INDEX(Inputs!$B$3:$B$101, MATCH($AQ2271,Inputs!$A$3:$A$101,1)), "")</f>
        <v/>
      </c>
      <c r="AT2271" s="48" t="str">
        <f t="shared" ca="1" si="359"/>
        <v/>
      </c>
      <c r="AU2271" s="3" t="str">
        <f t="shared" ca="1" si="361"/>
        <v/>
      </c>
      <c r="AV2271" s="3" t="str">
        <f t="shared" ca="1" si="357"/>
        <v/>
      </c>
    </row>
    <row r="2272" spans="43:48" x14ac:dyDescent="0.2">
      <c r="AQ2272" s="4" t="str">
        <f t="shared" ca="1" si="358"/>
        <v/>
      </c>
      <c r="AR2272" s="3" t="str">
        <f t="shared" ca="1" si="360"/>
        <v/>
      </c>
      <c r="AS2272" s="63" t="str">
        <f ca="1">IF($AQ2272&lt;&gt;"", INDEX(Inputs!$B$3:$B$101, MATCH($AQ2272,Inputs!$A$3:$A$101,1)), "")</f>
        <v/>
      </c>
      <c r="AT2272" s="48" t="str">
        <f t="shared" ca="1" si="359"/>
        <v/>
      </c>
      <c r="AU2272" s="3" t="str">
        <f t="shared" ca="1" si="361"/>
        <v/>
      </c>
      <c r="AV2272" s="3" t="str">
        <f t="shared" ref="AV2272:AV2335" ca="1" si="362">IF(AQ2272&lt;&gt;"", AU2272*(1+$X$9/CompoundingRate)^-((AQ2272-AQ$3)/(365/CompoundingRate)), "")</f>
        <v/>
      </c>
    </row>
    <row r="2273" spans="43:48" x14ac:dyDescent="0.2">
      <c r="AQ2273" s="4" t="str">
        <f t="shared" ca="1" si="358"/>
        <v/>
      </c>
      <c r="AR2273" s="3" t="str">
        <f t="shared" ca="1" si="360"/>
        <v/>
      </c>
      <c r="AS2273" s="63" t="str">
        <f ca="1">IF($AQ2273&lt;&gt;"", INDEX(Inputs!$B$3:$B$101, MATCH($AQ2273,Inputs!$A$3:$A$101,1)), "")</f>
        <v/>
      </c>
      <c r="AT2273" s="48" t="str">
        <f t="shared" ca="1" si="359"/>
        <v/>
      </c>
      <c r="AU2273" s="3" t="str">
        <f t="shared" ca="1" si="361"/>
        <v/>
      </c>
      <c r="AV2273" s="3" t="str">
        <f t="shared" ca="1" si="362"/>
        <v/>
      </c>
    </row>
    <row r="2274" spans="43:48" x14ac:dyDescent="0.2">
      <c r="AQ2274" s="4" t="str">
        <f t="shared" ca="1" si="358"/>
        <v/>
      </c>
      <c r="AR2274" s="3" t="str">
        <f t="shared" ca="1" si="360"/>
        <v/>
      </c>
      <c r="AS2274" s="63" t="str">
        <f ca="1">IF($AQ2274&lt;&gt;"", INDEX(Inputs!$B$3:$B$101, MATCH($AQ2274,Inputs!$A$3:$A$101,1)), "")</f>
        <v/>
      </c>
      <c r="AT2274" s="48" t="str">
        <f t="shared" ca="1" si="359"/>
        <v/>
      </c>
      <c r="AU2274" s="3" t="str">
        <f t="shared" ca="1" si="361"/>
        <v/>
      </c>
      <c r="AV2274" s="3" t="str">
        <f t="shared" ca="1" si="362"/>
        <v/>
      </c>
    </row>
    <row r="2275" spans="43:48" x14ac:dyDescent="0.2">
      <c r="AQ2275" s="4" t="str">
        <f t="shared" ca="1" si="358"/>
        <v/>
      </c>
      <c r="AR2275" s="3" t="str">
        <f t="shared" ca="1" si="360"/>
        <v/>
      </c>
      <c r="AS2275" s="63" t="str">
        <f ca="1">IF($AQ2275&lt;&gt;"", INDEX(Inputs!$B$3:$B$101, MATCH($AQ2275,Inputs!$A$3:$A$101,1)), "")</f>
        <v/>
      </c>
      <c r="AT2275" s="48" t="str">
        <f t="shared" ca="1" si="359"/>
        <v/>
      </c>
      <c r="AU2275" s="3" t="str">
        <f t="shared" ca="1" si="361"/>
        <v/>
      </c>
      <c r="AV2275" s="3" t="str">
        <f t="shared" ca="1" si="362"/>
        <v/>
      </c>
    </row>
    <row r="2276" spans="43:48" x14ac:dyDescent="0.2">
      <c r="AQ2276" s="4" t="str">
        <f t="shared" ca="1" si="358"/>
        <v/>
      </c>
      <c r="AR2276" s="3" t="str">
        <f t="shared" ca="1" si="360"/>
        <v/>
      </c>
      <c r="AS2276" s="63" t="str">
        <f ca="1">IF($AQ2276&lt;&gt;"", INDEX(Inputs!$B$3:$B$101, MATCH($AQ2276,Inputs!$A$3:$A$101,1)), "")</f>
        <v/>
      </c>
      <c r="AT2276" s="48" t="str">
        <f t="shared" ca="1" si="359"/>
        <v/>
      </c>
      <c r="AU2276" s="3" t="str">
        <f t="shared" ca="1" si="361"/>
        <v/>
      </c>
      <c r="AV2276" s="3" t="str">
        <f t="shared" ca="1" si="362"/>
        <v/>
      </c>
    </row>
    <row r="2277" spans="43:48" x14ac:dyDescent="0.2">
      <c r="AQ2277" s="4" t="str">
        <f t="shared" ca="1" si="358"/>
        <v/>
      </c>
      <c r="AR2277" s="3" t="str">
        <f t="shared" ca="1" si="360"/>
        <v/>
      </c>
      <c r="AS2277" s="63" t="str">
        <f ca="1">IF($AQ2277&lt;&gt;"", INDEX(Inputs!$B$3:$B$101, MATCH($AQ2277,Inputs!$A$3:$A$101,1)), "")</f>
        <v/>
      </c>
      <c r="AT2277" s="48" t="str">
        <f t="shared" ca="1" si="359"/>
        <v/>
      </c>
      <c r="AU2277" s="3" t="str">
        <f t="shared" ca="1" si="361"/>
        <v/>
      </c>
      <c r="AV2277" s="3" t="str">
        <f t="shared" ca="1" si="362"/>
        <v/>
      </c>
    </row>
    <row r="2278" spans="43:48" x14ac:dyDescent="0.2">
      <c r="AQ2278" s="4" t="str">
        <f t="shared" ca="1" si="358"/>
        <v/>
      </c>
      <c r="AR2278" s="3" t="str">
        <f t="shared" ca="1" si="360"/>
        <v/>
      </c>
      <c r="AS2278" s="63" t="str">
        <f ca="1">IF($AQ2278&lt;&gt;"", INDEX(Inputs!$B$3:$B$101, MATCH($AQ2278,Inputs!$A$3:$A$101,1)), "")</f>
        <v/>
      </c>
      <c r="AT2278" s="48" t="str">
        <f t="shared" ca="1" si="359"/>
        <v/>
      </c>
      <c r="AU2278" s="3" t="str">
        <f t="shared" ca="1" si="361"/>
        <v/>
      </c>
      <c r="AV2278" s="3" t="str">
        <f t="shared" ca="1" si="362"/>
        <v/>
      </c>
    </row>
    <row r="2279" spans="43:48" x14ac:dyDescent="0.2">
      <c r="AQ2279" s="4" t="str">
        <f t="shared" ca="1" si="358"/>
        <v/>
      </c>
      <c r="AR2279" s="3" t="str">
        <f t="shared" ca="1" si="360"/>
        <v/>
      </c>
      <c r="AS2279" s="63" t="str">
        <f ca="1">IF($AQ2279&lt;&gt;"", INDEX(Inputs!$B$3:$B$101, MATCH($AQ2279,Inputs!$A$3:$A$101,1)), "")</f>
        <v/>
      </c>
      <c r="AT2279" s="48" t="str">
        <f t="shared" ca="1" si="359"/>
        <v/>
      </c>
      <c r="AU2279" s="3" t="str">
        <f t="shared" ca="1" si="361"/>
        <v/>
      </c>
      <c r="AV2279" s="3" t="str">
        <f t="shared" ca="1" si="362"/>
        <v/>
      </c>
    </row>
    <row r="2280" spans="43:48" x14ac:dyDescent="0.2">
      <c r="AQ2280" s="4" t="str">
        <f t="shared" ca="1" si="358"/>
        <v/>
      </c>
      <c r="AR2280" s="3" t="str">
        <f t="shared" ca="1" si="360"/>
        <v/>
      </c>
      <c r="AS2280" s="63" t="str">
        <f ca="1">IF($AQ2280&lt;&gt;"", INDEX(Inputs!$B$3:$B$101, MATCH($AQ2280,Inputs!$A$3:$A$101,1)), "")</f>
        <v/>
      </c>
      <c r="AT2280" s="48" t="str">
        <f t="shared" ca="1" si="359"/>
        <v/>
      </c>
      <c r="AU2280" s="3" t="str">
        <f t="shared" ca="1" si="361"/>
        <v/>
      </c>
      <c r="AV2280" s="3" t="str">
        <f t="shared" ca="1" si="362"/>
        <v/>
      </c>
    </row>
    <row r="2281" spans="43:48" x14ac:dyDescent="0.2">
      <c r="AQ2281" s="4" t="str">
        <f t="shared" ca="1" si="358"/>
        <v/>
      </c>
      <c r="AR2281" s="3" t="str">
        <f t="shared" ca="1" si="360"/>
        <v/>
      </c>
      <c r="AS2281" s="63" t="str">
        <f ca="1">IF($AQ2281&lt;&gt;"", INDEX(Inputs!$B$3:$B$101, MATCH($AQ2281,Inputs!$A$3:$A$101,1)), "")</f>
        <v/>
      </c>
      <c r="AT2281" s="48" t="str">
        <f t="shared" ca="1" si="359"/>
        <v/>
      </c>
      <c r="AU2281" s="3" t="str">
        <f t="shared" ca="1" si="361"/>
        <v/>
      </c>
      <c r="AV2281" s="3" t="str">
        <f t="shared" ca="1" si="362"/>
        <v/>
      </c>
    </row>
    <row r="2282" spans="43:48" x14ac:dyDescent="0.2">
      <c r="AQ2282" s="4" t="str">
        <f t="shared" ca="1" si="358"/>
        <v/>
      </c>
      <c r="AR2282" s="3" t="str">
        <f t="shared" ca="1" si="360"/>
        <v/>
      </c>
      <c r="AS2282" s="63" t="str">
        <f ca="1">IF($AQ2282&lt;&gt;"", INDEX(Inputs!$B$3:$B$101, MATCH($AQ2282,Inputs!$A$3:$A$101,1)), "")</f>
        <v/>
      </c>
      <c r="AT2282" s="48" t="str">
        <f t="shared" ca="1" si="359"/>
        <v/>
      </c>
      <c r="AU2282" s="3" t="str">
        <f t="shared" ca="1" si="361"/>
        <v/>
      </c>
      <c r="AV2282" s="3" t="str">
        <f t="shared" ca="1" si="362"/>
        <v/>
      </c>
    </row>
    <row r="2283" spans="43:48" x14ac:dyDescent="0.2">
      <c r="AQ2283" s="4" t="str">
        <f t="shared" ca="1" si="358"/>
        <v/>
      </c>
      <c r="AR2283" s="3" t="str">
        <f t="shared" ca="1" si="360"/>
        <v/>
      </c>
      <c r="AS2283" s="63" t="str">
        <f ca="1">IF($AQ2283&lt;&gt;"", INDEX(Inputs!$B$3:$B$101, MATCH($AQ2283,Inputs!$A$3:$A$101,1)), "")</f>
        <v/>
      </c>
      <c r="AT2283" s="48" t="str">
        <f t="shared" ca="1" si="359"/>
        <v/>
      </c>
      <c r="AU2283" s="3" t="str">
        <f t="shared" ca="1" si="361"/>
        <v/>
      </c>
      <c r="AV2283" s="3" t="str">
        <f t="shared" ca="1" si="362"/>
        <v/>
      </c>
    </row>
    <row r="2284" spans="43:48" x14ac:dyDescent="0.2">
      <c r="AQ2284" s="4" t="str">
        <f t="shared" ca="1" si="358"/>
        <v/>
      </c>
      <c r="AR2284" s="3" t="str">
        <f t="shared" ca="1" si="360"/>
        <v/>
      </c>
      <c r="AS2284" s="63" t="str">
        <f ca="1">IF($AQ2284&lt;&gt;"", INDEX(Inputs!$B$3:$B$101, MATCH($AQ2284,Inputs!$A$3:$A$101,1)), "")</f>
        <v/>
      </c>
      <c r="AT2284" s="48" t="str">
        <f t="shared" ca="1" si="359"/>
        <v/>
      </c>
      <c r="AU2284" s="3" t="str">
        <f t="shared" ca="1" si="361"/>
        <v/>
      </c>
      <c r="AV2284" s="3" t="str">
        <f t="shared" ca="1" si="362"/>
        <v/>
      </c>
    </row>
    <row r="2285" spans="43:48" x14ac:dyDescent="0.2">
      <c r="AQ2285" s="4" t="str">
        <f t="shared" ca="1" si="358"/>
        <v/>
      </c>
      <c r="AR2285" s="3" t="str">
        <f t="shared" ca="1" si="360"/>
        <v/>
      </c>
      <c r="AS2285" s="63" t="str">
        <f ca="1">IF($AQ2285&lt;&gt;"", INDEX(Inputs!$B$3:$B$101, MATCH($AQ2285,Inputs!$A$3:$A$101,1)), "")</f>
        <v/>
      </c>
      <c r="AT2285" s="48" t="str">
        <f t="shared" ca="1" si="359"/>
        <v/>
      </c>
      <c r="AU2285" s="3" t="str">
        <f t="shared" ca="1" si="361"/>
        <v/>
      </c>
      <c r="AV2285" s="3" t="str">
        <f t="shared" ca="1" si="362"/>
        <v/>
      </c>
    </row>
    <row r="2286" spans="43:48" x14ac:dyDescent="0.2">
      <c r="AQ2286" s="4" t="str">
        <f t="shared" ca="1" si="358"/>
        <v/>
      </c>
      <c r="AR2286" s="3" t="str">
        <f t="shared" ca="1" si="360"/>
        <v/>
      </c>
      <c r="AS2286" s="63" t="str">
        <f ca="1">IF($AQ2286&lt;&gt;"", INDEX(Inputs!$B$3:$B$101, MATCH($AQ2286,Inputs!$A$3:$A$101,1)), "")</f>
        <v/>
      </c>
      <c r="AT2286" s="48" t="str">
        <f t="shared" ca="1" si="359"/>
        <v/>
      </c>
      <c r="AU2286" s="3" t="str">
        <f t="shared" ca="1" si="361"/>
        <v/>
      </c>
      <c r="AV2286" s="3" t="str">
        <f t="shared" ca="1" si="362"/>
        <v/>
      </c>
    </row>
    <row r="2287" spans="43:48" x14ac:dyDescent="0.2">
      <c r="AQ2287" s="4" t="str">
        <f t="shared" ca="1" si="358"/>
        <v/>
      </c>
      <c r="AR2287" s="3" t="str">
        <f t="shared" ca="1" si="360"/>
        <v/>
      </c>
      <c r="AS2287" s="63" t="str">
        <f ca="1">IF($AQ2287&lt;&gt;"", INDEX(Inputs!$B$3:$B$101, MATCH($AQ2287,Inputs!$A$3:$A$101,1)), "")</f>
        <v/>
      </c>
      <c r="AT2287" s="48" t="str">
        <f t="shared" ca="1" si="359"/>
        <v/>
      </c>
      <c r="AU2287" s="3" t="str">
        <f t="shared" ca="1" si="361"/>
        <v/>
      </c>
      <c r="AV2287" s="3" t="str">
        <f t="shared" ca="1" si="362"/>
        <v/>
      </c>
    </row>
    <row r="2288" spans="43:48" x14ac:dyDescent="0.2">
      <c r="AQ2288" s="4" t="str">
        <f t="shared" ca="1" si="358"/>
        <v/>
      </c>
      <c r="AR2288" s="3" t="str">
        <f t="shared" ca="1" si="360"/>
        <v/>
      </c>
      <c r="AS2288" s="63" t="str">
        <f ca="1">IF($AQ2288&lt;&gt;"", INDEX(Inputs!$B$3:$B$101, MATCH($AQ2288,Inputs!$A$3:$A$101,1)), "")</f>
        <v/>
      </c>
      <c r="AT2288" s="48" t="str">
        <f t="shared" ca="1" si="359"/>
        <v/>
      </c>
      <c r="AU2288" s="3" t="str">
        <f t="shared" ca="1" si="361"/>
        <v/>
      </c>
      <c r="AV2288" s="3" t="str">
        <f t="shared" ca="1" si="362"/>
        <v/>
      </c>
    </row>
    <row r="2289" spans="43:48" x14ac:dyDescent="0.2">
      <c r="AQ2289" s="4" t="str">
        <f t="shared" ca="1" si="358"/>
        <v/>
      </c>
      <c r="AR2289" s="3" t="str">
        <f t="shared" ca="1" si="360"/>
        <v/>
      </c>
      <c r="AS2289" s="63" t="str">
        <f ca="1">IF($AQ2289&lt;&gt;"", INDEX(Inputs!$B$3:$B$101, MATCH($AQ2289,Inputs!$A$3:$A$101,1)), "")</f>
        <v/>
      </c>
      <c r="AT2289" s="48" t="str">
        <f t="shared" ca="1" si="359"/>
        <v/>
      </c>
      <c r="AU2289" s="3" t="str">
        <f t="shared" ca="1" si="361"/>
        <v/>
      </c>
      <c r="AV2289" s="3" t="str">
        <f t="shared" ca="1" si="362"/>
        <v/>
      </c>
    </row>
    <row r="2290" spans="43:48" x14ac:dyDescent="0.2">
      <c r="AQ2290" s="4" t="str">
        <f t="shared" ca="1" si="358"/>
        <v/>
      </c>
      <c r="AR2290" s="3" t="str">
        <f t="shared" ca="1" si="360"/>
        <v/>
      </c>
      <c r="AS2290" s="63" t="str">
        <f ca="1">IF($AQ2290&lt;&gt;"", INDEX(Inputs!$B$3:$B$101, MATCH($AQ2290,Inputs!$A$3:$A$101,1)), "")</f>
        <v/>
      </c>
      <c r="AT2290" s="48" t="str">
        <f t="shared" ca="1" si="359"/>
        <v/>
      </c>
      <c r="AU2290" s="3" t="str">
        <f t="shared" ca="1" si="361"/>
        <v/>
      </c>
      <c r="AV2290" s="3" t="str">
        <f t="shared" ca="1" si="362"/>
        <v/>
      </c>
    </row>
    <row r="2291" spans="43:48" x14ac:dyDescent="0.2">
      <c r="AQ2291" s="4" t="str">
        <f t="shared" ca="1" si="358"/>
        <v/>
      </c>
      <c r="AR2291" s="3" t="str">
        <f t="shared" ca="1" si="360"/>
        <v/>
      </c>
      <c r="AS2291" s="63" t="str">
        <f ca="1">IF($AQ2291&lt;&gt;"", INDEX(Inputs!$B$3:$B$101, MATCH($AQ2291,Inputs!$A$3:$A$101,1)), "")</f>
        <v/>
      </c>
      <c r="AT2291" s="48" t="str">
        <f t="shared" ca="1" si="359"/>
        <v/>
      </c>
      <c r="AU2291" s="3" t="str">
        <f t="shared" ca="1" si="361"/>
        <v/>
      </c>
      <c r="AV2291" s="3" t="str">
        <f t="shared" ca="1" si="362"/>
        <v/>
      </c>
    </row>
    <row r="2292" spans="43:48" x14ac:dyDescent="0.2">
      <c r="AQ2292" s="4" t="str">
        <f t="shared" ca="1" si="358"/>
        <v/>
      </c>
      <c r="AR2292" s="3" t="str">
        <f t="shared" ca="1" si="360"/>
        <v/>
      </c>
      <c r="AS2292" s="63" t="str">
        <f ca="1">IF($AQ2292&lt;&gt;"", INDEX(Inputs!$B$3:$B$101, MATCH($AQ2292,Inputs!$A$3:$A$101,1)), "")</f>
        <v/>
      </c>
      <c r="AT2292" s="48" t="str">
        <f t="shared" ca="1" si="359"/>
        <v/>
      </c>
      <c r="AU2292" s="3" t="str">
        <f t="shared" ca="1" si="361"/>
        <v/>
      </c>
      <c r="AV2292" s="3" t="str">
        <f t="shared" ca="1" si="362"/>
        <v/>
      </c>
    </row>
    <row r="2293" spans="43:48" x14ac:dyDescent="0.2">
      <c r="AQ2293" s="4" t="str">
        <f t="shared" ca="1" si="358"/>
        <v/>
      </c>
      <c r="AR2293" s="3" t="str">
        <f t="shared" ca="1" si="360"/>
        <v/>
      </c>
      <c r="AS2293" s="63" t="str">
        <f ca="1">IF($AQ2293&lt;&gt;"", INDEX(Inputs!$B$3:$B$101, MATCH($AQ2293,Inputs!$A$3:$A$101,1)), "")</f>
        <v/>
      </c>
      <c r="AT2293" s="48" t="str">
        <f t="shared" ca="1" si="359"/>
        <v/>
      </c>
      <c r="AU2293" s="3" t="str">
        <f t="shared" ca="1" si="361"/>
        <v/>
      </c>
      <c r="AV2293" s="3" t="str">
        <f t="shared" ca="1" si="362"/>
        <v/>
      </c>
    </row>
    <row r="2294" spans="43:48" x14ac:dyDescent="0.2">
      <c r="AQ2294" s="4" t="str">
        <f t="shared" ca="1" si="358"/>
        <v/>
      </c>
      <c r="AR2294" s="3" t="str">
        <f t="shared" ca="1" si="360"/>
        <v/>
      </c>
      <c r="AS2294" s="63" t="str">
        <f ca="1">IF($AQ2294&lt;&gt;"", INDEX(Inputs!$B$3:$B$101, MATCH($AQ2294,Inputs!$A$3:$A$101,1)), "")</f>
        <v/>
      </c>
      <c r="AT2294" s="48" t="str">
        <f t="shared" ca="1" si="359"/>
        <v/>
      </c>
      <c r="AU2294" s="3" t="str">
        <f t="shared" ca="1" si="361"/>
        <v/>
      </c>
      <c r="AV2294" s="3" t="str">
        <f t="shared" ca="1" si="362"/>
        <v/>
      </c>
    </row>
    <row r="2295" spans="43:48" x14ac:dyDescent="0.2">
      <c r="AQ2295" s="4" t="str">
        <f t="shared" ca="1" si="358"/>
        <v/>
      </c>
      <c r="AR2295" s="3" t="str">
        <f t="shared" ca="1" si="360"/>
        <v/>
      </c>
      <c r="AS2295" s="63" t="str">
        <f ca="1">IF($AQ2295&lt;&gt;"", INDEX(Inputs!$B$3:$B$101, MATCH($AQ2295,Inputs!$A$3:$A$101,1)), "")</f>
        <v/>
      </c>
      <c r="AT2295" s="48" t="str">
        <f t="shared" ca="1" si="359"/>
        <v/>
      </c>
      <c r="AU2295" s="3" t="str">
        <f t="shared" ca="1" si="361"/>
        <v/>
      </c>
      <c r="AV2295" s="3" t="str">
        <f t="shared" ca="1" si="362"/>
        <v/>
      </c>
    </row>
    <row r="2296" spans="43:48" x14ac:dyDescent="0.2">
      <c r="AQ2296" s="4" t="str">
        <f t="shared" ca="1" si="358"/>
        <v/>
      </c>
      <c r="AR2296" s="3" t="str">
        <f t="shared" ca="1" si="360"/>
        <v/>
      </c>
      <c r="AS2296" s="63" t="str">
        <f ca="1">IF($AQ2296&lt;&gt;"", INDEX(Inputs!$B$3:$B$101, MATCH($AQ2296,Inputs!$A$3:$A$101,1)), "")</f>
        <v/>
      </c>
      <c r="AT2296" s="48" t="str">
        <f t="shared" ca="1" si="359"/>
        <v/>
      </c>
      <c r="AU2296" s="3" t="str">
        <f t="shared" ca="1" si="361"/>
        <v/>
      </c>
      <c r="AV2296" s="3" t="str">
        <f t="shared" ca="1" si="362"/>
        <v/>
      </c>
    </row>
    <row r="2297" spans="43:48" x14ac:dyDescent="0.2">
      <c r="AQ2297" s="4" t="str">
        <f t="shared" ref="AQ2297:AQ2360" ca="1" si="363">IF(AQ2296&lt;$AP$3,AQ2296+1,"")</f>
        <v/>
      </c>
      <c r="AR2297" s="3" t="str">
        <f t="shared" ca="1" si="360"/>
        <v/>
      </c>
      <c r="AS2297" s="63" t="str">
        <f ca="1">IF($AQ2297&lt;&gt;"", INDEX(Inputs!$B$3:$B$101, MATCH($AQ2297,Inputs!$A$3:$A$101,1)), "")</f>
        <v/>
      </c>
      <c r="AT2297" s="48" t="str">
        <f t="shared" ref="AT2297:AT2360" ca="1" si="364">IF($AQ2297&lt;&gt;"", AR2297*AS2297/365, "")</f>
        <v/>
      </c>
      <c r="AU2297" s="3" t="str">
        <f t="shared" ca="1" si="361"/>
        <v/>
      </c>
      <c r="AV2297" s="3" t="str">
        <f t="shared" ca="1" si="362"/>
        <v/>
      </c>
    </row>
    <row r="2298" spans="43:48" x14ac:dyDescent="0.2">
      <c r="AQ2298" s="4" t="str">
        <f t="shared" ca="1" si="363"/>
        <v/>
      </c>
      <c r="AR2298" s="3" t="str">
        <f t="shared" ca="1" si="360"/>
        <v/>
      </c>
      <c r="AS2298" s="63" t="str">
        <f ca="1">IF($AQ2298&lt;&gt;"", INDEX(Inputs!$B$3:$B$101, MATCH($AQ2298,Inputs!$A$3:$A$101,1)), "")</f>
        <v/>
      </c>
      <c r="AT2298" s="48" t="str">
        <f t="shared" ca="1" si="364"/>
        <v/>
      </c>
      <c r="AU2298" s="3" t="str">
        <f t="shared" ca="1" si="361"/>
        <v/>
      </c>
      <c r="AV2298" s="3" t="str">
        <f t="shared" ca="1" si="362"/>
        <v/>
      </c>
    </row>
    <row r="2299" spans="43:48" x14ac:dyDescent="0.2">
      <c r="AQ2299" s="4" t="str">
        <f t="shared" ca="1" si="363"/>
        <v/>
      </c>
      <c r="AR2299" s="3" t="str">
        <f t="shared" ca="1" si="360"/>
        <v/>
      </c>
      <c r="AS2299" s="63" t="str">
        <f ca="1">IF($AQ2299&lt;&gt;"", INDEX(Inputs!$B$3:$B$101, MATCH($AQ2299,Inputs!$A$3:$A$101,1)), "")</f>
        <v/>
      </c>
      <c r="AT2299" s="48" t="str">
        <f t="shared" ca="1" si="364"/>
        <v/>
      </c>
      <c r="AU2299" s="3" t="str">
        <f t="shared" ca="1" si="361"/>
        <v/>
      </c>
      <c r="AV2299" s="3" t="str">
        <f t="shared" ca="1" si="362"/>
        <v/>
      </c>
    </row>
    <row r="2300" spans="43:48" x14ac:dyDescent="0.2">
      <c r="AQ2300" s="4" t="str">
        <f t="shared" ca="1" si="363"/>
        <v/>
      </c>
      <c r="AR2300" s="3" t="str">
        <f t="shared" ca="1" si="360"/>
        <v/>
      </c>
      <c r="AS2300" s="63" t="str">
        <f ca="1">IF($AQ2300&lt;&gt;"", INDEX(Inputs!$B$3:$B$101, MATCH($AQ2300,Inputs!$A$3:$A$101,1)), "")</f>
        <v/>
      </c>
      <c r="AT2300" s="48" t="str">
        <f t="shared" ca="1" si="364"/>
        <v/>
      </c>
      <c r="AU2300" s="3" t="str">
        <f t="shared" ca="1" si="361"/>
        <v/>
      </c>
      <c r="AV2300" s="3" t="str">
        <f t="shared" ca="1" si="362"/>
        <v/>
      </c>
    </row>
    <row r="2301" spans="43:48" x14ac:dyDescent="0.2">
      <c r="AQ2301" s="4" t="str">
        <f t="shared" ca="1" si="363"/>
        <v/>
      </c>
      <c r="AR2301" s="3" t="str">
        <f t="shared" ca="1" si="360"/>
        <v/>
      </c>
      <c r="AS2301" s="63" t="str">
        <f ca="1">IF($AQ2301&lt;&gt;"", INDEX(Inputs!$B$3:$B$101, MATCH($AQ2301,Inputs!$A$3:$A$101,1)), "")</f>
        <v/>
      </c>
      <c r="AT2301" s="48" t="str">
        <f t="shared" ca="1" si="364"/>
        <v/>
      </c>
      <c r="AU2301" s="3" t="str">
        <f t="shared" ca="1" si="361"/>
        <v/>
      </c>
      <c r="AV2301" s="3" t="str">
        <f t="shared" ca="1" si="362"/>
        <v/>
      </c>
    </row>
    <row r="2302" spans="43:48" x14ac:dyDescent="0.2">
      <c r="AQ2302" s="4" t="str">
        <f t="shared" ca="1" si="363"/>
        <v/>
      </c>
      <c r="AR2302" s="3" t="str">
        <f t="shared" ca="1" si="360"/>
        <v/>
      </c>
      <c r="AS2302" s="63" t="str">
        <f ca="1">IF($AQ2302&lt;&gt;"", INDEX(Inputs!$B$3:$B$101, MATCH($AQ2302,Inputs!$A$3:$A$101,1)), "")</f>
        <v/>
      </c>
      <c r="AT2302" s="48" t="str">
        <f t="shared" ca="1" si="364"/>
        <v/>
      </c>
      <c r="AU2302" s="3" t="str">
        <f t="shared" ca="1" si="361"/>
        <v/>
      </c>
      <c r="AV2302" s="3" t="str">
        <f t="shared" ca="1" si="362"/>
        <v/>
      </c>
    </row>
    <row r="2303" spans="43:48" x14ac:dyDescent="0.2">
      <c r="AQ2303" s="4" t="str">
        <f t="shared" ca="1" si="363"/>
        <v/>
      </c>
      <c r="AR2303" s="3" t="str">
        <f t="shared" ca="1" si="360"/>
        <v/>
      </c>
      <c r="AS2303" s="63" t="str">
        <f ca="1">IF($AQ2303&lt;&gt;"", INDEX(Inputs!$B$3:$B$101, MATCH($AQ2303,Inputs!$A$3:$A$101,1)), "")</f>
        <v/>
      </c>
      <c r="AT2303" s="48" t="str">
        <f t="shared" ca="1" si="364"/>
        <v/>
      </c>
      <c r="AU2303" s="3" t="str">
        <f t="shared" ca="1" si="361"/>
        <v/>
      </c>
      <c r="AV2303" s="3" t="str">
        <f t="shared" ca="1" si="362"/>
        <v/>
      </c>
    </row>
    <row r="2304" spans="43:48" x14ac:dyDescent="0.2">
      <c r="AQ2304" s="4" t="str">
        <f t="shared" ca="1" si="363"/>
        <v/>
      </c>
      <c r="AR2304" s="3" t="str">
        <f t="shared" ca="1" si="360"/>
        <v/>
      </c>
      <c r="AS2304" s="63" t="str">
        <f ca="1">IF($AQ2304&lt;&gt;"", INDEX(Inputs!$B$3:$B$101, MATCH($AQ2304,Inputs!$A$3:$A$101,1)), "")</f>
        <v/>
      </c>
      <c r="AT2304" s="48" t="str">
        <f t="shared" ca="1" si="364"/>
        <v/>
      </c>
      <c r="AU2304" s="3" t="str">
        <f t="shared" ca="1" si="361"/>
        <v/>
      </c>
      <c r="AV2304" s="3" t="str">
        <f t="shared" ca="1" si="362"/>
        <v/>
      </c>
    </row>
    <row r="2305" spans="43:48" x14ac:dyDescent="0.2">
      <c r="AQ2305" s="4" t="str">
        <f t="shared" ca="1" si="363"/>
        <v/>
      </c>
      <c r="AR2305" s="3" t="str">
        <f t="shared" ca="1" si="360"/>
        <v/>
      </c>
      <c r="AS2305" s="63" t="str">
        <f ca="1">IF($AQ2305&lt;&gt;"", INDEX(Inputs!$B$3:$B$101, MATCH($AQ2305,Inputs!$A$3:$A$101,1)), "")</f>
        <v/>
      </c>
      <c r="AT2305" s="48" t="str">
        <f t="shared" ca="1" si="364"/>
        <v/>
      </c>
      <c r="AU2305" s="3" t="str">
        <f t="shared" ca="1" si="361"/>
        <v/>
      </c>
      <c r="AV2305" s="3" t="str">
        <f t="shared" ca="1" si="362"/>
        <v/>
      </c>
    </row>
    <row r="2306" spans="43:48" x14ac:dyDescent="0.2">
      <c r="AQ2306" s="4" t="str">
        <f t="shared" ca="1" si="363"/>
        <v/>
      </c>
      <c r="AR2306" s="3" t="str">
        <f t="shared" ca="1" si="360"/>
        <v/>
      </c>
      <c r="AS2306" s="63" t="str">
        <f ca="1">IF($AQ2306&lt;&gt;"", INDEX(Inputs!$B$3:$B$101, MATCH($AQ2306,Inputs!$A$3:$A$101,1)), "")</f>
        <v/>
      </c>
      <c r="AT2306" s="48" t="str">
        <f t="shared" ca="1" si="364"/>
        <v/>
      </c>
      <c r="AU2306" s="3" t="str">
        <f t="shared" ca="1" si="361"/>
        <v/>
      </c>
      <c r="AV2306" s="3" t="str">
        <f t="shared" ca="1" si="362"/>
        <v/>
      </c>
    </row>
    <row r="2307" spans="43:48" x14ac:dyDescent="0.2">
      <c r="AQ2307" s="4" t="str">
        <f t="shared" ca="1" si="363"/>
        <v/>
      </c>
      <c r="AR2307" s="3" t="str">
        <f t="shared" ca="1" si="360"/>
        <v/>
      </c>
      <c r="AS2307" s="63" t="str">
        <f ca="1">IF($AQ2307&lt;&gt;"", INDEX(Inputs!$B$3:$B$101, MATCH($AQ2307,Inputs!$A$3:$A$101,1)), "")</f>
        <v/>
      </c>
      <c r="AT2307" s="48" t="str">
        <f t="shared" ca="1" si="364"/>
        <v/>
      </c>
      <c r="AU2307" s="3" t="str">
        <f t="shared" ca="1" si="361"/>
        <v/>
      </c>
      <c r="AV2307" s="3" t="str">
        <f t="shared" ca="1" si="362"/>
        <v/>
      </c>
    </row>
    <row r="2308" spans="43:48" x14ac:dyDescent="0.2">
      <c r="AQ2308" s="4" t="str">
        <f t="shared" ca="1" si="363"/>
        <v/>
      </c>
      <c r="AR2308" s="3" t="str">
        <f t="shared" ca="1" si="360"/>
        <v/>
      </c>
      <c r="AS2308" s="63" t="str">
        <f ca="1">IF($AQ2308&lt;&gt;"", INDEX(Inputs!$B$3:$B$101, MATCH($AQ2308,Inputs!$A$3:$A$101,1)), "")</f>
        <v/>
      </c>
      <c r="AT2308" s="48" t="str">
        <f t="shared" ca="1" si="364"/>
        <v/>
      </c>
      <c r="AU2308" s="3" t="str">
        <f t="shared" ca="1" si="361"/>
        <v/>
      </c>
      <c r="AV2308" s="3" t="str">
        <f t="shared" ca="1" si="362"/>
        <v/>
      </c>
    </row>
    <row r="2309" spans="43:48" x14ac:dyDescent="0.2">
      <c r="AQ2309" s="4" t="str">
        <f t="shared" ca="1" si="363"/>
        <v/>
      </c>
      <c r="AR2309" s="3" t="str">
        <f t="shared" ca="1" si="360"/>
        <v/>
      </c>
      <c r="AS2309" s="63" t="str">
        <f ca="1">IF($AQ2309&lt;&gt;"", INDEX(Inputs!$B$3:$B$101, MATCH($AQ2309,Inputs!$A$3:$A$101,1)), "")</f>
        <v/>
      </c>
      <c r="AT2309" s="48" t="str">
        <f t="shared" ca="1" si="364"/>
        <v/>
      </c>
      <c r="AU2309" s="3" t="str">
        <f t="shared" ca="1" si="361"/>
        <v/>
      </c>
      <c r="AV2309" s="3" t="str">
        <f t="shared" ca="1" si="362"/>
        <v/>
      </c>
    </row>
    <row r="2310" spans="43:48" x14ac:dyDescent="0.2">
      <c r="AQ2310" s="4" t="str">
        <f t="shared" ca="1" si="363"/>
        <v/>
      </c>
      <c r="AR2310" s="3" t="str">
        <f t="shared" ca="1" si="360"/>
        <v/>
      </c>
      <c r="AS2310" s="63" t="str">
        <f ca="1">IF($AQ2310&lt;&gt;"", INDEX(Inputs!$B$3:$B$101, MATCH($AQ2310,Inputs!$A$3:$A$101,1)), "")</f>
        <v/>
      </c>
      <c r="AT2310" s="48" t="str">
        <f t="shared" ca="1" si="364"/>
        <v/>
      </c>
      <c r="AU2310" s="3" t="str">
        <f t="shared" ca="1" si="361"/>
        <v/>
      </c>
      <c r="AV2310" s="3" t="str">
        <f t="shared" ca="1" si="362"/>
        <v/>
      </c>
    </row>
    <row r="2311" spans="43:48" x14ac:dyDescent="0.2">
      <c r="AQ2311" s="4" t="str">
        <f t="shared" ca="1" si="363"/>
        <v/>
      </c>
      <c r="AR2311" s="3" t="str">
        <f t="shared" ca="1" si="360"/>
        <v/>
      </c>
      <c r="AS2311" s="63" t="str">
        <f ca="1">IF($AQ2311&lt;&gt;"", INDEX(Inputs!$B$3:$B$101, MATCH($AQ2311,Inputs!$A$3:$A$101,1)), "")</f>
        <v/>
      </c>
      <c r="AT2311" s="48" t="str">
        <f t="shared" ca="1" si="364"/>
        <v/>
      </c>
      <c r="AU2311" s="3" t="str">
        <f t="shared" ca="1" si="361"/>
        <v/>
      </c>
      <c r="AV2311" s="3" t="str">
        <f t="shared" ca="1" si="362"/>
        <v/>
      </c>
    </row>
    <row r="2312" spans="43:48" x14ac:dyDescent="0.2">
      <c r="AQ2312" s="4" t="str">
        <f t="shared" ca="1" si="363"/>
        <v/>
      </c>
      <c r="AR2312" s="3" t="str">
        <f t="shared" ca="1" si="360"/>
        <v/>
      </c>
      <c r="AS2312" s="63" t="str">
        <f ca="1">IF($AQ2312&lt;&gt;"", INDEX(Inputs!$B$3:$B$101, MATCH($AQ2312,Inputs!$A$3:$A$101,1)), "")</f>
        <v/>
      </c>
      <c r="AT2312" s="48" t="str">
        <f t="shared" ca="1" si="364"/>
        <v/>
      </c>
      <c r="AU2312" s="3" t="str">
        <f t="shared" ca="1" si="361"/>
        <v/>
      </c>
      <c r="AV2312" s="3" t="str">
        <f t="shared" ca="1" si="362"/>
        <v/>
      </c>
    </row>
    <row r="2313" spans="43:48" x14ac:dyDescent="0.2">
      <c r="AQ2313" s="4" t="str">
        <f t="shared" ca="1" si="363"/>
        <v/>
      </c>
      <c r="AR2313" s="3" t="str">
        <f t="shared" ca="1" si="360"/>
        <v/>
      </c>
      <c r="AS2313" s="63" t="str">
        <f ca="1">IF($AQ2313&lt;&gt;"", INDEX(Inputs!$B$3:$B$101, MATCH($AQ2313,Inputs!$A$3:$A$101,1)), "")</f>
        <v/>
      </c>
      <c r="AT2313" s="48" t="str">
        <f t="shared" ca="1" si="364"/>
        <v/>
      </c>
      <c r="AU2313" s="3" t="str">
        <f t="shared" ca="1" si="361"/>
        <v/>
      </c>
      <c r="AV2313" s="3" t="str">
        <f t="shared" ca="1" si="362"/>
        <v/>
      </c>
    </row>
    <row r="2314" spans="43:48" x14ac:dyDescent="0.2">
      <c r="AQ2314" s="4" t="str">
        <f t="shared" ca="1" si="363"/>
        <v/>
      </c>
      <c r="AR2314" s="3" t="str">
        <f t="shared" ca="1" si="360"/>
        <v/>
      </c>
      <c r="AS2314" s="63" t="str">
        <f ca="1">IF($AQ2314&lt;&gt;"", INDEX(Inputs!$B$3:$B$101, MATCH($AQ2314,Inputs!$A$3:$A$101,1)), "")</f>
        <v/>
      </c>
      <c r="AT2314" s="48" t="str">
        <f t="shared" ca="1" si="364"/>
        <v/>
      </c>
      <c r="AU2314" s="3" t="str">
        <f t="shared" ca="1" si="361"/>
        <v/>
      </c>
      <c r="AV2314" s="3" t="str">
        <f t="shared" ca="1" si="362"/>
        <v/>
      </c>
    </row>
    <row r="2315" spans="43:48" x14ac:dyDescent="0.2">
      <c r="AQ2315" s="4" t="str">
        <f t="shared" ca="1" si="363"/>
        <v/>
      </c>
      <c r="AR2315" s="3" t="str">
        <f t="shared" ca="1" si="360"/>
        <v/>
      </c>
      <c r="AS2315" s="63" t="str">
        <f ca="1">IF($AQ2315&lt;&gt;"", INDEX(Inputs!$B$3:$B$101, MATCH($AQ2315,Inputs!$A$3:$A$101,1)), "")</f>
        <v/>
      </c>
      <c r="AT2315" s="48" t="str">
        <f t="shared" ca="1" si="364"/>
        <v/>
      </c>
      <c r="AU2315" s="3" t="str">
        <f t="shared" ca="1" si="361"/>
        <v/>
      </c>
      <c r="AV2315" s="3" t="str">
        <f t="shared" ca="1" si="362"/>
        <v/>
      </c>
    </row>
    <row r="2316" spans="43:48" x14ac:dyDescent="0.2">
      <c r="AQ2316" s="4" t="str">
        <f t="shared" ca="1" si="363"/>
        <v/>
      </c>
      <c r="AR2316" s="3" t="str">
        <f t="shared" ca="1" si="360"/>
        <v/>
      </c>
      <c r="AS2316" s="63" t="str">
        <f ca="1">IF($AQ2316&lt;&gt;"", INDEX(Inputs!$B$3:$B$101, MATCH($AQ2316,Inputs!$A$3:$A$101,1)), "")</f>
        <v/>
      </c>
      <c r="AT2316" s="48" t="str">
        <f t="shared" ca="1" si="364"/>
        <v/>
      </c>
      <c r="AU2316" s="3" t="str">
        <f t="shared" ca="1" si="361"/>
        <v/>
      </c>
      <c r="AV2316" s="3" t="str">
        <f t="shared" ca="1" si="362"/>
        <v/>
      </c>
    </row>
    <row r="2317" spans="43:48" x14ac:dyDescent="0.2">
      <c r="AQ2317" s="4" t="str">
        <f t="shared" ca="1" si="363"/>
        <v/>
      </c>
      <c r="AR2317" s="3" t="str">
        <f t="shared" ca="1" si="360"/>
        <v/>
      </c>
      <c r="AS2317" s="63" t="str">
        <f ca="1">IF($AQ2317&lt;&gt;"", INDEX(Inputs!$B$3:$B$101, MATCH($AQ2317,Inputs!$A$3:$A$101,1)), "")</f>
        <v/>
      </c>
      <c r="AT2317" s="48" t="str">
        <f t="shared" ca="1" si="364"/>
        <v/>
      </c>
      <c r="AU2317" s="3" t="str">
        <f t="shared" ca="1" si="361"/>
        <v/>
      </c>
      <c r="AV2317" s="3" t="str">
        <f t="shared" ca="1" si="362"/>
        <v/>
      </c>
    </row>
    <row r="2318" spans="43:48" x14ac:dyDescent="0.2">
      <c r="AQ2318" s="4" t="str">
        <f t="shared" ca="1" si="363"/>
        <v/>
      </c>
      <c r="AR2318" s="3" t="str">
        <f t="shared" ca="1" si="360"/>
        <v/>
      </c>
      <c r="AS2318" s="63" t="str">
        <f ca="1">IF($AQ2318&lt;&gt;"", INDEX(Inputs!$B$3:$B$101, MATCH($AQ2318,Inputs!$A$3:$A$101,1)), "")</f>
        <v/>
      </c>
      <c r="AT2318" s="48" t="str">
        <f t="shared" ca="1" si="364"/>
        <v/>
      </c>
      <c r="AU2318" s="3" t="str">
        <f t="shared" ca="1" si="361"/>
        <v/>
      </c>
      <c r="AV2318" s="3" t="str">
        <f t="shared" ca="1" si="362"/>
        <v/>
      </c>
    </row>
    <row r="2319" spans="43:48" x14ac:dyDescent="0.2">
      <c r="AQ2319" s="4" t="str">
        <f t="shared" ca="1" si="363"/>
        <v/>
      </c>
      <c r="AR2319" s="3" t="str">
        <f t="shared" ca="1" si="360"/>
        <v/>
      </c>
      <c r="AS2319" s="63" t="str">
        <f ca="1">IF($AQ2319&lt;&gt;"", INDEX(Inputs!$B$3:$B$101, MATCH($AQ2319,Inputs!$A$3:$A$101,1)), "")</f>
        <v/>
      </c>
      <c r="AT2319" s="48" t="str">
        <f t="shared" ca="1" si="364"/>
        <v/>
      </c>
      <c r="AU2319" s="3" t="str">
        <f t="shared" ca="1" si="361"/>
        <v/>
      </c>
      <c r="AV2319" s="3" t="str">
        <f t="shared" ca="1" si="362"/>
        <v/>
      </c>
    </row>
    <row r="2320" spans="43:48" x14ac:dyDescent="0.2">
      <c r="AQ2320" s="4" t="str">
        <f t="shared" ca="1" si="363"/>
        <v/>
      </c>
      <c r="AR2320" s="3" t="str">
        <f t="shared" ca="1" si="360"/>
        <v/>
      </c>
      <c r="AS2320" s="63" t="str">
        <f ca="1">IF($AQ2320&lt;&gt;"", INDEX(Inputs!$B$3:$B$101, MATCH($AQ2320,Inputs!$A$3:$A$101,1)), "")</f>
        <v/>
      </c>
      <c r="AT2320" s="48" t="str">
        <f t="shared" ca="1" si="364"/>
        <v/>
      </c>
      <c r="AU2320" s="3" t="str">
        <f t="shared" ca="1" si="361"/>
        <v/>
      </c>
      <c r="AV2320" s="3" t="str">
        <f t="shared" ca="1" si="362"/>
        <v/>
      </c>
    </row>
    <row r="2321" spans="43:48" x14ac:dyDescent="0.2">
      <c r="AQ2321" s="4" t="str">
        <f t="shared" ca="1" si="363"/>
        <v/>
      </c>
      <c r="AR2321" s="3" t="str">
        <f t="shared" ca="1" si="360"/>
        <v/>
      </c>
      <c r="AS2321" s="63" t="str">
        <f ca="1">IF($AQ2321&lt;&gt;"", INDEX(Inputs!$B$3:$B$101, MATCH($AQ2321,Inputs!$A$3:$A$101,1)), "")</f>
        <v/>
      </c>
      <c r="AT2321" s="48" t="str">
        <f t="shared" ca="1" si="364"/>
        <v/>
      </c>
      <c r="AU2321" s="3" t="str">
        <f t="shared" ca="1" si="361"/>
        <v/>
      </c>
      <c r="AV2321" s="3" t="str">
        <f t="shared" ca="1" si="362"/>
        <v/>
      </c>
    </row>
    <row r="2322" spans="43:48" x14ac:dyDescent="0.2">
      <c r="AQ2322" s="4" t="str">
        <f t="shared" ca="1" si="363"/>
        <v/>
      </c>
      <c r="AR2322" s="3" t="str">
        <f t="shared" ca="1" si="360"/>
        <v/>
      </c>
      <c r="AS2322" s="63" t="str">
        <f ca="1">IF($AQ2322&lt;&gt;"", INDEX(Inputs!$B$3:$B$101, MATCH($AQ2322,Inputs!$A$3:$A$101,1)), "")</f>
        <v/>
      </c>
      <c r="AT2322" s="48" t="str">
        <f t="shared" ca="1" si="364"/>
        <v/>
      </c>
      <c r="AU2322" s="3" t="str">
        <f t="shared" ca="1" si="361"/>
        <v/>
      </c>
      <c r="AV2322" s="3" t="str">
        <f t="shared" ca="1" si="362"/>
        <v/>
      </c>
    </row>
    <row r="2323" spans="43:48" x14ac:dyDescent="0.2">
      <c r="AQ2323" s="4" t="str">
        <f t="shared" ca="1" si="363"/>
        <v/>
      </c>
      <c r="AR2323" s="3" t="str">
        <f t="shared" ca="1" si="360"/>
        <v/>
      </c>
      <c r="AS2323" s="63" t="str">
        <f ca="1">IF($AQ2323&lt;&gt;"", INDEX(Inputs!$B$3:$B$101, MATCH($AQ2323,Inputs!$A$3:$A$101,1)), "")</f>
        <v/>
      </c>
      <c r="AT2323" s="48" t="str">
        <f t="shared" ca="1" si="364"/>
        <v/>
      </c>
      <c r="AU2323" s="3" t="str">
        <f t="shared" ca="1" si="361"/>
        <v/>
      </c>
      <c r="AV2323" s="3" t="str">
        <f t="shared" ca="1" si="362"/>
        <v/>
      </c>
    </row>
    <row r="2324" spans="43:48" x14ac:dyDescent="0.2">
      <c r="AQ2324" s="4" t="str">
        <f t="shared" ca="1" si="363"/>
        <v/>
      </c>
      <c r="AR2324" s="3" t="str">
        <f t="shared" ca="1" si="360"/>
        <v/>
      </c>
      <c r="AS2324" s="63" t="str">
        <f ca="1">IF($AQ2324&lt;&gt;"", INDEX(Inputs!$B$3:$B$101, MATCH($AQ2324,Inputs!$A$3:$A$101,1)), "")</f>
        <v/>
      </c>
      <c r="AT2324" s="48" t="str">
        <f t="shared" ca="1" si="364"/>
        <v/>
      </c>
      <c r="AU2324" s="3" t="str">
        <f t="shared" ca="1" si="361"/>
        <v/>
      </c>
      <c r="AV2324" s="3" t="str">
        <f t="shared" ca="1" si="362"/>
        <v/>
      </c>
    </row>
    <row r="2325" spans="43:48" x14ac:dyDescent="0.2">
      <c r="AQ2325" s="4" t="str">
        <f t="shared" ca="1" si="363"/>
        <v/>
      </c>
      <c r="AR2325" s="3" t="str">
        <f t="shared" ca="1" si="360"/>
        <v/>
      </c>
      <c r="AS2325" s="63" t="str">
        <f ca="1">IF($AQ2325&lt;&gt;"", INDEX(Inputs!$B$3:$B$101, MATCH($AQ2325,Inputs!$A$3:$A$101,1)), "")</f>
        <v/>
      </c>
      <c r="AT2325" s="48" t="str">
        <f t="shared" ca="1" si="364"/>
        <v/>
      </c>
      <c r="AU2325" s="3" t="str">
        <f t="shared" ca="1" si="361"/>
        <v/>
      </c>
      <c r="AV2325" s="3" t="str">
        <f t="shared" ca="1" si="362"/>
        <v/>
      </c>
    </row>
    <row r="2326" spans="43:48" x14ac:dyDescent="0.2">
      <c r="AQ2326" s="4" t="str">
        <f t="shared" ca="1" si="363"/>
        <v/>
      </c>
      <c r="AR2326" s="3" t="str">
        <f t="shared" ca="1" si="360"/>
        <v/>
      </c>
      <c r="AS2326" s="63" t="str">
        <f ca="1">IF($AQ2326&lt;&gt;"", INDEX(Inputs!$B$3:$B$101, MATCH($AQ2326,Inputs!$A$3:$A$101,1)), "")</f>
        <v/>
      </c>
      <c r="AT2326" s="48" t="str">
        <f t="shared" ca="1" si="364"/>
        <v/>
      </c>
      <c r="AU2326" s="3" t="str">
        <f t="shared" ca="1" si="361"/>
        <v/>
      </c>
      <c r="AV2326" s="3" t="str">
        <f t="shared" ca="1" si="362"/>
        <v/>
      </c>
    </row>
    <row r="2327" spans="43:48" x14ac:dyDescent="0.2">
      <c r="AQ2327" s="4" t="str">
        <f t="shared" ca="1" si="363"/>
        <v/>
      </c>
      <c r="AR2327" s="3" t="str">
        <f t="shared" ca="1" si="360"/>
        <v/>
      </c>
      <c r="AS2327" s="63" t="str">
        <f ca="1">IF($AQ2327&lt;&gt;"", INDEX(Inputs!$B$3:$B$101, MATCH($AQ2327,Inputs!$A$3:$A$101,1)), "")</f>
        <v/>
      </c>
      <c r="AT2327" s="48" t="str">
        <f t="shared" ca="1" si="364"/>
        <v/>
      </c>
      <c r="AU2327" s="3" t="str">
        <f t="shared" ca="1" si="361"/>
        <v/>
      </c>
      <c r="AV2327" s="3" t="str">
        <f t="shared" ca="1" si="362"/>
        <v/>
      </c>
    </row>
    <row r="2328" spans="43:48" x14ac:dyDescent="0.2">
      <c r="AQ2328" s="4" t="str">
        <f t="shared" ca="1" si="363"/>
        <v/>
      </c>
      <c r="AR2328" s="3" t="str">
        <f t="shared" ca="1" si="360"/>
        <v/>
      </c>
      <c r="AS2328" s="63" t="str">
        <f ca="1">IF($AQ2328&lt;&gt;"", INDEX(Inputs!$B$3:$B$101, MATCH($AQ2328,Inputs!$A$3:$A$101,1)), "")</f>
        <v/>
      </c>
      <c r="AT2328" s="48" t="str">
        <f t="shared" ca="1" si="364"/>
        <v/>
      </c>
      <c r="AU2328" s="3" t="str">
        <f t="shared" ca="1" si="361"/>
        <v/>
      </c>
      <c r="AV2328" s="3" t="str">
        <f t="shared" ca="1" si="362"/>
        <v/>
      </c>
    </row>
    <row r="2329" spans="43:48" x14ac:dyDescent="0.2">
      <c r="AQ2329" s="4" t="str">
        <f t="shared" ca="1" si="363"/>
        <v/>
      </c>
      <c r="AR2329" s="3" t="str">
        <f t="shared" ref="AR2329:AR2392" ca="1" si="365">IF($AQ2329&lt;&gt;"", INDEX($AC$3:$AC$1055, MATCH($AQ2329,$A$3:$A$1055,1)), "")</f>
        <v/>
      </c>
      <c r="AS2329" s="63" t="str">
        <f ca="1">IF($AQ2329&lt;&gt;"", INDEX(Inputs!$B$3:$B$101, MATCH($AQ2329,Inputs!$A$3:$A$101,1)), "")</f>
        <v/>
      </c>
      <c r="AT2329" s="48" t="str">
        <f t="shared" ca="1" si="364"/>
        <v/>
      </c>
      <c r="AU2329" s="3" t="str">
        <f t="shared" ref="AU2329:AU2392" ca="1" si="366">IF($AQ2329&lt;&gt;"", SUMIFS($AL$3:$AL$1054, $A$3:$A$1054,$AQ2329) + SUMIFS($M$3:$M$1054, $A$3:$A$1054,$AQ2329)*IFERROR(AVERAGEIFS($L$3:$L$1054, $A$3:$A$1054,$AQ2329, $M$3:$M$1054,"&gt;0"),0) - AT2329, "")</f>
        <v/>
      </c>
      <c r="AV2329" s="3" t="str">
        <f t="shared" ca="1" si="362"/>
        <v/>
      </c>
    </row>
    <row r="2330" spans="43:48" x14ac:dyDescent="0.2">
      <c r="AQ2330" s="4" t="str">
        <f t="shared" ca="1" si="363"/>
        <v/>
      </c>
      <c r="AR2330" s="3" t="str">
        <f t="shared" ca="1" si="365"/>
        <v/>
      </c>
      <c r="AS2330" s="63" t="str">
        <f ca="1">IF($AQ2330&lt;&gt;"", INDEX(Inputs!$B$3:$B$101, MATCH($AQ2330,Inputs!$A$3:$A$101,1)), "")</f>
        <v/>
      </c>
      <c r="AT2330" s="48" t="str">
        <f t="shared" ca="1" si="364"/>
        <v/>
      </c>
      <c r="AU2330" s="3" t="str">
        <f t="shared" ca="1" si="366"/>
        <v/>
      </c>
      <c r="AV2330" s="3" t="str">
        <f t="shared" ca="1" si="362"/>
        <v/>
      </c>
    </row>
    <row r="2331" spans="43:48" x14ac:dyDescent="0.2">
      <c r="AQ2331" s="4" t="str">
        <f t="shared" ca="1" si="363"/>
        <v/>
      </c>
      <c r="AR2331" s="3" t="str">
        <f t="shared" ca="1" si="365"/>
        <v/>
      </c>
      <c r="AS2331" s="63" t="str">
        <f ca="1">IF($AQ2331&lt;&gt;"", INDEX(Inputs!$B$3:$B$101, MATCH($AQ2331,Inputs!$A$3:$A$101,1)), "")</f>
        <v/>
      </c>
      <c r="AT2331" s="48" t="str">
        <f t="shared" ca="1" si="364"/>
        <v/>
      </c>
      <c r="AU2331" s="3" t="str">
        <f t="shared" ca="1" si="366"/>
        <v/>
      </c>
      <c r="AV2331" s="3" t="str">
        <f t="shared" ca="1" si="362"/>
        <v/>
      </c>
    </row>
    <row r="2332" spans="43:48" x14ac:dyDescent="0.2">
      <c r="AQ2332" s="4" t="str">
        <f t="shared" ca="1" si="363"/>
        <v/>
      </c>
      <c r="AR2332" s="3" t="str">
        <f t="shared" ca="1" si="365"/>
        <v/>
      </c>
      <c r="AS2332" s="63" t="str">
        <f ca="1">IF($AQ2332&lt;&gt;"", INDEX(Inputs!$B$3:$B$101, MATCH($AQ2332,Inputs!$A$3:$A$101,1)), "")</f>
        <v/>
      </c>
      <c r="AT2332" s="48" t="str">
        <f t="shared" ca="1" si="364"/>
        <v/>
      </c>
      <c r="AU2332" s="3" t="str">
        <f t="shared" ca="1" si="366"/>
        <v/>
      </c>
      <c r="AV2332" s="3" t="str">
        <f t="shared" ca="1" si="362"/>
        <v/>
      </c>
    </row>
    <row r="2333" spans="43:48" x14ac:dyDescent="0.2">
      <c r="AQ2333" s="4" t="str">
        <f t="shared" ca="1" si="363"/>
        <v/>
      </c>
      <c r="AR2333" s="3" t="str">
        <f t="shared" ca="1" si="365"/>
        <v/>
      </c>
      <c r="AS2333" s="63" t="str">
        <f ca="1">IF($AQ2333&lt;&gt;"", INDEX(Inputs!$B$3:$B$101, MATCH($AQ2333,Inputs!$A$3:$A$101,1)), "")</f>
        <v/>
      </c>
      <c r="AT2333" s="48" t="str">
        <f t="shared" ca="1" si="364"/>
        <v/>
      </c>
      <c r="AU2333" s="3" t="str">
        <f t="shared" ca="1" si="366"/>
        <v/>
      </c>
      <c r="AV2333" s="3" t="str">
        <f t="shared" ca="1" si="362"/>
        <v/>
      </c>
    </row>
    <row r="2334" spans="43:48" x14ac:dyDescent="0.2">
      <c r="AQ2334" s="4" t="str">
        <f t="shared" ca="1" si="363"/>
        <v/>
      </c>
      <c r="AR2334" s="3" t="str">
        <f t="shared" ca="1" si="365"/>
        <v/>
      </c>
      <c r="AS2334" s="63" t="str">
        <f ca="1">IF($AQ2334&lt;&gt;"", INDEX(Inputs!$B$3:$B$101, MATCH($AQ2334,Inputs!$A$3:$A$101,1)), "")</f>
        <v/>
      </c>
      <c r="AT2334" s="48" t="str">
        <f t="shared" ca="1" si="364"/>
        <v/>
      </c>
      <c r="AU2334" s="3" t="str">
        <f t="shared" ca="1" si="366"/>
        <v/>
      </c>
      <c r="AV2334" s="3" t="str">
        <f t="shared" ca="1" si="362"/>
        <v/>
      </c>
    </row>
    <row r="2335" spans="43:48" x14ac:dyDescent="0.2">
      <c r="AQ2335" s="4" t="str">
        <f t="shared" ca="1" si="363"/>
        <v/>
      </c>
      <c r="AR2335" s="3" t="str">
        <f t="shared" ca="1" si="365"/>
        <v/>
      </c>
      <c r="AS2335" s="63" t="str">
        <f ca="1">IF($AQ2335&lt;&gt;"", INDEX(Inputs!$B$3:$B$101, MATCH($AQ2335,Inputs!$A$3:$A$101,1)), "")</f>
        <v/>
      </c>
      <c r="AT2335" s="48" t="str">
        <f t="shared" ca="1" si="364"/>
        <v/>
      </c>
      <c r="AU2335" s="3" t="str">
        <f t="shared" ca="1" si="366"/>
        <v/>
      </c>
      <c r="AV2335" s="3" t="str">
        <f t="shared" ca="1" si="362"/>
        <v/>
      </c>
    </row>
    <row r="2336" spans="43:48" x14ac:dyDescent="0.2">
      <c r="AQ2336" s="4" t="str">
        <f t="shared" ca="1" si="363"/>
        <v/>
      </c>
      <c r="AR2336" s="3" t="str">
        <f t="shared" ca="1" si="365"/>
        <v/>
      </c>
      <c r="AS2336" s="63" t="str">
        <f ca="1">IF($AQ2336&lt;&gt;"", INDEX(Inputs!$B$3:$B$101, MATCH($AQ2336,Inputs!$A$3:$A$101,1)), "")</f>
        <v/>
      </c>
      <c r="AT2336" s="48" t="str">
        <f t="shared" ca="1" si="364"/>
        <v/>
      </c>
      <c r="AU2336" s="3" t="str">
        <f t="shared" ca="1" si="366"/>
        <v/>
      </c>
      <c r="AV2336" s="3" t="str">
        <f t="shared" ref="AV2336:AV2399" ca="1" si="367">IF(AQ2336&lt;&gt;"", AU2336*(1+$X$9/CompoundingRate)^-((AQ2336-AQ$3)/(365/CompoundingRate)), "")</f>
        <v/>
      </c>
    </row>
    <row r="2337" spans="43:48" x14ac:dyDescent="0.2">
      <c r="AQ2337" s="4" t="str">
        <f t="shared" ca="1" si="363"/>
        <v/>
      </c>
      <c r="AR2337" s="3" t="str">
        <f t="shared" ca="1" si="365"/>
        <v/>
      </c>
      <c r="AS2337" s="63" t="str">
        <f ca="1">IF($AQ2337&lt;&gt;"", INDEX(Inputs!$B$3:$B$101, MATCH($AQ2337,Inputs!$A$3:$A$101,1)), "")</f>
        <v/>
      </c>
      <c r="AT2337" s="48" t="str">
        <f t="shared" ca="1" si="364"/>
        <v/>
      </c>
      <c r="AU2337" s="3" t="str">
        <f t="shared" ca="1" si="366"/>
        <v/>
      </c>
      <c r="AV2337" s="3" t="str">
        <f t="shared" ca="1" si="367"/>
        <v/>
      </c>
    </row>
    <row r="2338" spans="43:48" x14ac:dyDescent="0.2">
      <c r="AQ2338" s="4" t="str">
        <f t="shared" ca="1" si="363"/>
        <v/>
      </c>
      <c r="AR2338" s="3" t="str">
        <f t="shared" ca="1" si="365"/>
        <v/>
      </c>
      <c r="AS2338" s="63" t="str">
        <f ca="1">IF($AQ2338&lt;&gt;"", INDEX(Inputs!$B$3:$B$101, MATCH($AQ2338,Inputs!$A$3:$A$101,1)), "")</f>
        <v/>
      </c>
      <c r="AT2338" s="48" t="str">
        <f t="shared" ca="1" si="364"/>
        <v/>
      </c>
      <c r="AU2338" s="3" t="str">
        <f t="shared" ca="1" si="366"/>
        <v/>
      </c>
      <c r="AV2338" s="3" t="str">
        <f t="shared" ca="1" si="367"/>
        <v/>
      </c>
    </row>
    <row r="2339" spans="43:48" x14ac:dyDescent="0.2">
      <c r="AQ2339" s="4" t="str">
        <f t="shared" ca="1" si="363"/>
        <v/>
      </c>
      <c r="AR2339" s="3" t="str">
        <f t="shared" ca="1" si="365"/>
        <v/>
      </c>
      <c r="AS2339" s="63" t="str">
        <f ca="1">IF($AQ2339&lt;&gt;"", INDEX(Inputs!$B$3:$B$101, MATCH($AQ2339,Inputs!$A$3:$A$101,1)), "")</f>
        <v/>
      </c>
      <c r="AT2339" s="48" t="str">
        <f t="shared" ca="1" si="364"/>
        <v/>
      </c>
      <c r="AU2339" s="3" t="str">
        <f t="shared" ca="1" si="366"/>
        <v/>
      </c>
      <c r="AV2339" s="3" t="str">
        <f t="shared" ca="1" si="367"/>
        <v/>
      </c>
    </row>
    <row r="2340" spans="43:48" x14ac:dyDescent="0.2">
      <c r="AQ2340" s="4" t="str">
        <f t="shared" ca="1" si="363"/>
        <v/>
      </c>
      <c r="AR2340" s="3" t="str">
        <f t="shared" ca="1" si="365"/>
        <v/>
      </c>
      <c r="AS2340" s="63" t="str">
        <f ca="1">IF($AQ2340&lt;&gt;"", INDEX(Inputs!$B$3:$B$101, MATCH($AQ2340,Inputs!$A$3:$A$101,1)), "")</f>
        <v/>
      </c>
      <c r="AT2340" s="48" t="str">
        <f t="shared" ca="1" si="364"/>
        <v/>
      </c>
      <c r="AU2340" s="3" t="str">
        <f t="shared" ca="1" si="366"/>
        <v/>
      </c>
      <c r="AV2340" s="3" t="str">
        <f t="shared" ca="1" si="367"/>
        <v/>
      </c>
    </row>
    <row r="2341" spans="43:48" x14ac:dyDescent="0.2">
      <c r="AQ2341" s="4" t="str">
        <f t="shared" ca="1" si="363"/>
        <v/>
      </c>
      <c r="AR2341" s="3" t="str">
        <f t="shared" ca="1" si="365"/>
        <v/>
      </c>
      <c r="AS2341" s="63" t="str">
        <f ca="1">IF($AQ2341&lt;&gt;"", INDEX(Inputs!$B$3:$B$101, MATCH($AQ2341,Inputs!$A$3:$A$101,1)), "")</f>
        <v/>
      </c>
      <c r="AT2341" s="48" t="str">
        <f t="shared" ca="1" si="364"/>
        <v/>
      </c>
      <c r="AU2341" s="3" t="str">
        <f t="shared" ca="1" si="366"/>
        <v/>
      </c>
      <c r="AV2341" s="3" t="str">
        <f t="shared" ca="1" si="367"/>
        <v/>
      </c>
    </row>
    <row r="2342" spans="43:48" x14ac:dyDescent="0.2">
      <c r="AQ2342" s="4" t="str">
        <f t="shared" ca="1" si="363"/>
        <v/>
      </c>
      <c r="AR2342" s="3" t="str">
        <f t="shared" ca="1" si="365"/>
        <v/>
      </c>
      <c r="AS2342" s="63" t="str">
        <f ca="1">IF($AQ2342&lt;&gt;"", INDEX(Inputs!$B$3:$B$101, MATCH($AQ2342,Inputs!$A$3:$A$101,1)), "")</f>
        <v/>
      </c>
      <c r="AT2342" s="48" t="str">
        <f t="shared" ca="1" si="364"/>
        <v/>
      </c>
      <c r="AU2342" s="3" t="str">
        <f t="shared" ca="1" si="366"/>
        <v/>
      </c>
      <c r="AV2342" s="3" t="str">
        <f t="shared" ca="1" si="367"/>
        <v/>
      </c>
    </row>
    <row r="2343" spans="43:48" x14ac:dyDescent="0.2">
      <c r="AQ2343" s="4" t="str">
        <f t="shared" ca="1" si="363"/>
        <v/>
      </c>
      <c r="AR2343" s="3" t="str">
        <f t="shared" ca="1" si="365"/>
        <v/>
      </c>
      <c r="AS2343" s="63" t="str">
        <f ca="1">IF($AQ2343&lt;&gt;"", INDEX(Inputs!$B$3:$B$101, MATCH($AQ2343,Inputs!$A$3:$A$101,1)), "")</f>
        <v/>
      </c>
      <c r="AT2343" s="48" t="str">
        <f t="shared" ca="1" si="364"/>
        <v/>
      </c>
      <c r="AU2343" s="3" t="str">
        <f t="shared" ca="1" si="366"/>
        <v/>
      </c>
      <c r="AV2343" s="3" t="str">
        <f t="shared" ca="1" si="367"/>
        <v/>
      </c>
    </row>
    <row r="2344" spans="43:48" x14ac:dyDescent="0.2">
      <c r="AQ2344" s="4" t="str">
        <f t="shared" ca="1" si="363"/>
        <v/>
      </c>
      <c r="AR2344" s="3" t="str">
        <f t="shared" ca="1" si="365"/>
        <v/>
      </c>
      <c r="AS2344" s="63" t="str">
        <f ca="1">IF($AQ2344&lt;&gt;"", INDEX(Inputs!$B$3:$B$101, MATCH($AQ2344,Inputs!$A$3:$A$101,1)), "")</f>
        <v/>
      </c>
      <c r="AT2344" s="48" t="str">
        <f t="shared" ca="1" si="364"/>
        <v/>
      </c>
      <c r="AU2344" s="3" t="str">
        <f t="shared" ca="1" si="366"/>
        <v/>
      </c>
      <c r="AV2344" s="3" t="str">
        <f t="shared" ca="1" si="367"/>
        <v/>
      </c>
    </row>
    <row r="2345" spans="43:48" x14ac:dyDescent="0.2">
      <c r="AQ2345" s="4" t="str">
        <f t="shared" ca="1" si="363"/>
        <v/>
      </c>
      <c r="AR2345" s="3" t="str">
        <f t="shared" ca="1" si="365"/>
        <v/>
      </c>
      <c r="AS2345" s="63" t="str">
        <f ca="1">IF($AQ2345&lt;&gt;"", INDEX(Inputs!$B$3:$B$101, MATCH($AQ2345,Inputs!$A$3:$A$101,1)), "")</f>
        <v/>
      </c>
      <c r="AT2345" s="48" t="str">
        <f t="shared" ca="1" si="364"/>
        <v/>
      </c>
      <c r="AU2345" s="3" t="str">
        <f t="shared" ca="1" si="366"/>
        <v/>
      </c>
      <c r="AV2345" s="3" t="str">
        <f t="shared" ca="1" si="367"/>
        <v/>
      </c>
    </row>
    <row r="2346" spans="43:48" x14ac:dyDescent="0.2">
      <c r="AQ2346" s="4" t="str">
        <f t="shared" ca="1" si="363"/>
        <v/>
      </c>
      <c r="AR2346" s="3" t="str">
        <f t="shared" ca="1" si="365"/>
        <v/>
      </c>
      <c r="AS2346" s="63" t="str">
        <f ca="1">IF($AQ2346&lt;&gt;"", INDEX(Inputs!$B$3:$B$101, MATCH($AQ2346,Inputs!$A$3:$A$101,1)), "")</f>
        <v/>
      </c>
      <c r="AT2346" s="48" t="str">
        <f t="shared" ca="1" si="364"/>
        <v/>
      </c>
      <c r="AU2346" s="3" t="str">
        <f t="shared" ca="1" si="366"/>
        <v/>
      </c>
      <c r="AV2346" s="3" t="str">
        <f t="shared" ca="1" si="367"/>
        <v/>
      </c>
    </row>
    <row r="2347" spans="43:48" x14ac:dyDescent="0.2">
      <c r="AQ2347" s="4" t="str">
        <f t="shared" ca="1" si="363"/>
        <v/>
      </c>
      <c r="AR2347" s="3" t="str">
        <f t="shared" ca="1" si="365"/>
        <v/>
      </c>
      <c r="AS2347" s="63" t="str">
        <f ca="1">IF($AQ2347&lt;&gt;"", INDEX(Inputs!$B$3:$B$101, MATCH($AQ2347,Inputs!$A$3:$A$101,1)), "")</f>
        <v/>
      </c>
      <c r="AT2347" s="48" t="str">
        <f t="shared" ca="1" si="364"/>
        <v/>
      </c>
      <c r="AU2347" s="3" t="str">
        <f t="shared" ca="1" si="366"/>
        <v/>
      </c>
      <c r="AV2347" s="3" t="str">
        <f t="shared" ca="1" si="367"/>
        <v/>
      </c>
    </row>
    <row r="2348" spans="43:48" x14ac:dyDescent="0.2">
      <c r="AQ2348" s="4" t="str">
        <f t="shared" ca="1" si="363"/>
        <v/>
      </c>
      <c r="AR2348" s="3" t="str">
        <f t="shared" ca="1" si="365"/>
        <v/>
      </c>
      <c r="AS2348" s="63" t="str">
        <f ca="1">IF($AQ2348&lt;&gt;"", INDEX(Inputs!$B$3:$B$101, MATCH($AQ2348,Inputs!$A$3:$A$101,1)), "")</f>
        <v/>
      </c>
      <c r="AT2348" s="48" t="str">
        <f t="shared" ca="1" si="364"/>
        <v/>
      </c>
      <c r="AU2348" s="3" t="str">
        <f t="shared" ca="1" si="366"/>
        <v/>
      </c>
      <c r="AV2348" s="3" t="str">
        <f t="shared" ca="1" si="367"/>
        <v/>
      </c>
    </row>
    <row r="2349" spans="43:48" x14ac:dyDescent="0.2">
      <c r="AQ2349" s="4" t="str">
        <f t="shared" ca="1" si="363"/>
        <v/>
      </c>
      <c r="AR2349" s="3" t="str">
        <f t="shared" ca="1" si="365"/>
        <v/>
      </c>
      <c r="AS2349" s="63" t="str">
        <f ca="1">IF($AQ2349&lt;&gt;"", INDEX(Inputs!$B$3:$B$101, MATCH($AQ2349,Inputs!$A$3:$A$101,1)), "")</f>
        <v/>
      </c>
      <c r="AT2349" s="48" t="str">
        <f t="shared" ca="1" si="364"/>
        <v/>
      </c>
      <c r="AU2349" s="3" t="str">
        <f t="shared" ca="1" si="366"/>
        <v/>
      </c>
      <c r="AV2349" s="3" t="str">
        <f t="shared" ca="1" si="367"/>
        <v/>
      </c>
    </row>
    <row r="2350" spans="43:48" x14ac:dyDescent="0.2">
      <c r="AQ2350" s="4" t="str">
        <f t="shared" ca="1" si="363"/>
        <v/>
      </c>
      <c r="AR2350" s="3" t="str">
        <f t="shared" ca="1" si="365"/>
        <v/>
      </c>
      <c r="AS2350" s="63" t="str">
        <f ca="1">IF($AQ2350&lt;&gt;"", INDEX(Inputs!$B$3:$B$101, MATCH($AQ2350,Inputs!$A$3:$A$101,1)), "")</f>
        <v/>
      </c>
      <c r="AT2350" s="48" t="str">
        <f t="shared" ca="1" si="364"/>
        <v/>
      </c>
      <c r="AU2350" s="3" t="str">
        <f t="shared" ca="1" si="366"/>
        <v/>
      </c>
      <c r="AV2350" s="3" t="str">
        <f t="shared" ca="1" si="367"/>
        <v/>
      </c>
    </row>
    <row r="2351" spans="43:48" x14ac:dyDescent="0.2">
      <c r="AQ2351" s="4" t="str">
        <f t="shared" ca="1" si="363"/>
        <v/>
      </c>
      <c r="AR2351" s="3" t="str">
        <f t="shared" ca="1" si="365"/>
        <v/>
      </c>
      <c r="AS2351" s="63" t="str">
        <f ca="1">IF($AQ2351&lt;&gt;"", INDEX(Inputs!$B$3:$B$101, MATCH($AQ2351,Inputs!$A$3:$A$101,1)), "")</f>
        <v/>
      </c>
      <c r="AT2351" s="48" t="str">
        <f t="shared" ca="1" si="364"/>
        <v/>
      </c>
      <c r="AU2351" s="3" t="str">
        <f t="shared" ca="1" si="366"/>
        <v/>
      </c>
      <c r="AV2351" s="3" t="str">
        <f t="shared" ca="1" si="367"/>
        <v/>
      </c>
    </row>
    <row r="2352" spans="43:48" x14ac:dyDescent="0.2">
      <c r="AQ2352" s="4" t="str">
        <f t="shared" ca="1" si="363"/>
        <v/>
      </c>
      <c r="AR2352" s="3" t="str">
        <f t="shared" ca="1" si="365"/>
        <v/>
      </c>
      <c r="AS2352" s="63" t="str">
        <f ca="1">IF($AQ2352&lt;&gt;"", INDEX(Inputs!$B$3:$B$101, MATCH($AQ2352,Inputs!$A$3:$A$101,1)), "")</f>
        <v/>
      </c>
      <c r="AT2352" s="48" t="str">
        <f t="shared" ca="1" si="364"/>
        <v/>
      </c>
      <c r="AU2352" s="3" t="str">
        <f t="shared" ca="1" si="366"/>
        <v/>
      </c>
      <c r="AV2352" s="3" t="str">
        <f t="shared" ca="1" si="367"/>
        <v/>
      </c>
    </row>
    <row r="2353" spans="43:48" x14ac:dyDescent="0.2">
      <c r="AQ2353" s="4" t="str">
        <f t="shared" ca="1" si="363"/>
        <v/>
      </c>
      <c r="AR2353" s="3" t="str">
        <f t="shared" ca="1" si="365"/>
        <v/>
      </c>
      <c r="AS2353" s="63" t="str">
        <f ca="1">IF($AQ2353&lt;&gt;"", INDEX(Inputs!$B$3:$B$101, MATCH($AQ2353,Inputs!$A$3:$A$101,1)), "")</f>
        <v/>
      </c>
      <c r="AT2353" s="48" t="str">
        <f t="shared" ca="1" si="364"/>
        <v/>
      </c>
      <c r="AU2353" s="3" t="str">
        <f t="shared" ca="1" si="366"/>
        <v/>
      </c>
      <c r="AV2353" s="3" t="str">
        <f t="shared" ca="1" si="367"/>
        <v/>
      </c>
    </row>
    <row r="2354" spans="43:48" x14ac:dyDescent="0.2">
      <c r="AQ2354" s="4" t="str">
        <f t="shared" ca="1" si="363"/>
        <v/>
      </c>
      <c r="AR2354" s="3" t="str">
        <f t="shared" ca="1" si="365"/>
        <v/>
      </c>
      <c r="AS2354" s="63" t="str">
        <f ca="1">IF($AQ2354&lt;&gt;"", INDEX(Inputs!$B$3:$B$101, MATCH($AQ2354,Inputs!$A$3:$A$101,1)), "")</f>
        <v/>
      </c>
      <c r="AT2354" s="48" t="str">
        <f t="shared" ca="1" si="364"/>
        <v/>
      </c>
      <c r="AU2354" s="3" t="str">
        <f t="shared" ca="1" si="366"/>
        <v/>
      </c>
      <c r="AV2354" s="3" t="str">
        <f t="shared" ca="1" si="367"/>
        <v/>
      </c>
    </row>
    <row r="2355" spans="43:48" x14ac:dyDescent="0.2">
      <c r="AQ2355" s="4" t="str">
        <f t="shared" ca="1" si="363"/>
        <v/>
      </c>
      <c r="AR2355" s="3" t="str">
        <f t="shared" ca="1" si="365"/>
        <v/>
      </c>
      <c r="AS2355" s="63" t="str">
        <f ca="1">IF($AQ2355&lt;&gt;"", INDEX(Inputs!$B$3:$B$101, MATCH($AQ2355,Inputs!$A$3:$A$101,1)), "")</f>
        <v/>
      </c>
      <c r="AT2355" s="48" t="str">
        <f t="shared" ca="1" si="364"/>
        <v/>
      </c>
      <c r="AU2355" s="3" t="str">
        <f t="shared" ca="1" si="366"/>
        <v/>
      </c>
      <c r="AV2355" s="3" t="str">
        <f t="shared" ca="1" si="367"/>
        <v/>
      </c>
    </row>
    <row r="2356" spans="43:48" x14ac:dyDescent="0.2">
      <c r="AQ2356" s="4" t="str">
        <f t="shared" ca="1" si="363"/>
        <v/>
      </c>
      <c r="AR2356" s="3" t="str">
        <f t="shared" ca="1" si="365"/>
        <v/>
      </c>
      <c r="AS2356" s="63" t="str">
        <f ca="1">IF($AQ2356&lt;&gt;"", INDEX(Inputs!$B$3:$B$101, MATCH($AQ2356,Inputs!$A$3:$A$101,1)), "")</f>
        <v/>
      </c>
      <c r="AT2356" s="48" t="str">
        <f t="shared" ca="1" si="364"/>
        <v/>
      </c>
      <c r="AU2356" s="3" t="str">
        <f t="shared" ca="1" si="366"/>
        <v/>
      </c>
      <c r="AV2356" s="3" t="str">
        <f t="shared" ca="1" si="367"/>
        <v/>
      </c>
    </row>
    <row r="2357" spans="43:48" x14ac:dyDescent="0.2">
      <c r="AQ2357" s="4" t="str">
        <f t="shared" ca="1" si="363"/>
        <v/>
      </c>
      <c r="AR2357" s="3" t="str">
        <f t="shared" ca="1" si="365"/>
        <v/>
      </c>
      <c r="AS2357" s="63" t="str">
        <f ca="1">IF($AQ2357&lt;&gt;"", INDEX(Inputs!$B$3:$B$101, MATCH($AQ2357,Inputs!$A$3:$A$101,1)), "")</f>
        <v/>
      </c>
      <c r="AT2357" s="48" t="str">
        <f t="shared" ca="1" si="364"/>
        <v/>
      </c>
      <c r="AU2357" s="3" t="str">
        <f t="shared" ca="1" si="366"/>
        <v/>
      </c>
      <c r="AV2357" s="3" t="str">
        <f t="shared" ca="1" si="367"/>
        <v/>
      </c>
    </row>
    <row r="2358" spans="43:48" x14ac:dyDescent="0.2">
      <c r="AQ2358" s="4" t="str">
        <f t="shared" ca="1" si="363"/>
        <v/>
      </c>
      <c r="AR2358" s="3" t="str">
        <f t="shared" ca="1" si="365"/>
        <v/>
      </c>
      <c r="AS2358" s="63" t="str">
        <f ca="1">IF($AQ2358&lt;&gt;"", INDEX(Inputs!$B$3:$B$101, MATCH($AQ2358,Inputs!$A$3:$A$101,1)), "")</f>
        <v/>
      </c>
      <c r="AT2358" s="48" t="str">
        <f t="shared" ca="1" si="364"/>
        <v/>
      </c>
      <c r="AU2358" s="3" t="str">
        <f t="shared" ca="1" si="366"/>
        <v/>
      </c>
      <c r="AV2358" s="3" t="str">
        <f t="shared" ca="1" si="367"/>
        <v/>
      </c>
    </row>
    <row r="2359" spans="43:48" x14ac:dyDescent="0.2">
      <c r="AQ2359" s="4" t="str">
        <f t="shared" ca="1" si="363"/>
        <v/>
      </c>
      <c r="AR2359" s="3" t="str">
        <f t="shared" ca="1" si="365"/>
        <v/>
      </c>
      <c r="AS2359" s="63" t="str">
        <f ca="1">IF($AQ2359&lt;&gt;"", INDEX(Inputs!$B$3:$B$101, MATCH($AQ2359,Inputs!$A$3:$A$101,1)), "")</f>
        <v/>
      </c>
      <c r="AT2359" s="48" t="str">
        <f t="shared" ca="1" si="364"/>
        <v/>
      </c>
      <c r="AU2359" s="3" t="str">
        <f t="shared" ca="1" si="366"/>
        <v/>
      </c>
      <c r="AV2359" s="3" t="str">
        <f t="shared" ca="1" si="367"/>
        <v/>
      </c>
    </row>
    <row r="2360" spans="43:48" x14ac:dyDescent="0.2">
      <c r="AQ2360" s="4" t="str">
        <f t="shared" ca="1" si="363"/>
        <v/>
      </c>
      <c r="AR2360" s="3" t="str">
        <f t="shared" ca="1" si="365"/>
        <v/>
      </c>
      <c r="AS2360" s="63" t="str">
        <f ca="1">IF($AQ2360&lt;&gt;"", INDEX(Inputs!$B$3:$B$101, MATCH($AQ2360,Inputs!$A$3:$A$101,1)), "")</f>
        <v/>
      </c>
      <c r="AT2360" s="48" t="str">
        <f t="shared" ca="1" si="364"/>
        <v/>
      </c>
      <c r="AU2360" s="3" t="str">
        <f t="shared" ca="1" si="366"/>
        <v/>
      </c>
      <c r="AV2360" s="3" t="str">
        <f t="shared" ca="1" si="367"/>
        <v/>
      </c>
    </row>
    <row r="2361" spans="43:48" x14ac:dyDescent="0.2">
      <c r="AQ2361" s="4" t="str">
        <f t="shared" ref="AQ2361:AQ2400" ca="1" si="368">IF(AQ2360&lt;$AP$3,AQ2360+1,"")</f>
        <v/>
      </c>
      <c r="AR2361" s="3" t="str">
        <f t="shared" ca="1" si="365"/>
        <v/>
      </c>
      <c r="AS2361" s="63" t="str">
        <f ca="1">IF($AQ2361&lt;&gt;"", INDEX(Inputs!$B$3:$B$101, MATCH($AQ2361,Inputs!$A$3:$A$101,1)), "")</f>
        <v/>
      </c>
      <c r="AT2361" s="48" t="str">
        <f t="shared" ref="AT2361:AT2400" ca="1" si="369">IF($AQ2361&lt;&gt;"", AR2361*AS2361/365, "")</f>
        <v/>
      </c>
      <c r="AU2361" s="3" t="str">
        <f t="shared" ca="1" si="366"/>
        <v/>
      </c>
      <c r="AV2361" s="3" t="str">
        <f t="shared" ca="1" si="367"/>
        <v/>
      </c>
    </row>
    <row r="2362" spans="43:48" x14ac:dyDescent="0.2">
      <c r="AQ2362" s="4" t="str">
        <f t="shared" ca="1" si="368"/>
        <v/>
      </c>
      <c r="AR2362" s="3" t="str">
        <f t="shared" ca="1" si="365"/>
        <v/>
      </c>
      <c r="AS2362" s="63" t="str">
        <f ca="1">IF($AQ2362&lt;&gt;"", INDEX(Inputs!$B$3:$B$101, MATCH($AQ2362,Inputs!$A$3:$A$101,1)), "")</f>
        <v/>
      </c>
      <c r="AT2362" s="48" t="str">
        <f t="shared" ca="1" si="369"/>
        <v/>
      </c>
      <c r="AU2362" s="3" t="str">
        <f t="shared" ca="1" si="366"/>
        <v/>
      </c>
      <c r="AV2362" s="3" t="str">
        <f t="shared" ca="1" si="367"/>
        <v/>
      </c>
    </row>
    <row r="2363" spans="43:48" x14ac:dyDescent="0.2">
      <c r="AQ2363" s="4" t="str">
        <f t="shared" ca="1" si="368"/>
        <v/>
      </c>
      <c r="AR2363" s="3" t="str">
        <f t="shared" ca="1" si="365"/>
        <v/>
      </c>
      <c r="AS2363" s="63" t="str">
        <f ca="1">IF($AQ2363&lt;&gt;"", INDEX(Inputs!$B$3:$B$101, MATCH($AQ2363,Inputs!$A$3:$A$101,1)), "")</f>
        <v/>
      </c>
      <c r="AT2363" s="48" t="str">
        <f t="shared" ca="1" si="369"/>
        <v/>
      </c>
      <c r="AU2363" s="3" t="str">
        <f t="shared" ca="1" si="366"/>
        <v/>
      </c>
      <c r="AV2363" s="3" t="str">
        <f t="shared" ca="1" si="367"/>
        <v/>
      </c>
    </row>
    <row r="2364" spans="43:48" x14ac:dyDescent="0.2">
      <c r="AQ2364" s="4" t="str">
        <f t="shared" ca="1" si="368"/>
        <v/>
      </c>
      <c r="AR2364" s="3" t="str">
        <f t="shared" ca="1" si="365"/>
        <v/>
      </c>
      <c r="AS2364" s="63" t="str">
        <f ca="1">IF($AQ2364&lt;&gt;"", INDEX(Inputs!$B$3:$B$101, MATCH($AQ2364,Inputs!$A$3:$A$101,1)), "")</f>
        <v/>
      </c>
      <c r="AT2364" s="48" t="str">
        <f t="shared" ca="1" si="369"/>
        <v/>
      </c>
      <c r="AU2364" s="3" t="str">
        <f t="shared" ca="1" si="366"/>
        <v/>
      </c>
      <c r="AV2364" s="3" t="str">
        <f t="shared" ca="1" si="367"/>
        <v/>
      </c>
    </row>
    <row r="2365" spans="43:48" x14ac:dyDescent="0.2">
      <c r="AQ2365" s="4" t="str">
        <f t="shared" ca="1" si="368"/>
        <v/>
      </c>
      <c r="AR2365" s="3" t="str">
        <f t="shared" ca="1" si="365"/>
        <v/>
      </c>
      <c r="AS2365" s="63" t="str">
        <f ca="1">IF($AQ2365&lt;&gt;"", INDEX(Inputs!$B$3:$B$101, MATCH($AQ2365,Inputs!$A$3:$A$101,1)), "")</f>
        <v/>
      </c>
      <c r="AT2365" s="48" t="str">
        <f t="shared" ca="1" si="369"/>
        <v/>
      </c>
      <c r="AU2365" s="3" t="str">
        <f t="shared" ca="1" si="366"/>
        <v/>
      </c>
      <c r="AV2365" s="3" t="str">
        <f t="shared" ca="1" si="367"/>
        <v/>
      </c>
    </row>
    <row r="2366" spans="43:48" x14ac:dyDescent="0.2">
      <c r="AQ2366" s="4" t="str">
        <f t="shared" ca="1" si="368"/>
        <v/>
      </c>
      <c r="AR2366" s="3" t="str">
        <f t="shared" ca="1" si="365"/>
        <v/>
      </c>
      <c r="AS2366" s="63" t="str">
        <f ca="1">IF($AQ2366&lt;&gt;"", INDEX(Inputs!$B$3:$B$101, MATCH($AQ2366,Inputs!$A$3:$A$101,1)), "")</f>
        <v/>
      </c>
      <c r="AT2366" s="48" t="str">
        <f t="shared" ca="1" si="369"/>
        <v/>
      </c>
      <c r="AU2366" s="3" t="str">
        <f t="shared" ca="1" si="366"/>
        <v/>
      </c>
      <c r="AV2366" s="3" t="str">
        <f t="shared" ca="1" si="367"/>
        <v/>
      </c>
    </row>
    <row r="2367" spans="43:48" x14ac:dyDescent="0.2">
      <c r="AQ2367" s="4" t="str">
        <f t="shared" ca="1" si="368"/>
        <v/>
      </c>
      <c r="AR2367" s="3" t="str">
        <f t="shared" ca="1" si="365"/>
        <v/>
      </c>
      <c r="AS2367" s="63" t="str">
        <f ca="1">IF($AQ2367&lt;&gt;"", INDEX(Inputs!$B$3:$B$101, MATCH($AQ2367,Inputs!$A$3:$A$101,1)), "")</f>
        <v/>
      </c>
      <c r="AT2367" s="48" t="str">
        <f t="shared" ca="1" si="369"/>
        <v/>
      </c>
      <c r="AU2367" s="3" t="str">
        <f t="shared" ca="1" si="366"/>
        <v/>
      </c>
      <c r="AV2367" s="3" t="str">
        <f t="shared" ca="1" si="367"/>
        <v/>
      </c>
    </row>
    <row r="2368" spans="43:48" x14ac:dyDescent="0.2">
      <c r="AQ2368" s="4" t="str">
        <f t="shared" ca="1" si="368"/>
        <v/>
      </c>
      <c r="AR2368" s="3" t="str">
        <f t="shared" ca="1" si="365"/>
        <v/>
      </c>
      <c r="AS2368" s="63" t="str">
        <f ca="1">IF($AQ2368&lt;&gt;"", INDEX(Inputs!$B$3:$B$101, MATCH($AQ2368,Inputs!$A$3:$A$101,1)), "")</f>
        <v/>
      </c>
      <c r="AT2368" s="48" t="str">
        <f t="shared" ca="1" si="369"/>
        <v/>
      </c>
      <c r="AU2368" s="3" t="str">
        <f t="shared" ca="1" si="366"/>
        <v/>
      </c>
      <c r="AV2368" s="3" t="str">
        <f t="shared" ca="1" si="367"/>
        <v/>
      </c>
    </row>
    <row r="2369" spans="43:48" x14ac:dyDescent="0.2">
      <c r="AQ2369" s="4" t="str">
        <f t="shared" ca="1" si="368"/>
        <v/>
      </c>
      <c r="AR2369" s="3" t="str">
        <f t="shared" ca="1" si="365"/>
        <v/>
      </c>
      <c r="AS2369" s="63" t="str">
        <f ca="1">IF($AQ2369&lt;&gt;"", INDEX(Inputs!$B$3:$B$101, MATCH($AQ2369,Inputs!$A$3:$A$101,1)), "")</f>
        <v/>
      </c>
      <c r="AT2369" s="48" t="str">
        <f t="shared" ca="1" si="369"/>
        <v/>
      </c>
      <c r="AU2369" s="3" t="str">
        <f t="shared" ca="1" si="366"/>
        <v/>
      </c>
      <c r="AV2369" s="3" t="str">
        <f t="shared" ca="1" si="367"/>
        <v/>
      </c>
    </row>
    <row r="2370" spans="43:48" x14ac:dyDescent="0.2">
      <c r="AQ2370" s="4" t="str">
        <f t="shared" ca="1" si="368"/>
        <v/>
      </c>
      <c r="AR2370" s="3" t="str">
        <f t="shared" ca="1" si="365"/>
        <v/>
      </c>
      <c r="AS2370" s="63" t="str">
        <f ca="1">IF($AQ2370&lt;&gt;"", INDEX(Inputs!$B$3:$B$101, MATCH($AQ2370,Inputs!$A$3:$A$101,1)), "")</f>
        <v/>
      </c>
      <c r="AT2370" s="48" t="str">
        <f t="shared" ca="1" si="369"/>
        <v/>
      </c>
      <c r="AU2370" s="3" t="str">
        <f t="shared" ca="1" si="366"/>
        <v/>
      </c>
      <c r="AV2370" s="3" t="str">
        <f t="shared" ca="1" si="367"/>
        <v/>
      </c>
    </row>
    <row r="2371" spans="43:48" x14ac:dyDescent="0.2">
      <c r="AQ2371" s="4" t="str">
        <f t="shared" ca="1" si="368"/>
        <v/>
      </c>
      <c r="AR2371" s="3" t="str">
        <f t="shared" ca="1" si="365"/>
        <v/>
      </c>
      <c r="AS2371" s="63" t="str">
        <f ca="1">IF($AQ2371&lt;&gt;"", INDEX(Inputs!$B$3:$B$101, MATCH($AQ2371,Inputs!$A$3:$A$101,1)), "")</f>
        <v/>
      </c>
      <c r="AT2371" s="48" t="str">
        <f t="shared" ca="1" si="369"/>
        <v/>
      </c>
      <c r="AU2371" s="3" t="str">
        <f t="shared" ca="1" si="366"/>
        <v/>
      </c>
      <c r="AV2371" s="3" t="str">
        <f t="shared" ca="1" si="367"/>
        <v/>
      </c>
    </row>
    <row r="2372" spans="43:48" x14ac:dyDescent="0.2">
      <c r="AQ2372" s="4" t="str">
        <f t="shared" ca="1" si="368"/>
        <v/>
      </c>
      <c r="AR2372" s="3" t="str">
        <f t="shared" ca="1" si="365"/>
        <v/>
      </c>
      <c r="AS2372" s="63" t="str">
        <f ca="1">IF($AQ2372&lt;&gt;"", INDEX(Inputs!$B$3:$B$101, MATCH($AQ2372,Inputs!$A$3:$A$101,1)), "")</f>
        <v/>
      </c>
      <c r="AT2372" s="48" t="str">
        <f t="shared" ca="1" si="369"/>
        <v/>
      </c>
      <c r="AU2372" s="3" t="str">
        <f t="shared" ca="1" si="366"/>
        <v/>
      </c>
      <c r="AV2372" s="3" t="str">
        <f t="shared" ca="1" si="367"/>
        <v/>
      </c>
    </row>
    <row r="2373" spans="43:48" x14ac:dyDescent="0.2">
      <c r="AQ2373" s="4" t="str">
        <f t="shared" ca="1" si="368"/>
        <v/>
      </c>
      <c r="AR2373" s="3" t="str">
        <f t="shared" ca="1" si="365"/>
        <v/>
      </c>
      <c r="AS2373" s="63" t="str">
        <f ca="1">IF($AQ2373&lt;&gt;"", INDEX(Inputs!$B$3:$B$101, MATCH($AQ2373,Inputs!$A$3:$A$101,1)), "")</f>
        <v/>
      </c>
      <c r="AT2373" s="48" t="str">
        <f t="shared" ca="1" si="369"/>
        <v/>
      </c>
      <c r="AU2373" s="3" t="str">
        <f t="shared" ca="1" si="366"/>
        <v/>
      </c>
      <c r="AV2373" s="3" t="str">
        <f t="shared" ca="1" si="367"/>
        <v/>
      </c>
    </row>
    <row r="2374" spans="43:48" x14ac:dyDescent="0.2">
      <c r="AQ2374" s="4" t="str">
        <f t="shared" ca="1" si="368"/>
        <v/>
      </c>
      <c r="AR2374" s="3" t="str">
        <f t="shared" ca="1" si="365"/>
        <v/>
      </c>
      <c r="AS2374" s="63" t="str">
        <f ca="1">IF($AQ2374&lt;&gt;"", INDEX(Inputs!$B$3:$B$101, MATCH($AQ2374,Inputs!$A$3:$A$101,1)), "")</f>
        <v/>
      </c>
      <c r="AT2374" s="48" t="str">
        <f t="shared" ca="1" si="369"/>
        <v/>
      </c>
      <c r="AU2374" s="3" t="str">
        <f t="shared" ca="1" si="366"/>
        <v/>
      </c>
      <c r="AV2374" s="3" t="str">
        <f t="shared" ca="1" si="367"/>
        <v/>
      </c>
    </row>
    <row r="2375" spans="43:48" x14ac:dyDescent="0.2">
      <c r="AQ2375" s="4" t="str">
        <f t="shared" ca="1" si="368"/>
        <v/>
      </c>
      <c r="AR2375" s="3" t="str">
        <f t="shared" ca="1" si="365"/>
        <v/>
      </c>
      <c r="AS2375" s="63" t="str">
        <f ca="1">IF($AQ2375&lt;&gt;"", INDEX(Inputs!$B$3:$B$101, MATCH($AQ2375,Inputs!$A$3:$A$101,1)), "")</f>
        <v/>
      </c>
      <c r="AT2375" s="48" t="str">
        <f t="shared" ca="1" si="369"/>
        <v/>
      </c>
      <c r="AU2375" s="3" t="str">
        <f t="shared" ca="1" si="366"/>
        <v/>
      </c>
      <c r="AV2375" s="3" t="str">
        <f t="shared" ca="1" si="367"/>
        <v/>
      </c>
    </row>
    <row r="2376" spans="43:48" x14ac:dyDescent="0.2">
      <c r="AQ2376" s="4" t="str">
        <f t="shared" ca="1" si="368"/>
        <v/>
      </c>
      <c r="AR2376" s="3" t="str">
        <f t="shared" ca="1" si="365"/>
        <v/>
      </c>
      <c r="AS2376" s="63" t="str">
        <f ca="1">IF($AQ2376&lt;&gt;"", INDEX(Inputs!$B$3:$B$101, MATCH($AQ2376,Inputs!$A$3:$A$101,1)), "")</f>
        <v/>
      </c>
      <c r="AT2376" s="48" t="str">
        <f t="shared" ca="1" si="369"/>
        <v/>
      </c>
      <c r="AU2376" s="3" t="str">
        <f t="shared" ca="1" si="366"/>
        <v/>
      </c>
      <c r="AV2376" s="3" t="str">
        <f t="shared" ca="1" si="367"/>
        <v/>
      </c>
    </row>
    <row r="2377" spans="43:48" x14ac:dyDescent="0.2">
      <c r="AQ2377" s="4" t="str">
        <f t="shared" ca="1" si="368"/>
        <v/>
      </c>
      <c r="AR2377" s="3" t="str">
        <f t="shared" ca="1" si="365"/>
        <v/>
      </c>
      <c r="AS2377" s="63" t="str">
        <f ca="1">IF($AQ2377&lt;&gt;"", INDEX(Inputs!$B$3:$B$101, MATCH($AQ2377,Inputs!$A$3:$A$101,1)), "")</f>
        <v/>
      </c>
      <c r="AT2377" s="48" t="str">
        <f t="shared" ca="1" si="369"/>
        <v/>
      </c>
      <c r="AU2377" s="3" t="str">
        <f t="shared" ca="1" si="366"/>
        <v/>
      </c>
      <c r="AV2377" s="3" t="str">
        <f t="shared" ca="1" si="367"/>
        <v/>
      </c>
    </row>
    <row r="2378" spans="43:48" x14ac:dyDescent="0.2">
      <c r="AQ2378" s="4" t="str">
        <f t="shared" ca="1" si="368"/>
        <v/>
      </c>
      <c r="AR2378" s="3" t="str">
        <f t="shared" ca="1" si="365"/>
        <v/>
      </c>
      <c r="AS2378" s="63" t="str">
        <f ca="1">IF($AQ2378&lt;&gt;"", INDEX(Inputs!$B$3:$B$101, MATCH($AQ2378,Inputs!$A$3:$A$101,1)), "")</f>
        <v/>
      </c>
      <c r="AT2378" s="48" t="str">
        <f t="shared" ca="1" si="369"/>
        <v/>
      </c>
      <c r="AU2378" s="3" t="str">
        <f t="shared" ca="1" si="366"/>
        <v/>
      </c>
      <c r="AV2378" s="3" t="str">
        <f t="shared" ca="1" si="367"/>
        <v/>
      </c>
    </row>
    <row r="2379" spans="43:48" x14ac:dyDescent="0.2">
      <c r="AQ2379" s="4" t="str">
        <f t="shared" ca="1" si="368"/>
        <v/>
      </c>
      <c r="AR2379" s="3" t="str">
        <f t="shared" ca="1" si="365"/>
        <v/>
      </c>
      <c r="AS2379" s="63" t="str">
        <f ca="1">IF($AQ2379&lt;&gt;"", INDEX(Inputs!$B$3:$B$101, MATCH($AQ2379,Inputs!$A$3:$A$101,1)), "")</f>
        <v/>
      </c>
      <c r="AT2379" s="48" t="str">
        <f t="shared" ca="1" si="369"/>
        <v/>
      </c>
      <c r="AU2379" s="3" t="str">
        <f t="shared" ca="1" si="366"/>
        <v/>
      </c>
      <c r="AV2379" s="3" t="str">
        <f t="shared" ca="1" si="367"/>
        <v/>
      </c>
    </row>
    <row r="2380" spans="43:48" x14ac:dyDescent="0.2">
      <c r="AQ2380" s="4" t="str">
        <f t="shared" ca="1" si="368"/>
        <v/>
      </c>
      <c r="AR2380" s="3" t="str">
        <f t="shared" ca="1" si="365"/>
        <v/>
      </c>
      <c r="AS2380" s="63" t="str">
        <f ca="1">IF($AQ2380&lt;&gt;"", INDEX(Inputs!$B$3:$B$101, MATCH($AQ2380,Inputs!$A$3:$A$101,1)), "")</f>
        <v/>
      </c>
      <c r="AT2380" s="48" t="str">
        <f t="shared" ca="1" si="369"/>
        <v/>
      </c>
      <c r="AU2380" s="3" t="str">
        <f t="shared" ca="1" si="366"/>
        <v/>
      </c>
      <c r="AV2380" s="3" t="str">
        <f t="shared" ca="1" si="367"/>
        <v/>
      </c>
    </row>
    <row r="2381" spans="43:48" x14ac:dyDescent="0.2">
      <c r="AQ2381" s="4" t="str">
        <f t="shared" ca="1" si="368"/>
        <v/>
      </c>
      <c r="AR2381" s="3" t="str">
        <f t="shared" ca="1" si="365"/>
        <v/>
      </c>
      <c r="AS2381" s="63" t="str">
        <f ca="1">IF($AQ2381&lt;&gt;"", INDEX(Inputs!$B$3:$B$101, MATCH($AQ2381,Inputs!$A$3:$A$101,1)), "")</f>
        <v/>
      </c>
      <c r="AT2381" s="48" t="str">
        <f t="shared" ca="1" si="369"/>
        <v/>
      </c>
      <c r="AU2381" s="3" t="str">
        <f t="shared" ca="1" si="366"/>
        <v/>
      </c>
      <c r="AV2381" s="3" t="str">
        <f t="shared" ca="1" si="367"/>
        <v/>
      </c>
    </row>
    <row r="2382" spans="43:48" x14ac:dyDescent="0.2">
      <c r="AQ2382" s="4" t="str">
        <f t="shared" ca="1" si="368"/>
        <v/>
      </c>
      <c r="AR2382" s="3" t="str">
        <f t="shared" ca="1" si="365"/>
        <v/>
      </c>
      <c r="AS2382" s="63" t="str">
        <f ca="1">IF($AQ2382&lt;&gt;"", INDEX(Inputs!$B$3:$B$101, MATCH($AQ2382,Inputs!$A$3:$A$101,1)), "")</f>
        <v/>
      </c>
      <c r="AT2382" s="48" t="str">
        <f t="shared" ca="1" si="369"/>
        <v/>
      </c>
      <c r="AU2382" s="3" t="str">
        <f t="shared" ca="1" si="366"/>
        <v/>
      </c>
      <c r="AV2382" s="3" t="str">
        <f t="shared" ca="1" si="367"/>
        <v/>
      </c>
    </row>
    <row r="2383" spans="43:48" x14ac:dyDescent="0.2">
      <c r="AQ2383" s="4" t="str">
        <f t="shared" ca="1" si="368"/>
        <v/>
      </c>
      <c r="AR2383" s="3" t="str">
        <f t="shared" ca="1" si="365"/>
        <v/>
      </c>
      <c r="AS2383" s="63" t="str">
        <f ca="1">IF($AQ2383&lt;&gt;"", INDEX(Inputs!$B$3:$B$101, MATCH($AQ2383,Inputs!$A$3:$A$101,1)), "")</f>
        <v/>
      </c>
      <c r="AT2383" s="48" t="str">
        <f t="shared" ca="1" si="369"/>
        <v/>
      </c>
      <c r="AU2383" s="3" t="str">
        <f t="shared" ca="1" si="366"/>
        <v/>
      </c>
      <c r="AV2383" s="3" t="str">
        <f t="shared" ca="1" si="367"/>
        <v/>
      </c>
    </row>
    <row r="2384" spans="43:48" x14ac:dyDescent="0.2">
      <c r="AQ2384" s="4" t="str">
        <f t="shared" ca="1" si="368"/>
        <v/>
      </c>
      <c r="AR2384" s="3" t="str">
        <f t="shared" ca="1" si="365"/>
        <v/>
      </c>
      <c r="AS2384" s="63" t="str">
        <f ca="1">IF($AQ2384&lt;&gt;"", INDEX(Inputs!$B$3:$B$101, MATCH($AQ2384,Inputs!$A$3:$A$101,1)), "")</f>
        <v/>
      </c>
      <c r="AT2384" s="48" t="str">
        <f t="shared" ca="1" si="369"/>
        <v/>
      </c>
      <c r="AU2384" s="3" t="str">
        <f t="shared" ca="1" si="366"/>
        <v/>
      </c>
      <c r="AV2384" s="3" t="str">
        <f t="shared" ca="1" si="367"/>
        <v/>
      </c>
    </row>
    <row r="2385" spans="43:48" x14ac:dyDescent="0.2">
      <c r="AQ2385" s="4" t="str">
        <f t="shared" ca="1" si="368"/>
        <v/>
      </c>
      <c r="AR2385" s="3" t="str">
        <f t="shared" ca="1" si="365"/>
        <v/>
      </c>
      <c r="AS2385" s="63" t="str">
        <f ca="1">IF($AQ2385&lt;&gt;"", INDEX(Inputs!$B$3:$B$101, MATCH($AQ2385,Inputs!$A$3:$A$101,1)), "")</f>
        <v/>
      </c>
      <c r="AT2385" s="48" t="str">
        <f t="shared" ca="1" si="369"/>
        <v/>
      </c>
      <c r="AU2385" s="3" t="str">
        <f t="shared" ca="1" si="366"/>
        <v/>
      </c>
      <c r="AV2385" s="3" t="str">
        <f t="shared" ca="1" si="367"/>
        <v/>
      </c>
    </row>
    <row r="2386" spans="43:48" x14ac:dyDescent="0.2">
      <c r="AQ2386" s="4" t="str">
        <f t="shared" ca="1" si="368"/>
        <v/>
      </c>
      <c r="AR2386" s="3" t="str">
        <f t="shared" ca="1" si="365"/>
        <v/>
      </c>
      <c r="AS2386" s="63" t="str">
        <f ca="1">IF($AQ2386&lt;&gt;"", INDEX(Inputs!$B$3:$B$101, MATCH($AQ2386,Inputs!$A$3:$A$101,1)), "")</f>
        <v/>
      </c>
      <c r="AT2386" s="48" t="str">
        <f t="shared" ca="1" si="369"/>
        <v/>
      </c>
      <c r="AU2386" s="3" t="str">
        <f t="shared" ca="1" si="366"/>
        <v/>
      </c>
      <c r="AV2386" s="3" t="str">
        <f t="shared" ca="1" si="367"/>
        <v/>
      </c>
    </row>
    <row r="2387" spans="43:48" x14ac:dyDescent="0.2">
      <c r="AQ2387" s="4" t="str">
        <f t="shared" ca="1" si="368"/>
        <v/>
      </c>
      <c r="AR2387" s="3" t="str">
        <f t="shared" ca="1" si="365"/>
        <v/>
      </c>
      <c r="AS2387" s="63" t="str">
        <f ca="1">IF($AQ2387&lt;&gt;"", INDEX(Inputs!$B$3:$B$101, MATCH($AQ2387,Inputs!$A$3:$A$101,1)), "")</f>
        <v/>
      </c>
      <c r="AT2387" s="48" t="str">
        <f t="shared" ca="1" si="369"/>
        <v/>
      </c>
      <c r="AU2387" s="3" t="str">
        <f t="shared" ca="1" si="366"/>
        <v/>
      </c>
      <c r="AV2387" s="3" t="str">
        <f t="shared" ca="1" si="367"/>
        <v/>
      </c>
    </row>
    <row r="2388" spans="43:48" x14ac:dyDescent="0.2">
      <c r="AQ2388" s="4" t="str">
        <f t="shared" ca="1" si="368"/>
        <v/>
      </c>
      <c r="AR2388" s="3" t="str">
        <f t="shared" ca="1" si="365"/>
        <v/>
      </c>
      <c r="AS2388" s="63" t="str">
        <f ca="1">IF($AQ2388&lt;&gt;"", INDEX(Inputs!$B$3:$B$101, MATCH($AQ2388,Inputs!$A$3:$A$101,1)), "")</f>
        <v/>
      </c>
      <c r="AT2388" s="48" t="str">
        <f t="shared" ca="1" si="369"/>
        <v/>
      </c>
      <c r="AU2388" s="3" t="str">
        <f t="shared" ca="1" si="366"/>
        <v/>
      </c>
      <c r="AV2388" s="3" t="str">
        <f t="shared" ca="1" si="367"/>
        <v/>
      </c>
    </row>
    <row r="2389" spans="43:48" x14ac:dyDescent="0.2">
      <c r="AQ2389" s="4" t="str">
        <f t="shared" ca="1" si="368"/>
        <v/>
      </c>
      <c r="AR2389" s="3" t="str">
        <f t="shared" ca="1" si="365"/>
        <v/>
      </c>
      <c r="AS2389" s="63" t="str">
        <f ca="1">IF($AQ2389&lt;&gt;"", INDEX(Inputs!$B$3:$B$101, MATCH($AQ2389,Inputs!$A$3:$A$101,1)), "")</f>
        <v/>
      </c>
      <c r="AT2389" s="48" t="str">
        <f t="shared" ca="1" si="369"/>
        <v/>
      </c>
      <c r="AU2389" s="3" t="str">
        <f t="shared" ca="1" si="366"/>
        <v/>
      </c>
      <c r="AV2389" s="3" t="str">
        <f t="shared" ca="1" si="367"/>
        <v/>
      </c>
    </row>
    <row r="2390" spans="43:48" x14ac:dyDescent="0.2">
      <c r="AQ2390" s="4" t="str">
        <f t="shared" ca="1" si="368"/>
        <v/>
      </c>
      <c r="AR2390" s="3" t="str">
        <f t="shared" ca="1" si="365"/>
        <v/>
      </c>
      <c r="AS2390" s="63" t="str">
        <f ca="1">IF($AQ2390&lt;&gt;"", INDEX(Inputs!$B$3:$B$101, MATCH($AQ2390,Inputs!$A$3:$A$101,1)), "")</f>
        <v/>
      </c>
      <c r="AT2390" s="48" t="str">
        <f t="shared" ca="1" si="369"/>
        <v/>
      </c>
      <c r="AU2390" s="3" t="str">
        <f t="shared" ca="1" si="366"/>
        <v/>
      </c>
      <c r="AV2390" s="3" t="str">
        <f t="shared" ca="1" si="367"/>
        <v/>
      </c>
    </row>
    <row r="2391" spans="43:48" x14ac:dyDescent="0.2">
      <c r="AQ2391" s="4" t="str">
        <f t="shared" ca="1" si="368"/>
        <v/>
      </c>
      <c r="AR2391" s="3" t="str">
        <f t="shared" ca="1" si="365"/>
        <v/>
      </c>
      <c r="AS2391" s="63" t="str">
        <f ca="1">IF($AQ2391&lt;&gt;"", INDEX(Inputs!$B$3:$B$101, MATCH($AQ2391,Inputs!$A$3:$A$101,1)), "")</f>
        <v/>
      </c>
      <c r="AT2391" s="48" t="str">
        <f t="shared" ca="1" si="369"/>
        <v/>
      </c>
      <c r="AU2391" s="3" t="str">
        <f t="shared" ca="1" si="366"/>
        <v/>
      </c>
      <c r="AV2391" s="3" t="str">
        <f t="shared" ca="1" si="367"/>
        <v/>
      </c>
    </row>
    <row r="2392" spans="43:48" x14ac:dyDescent="0.2">
      <c r="AQ2392" s="4" t="str">
        <f t="shared" ca="1" si="368"/>
        <v/>
      </c>
      <c r="AR2392" s="3" t="str">
        <f t="shared" ca="1" si="365"/>
        <v/>
      </c>
      <c r="AS2392" s="63" t="str">
        <f ca="1">IF($AQ2392&lt;&gt;"", INDEX(Inputs!$B$3:$B$101, MATCH($AQ2392,Inputs!$A$3:$A$101,1)), "")</f>
        <v/>
      </c>
      <c r="AT2392" s="48" t="str">
        <f t="shared" ca="1" si="369"/>
        <v/>
      </c>
      <c r="AU2392" s="3" t="str">
        <f t="shared" ca="1" si="366"/>
        <v/>
      </c>
      <c r="AV2392" s="3" t="str">
        <f t="shared" ca="1" si="367"/>
        <v/>
      </c>
    </row>
    <row r="2393" spans="43:48" x14ac:dyDescent="0.2">
      <c r="AQ2393" s="4" t="str">
        <f t="shared" ca="1" si="368"/>
        <v/>
      </c>
      <c r="AR2393" s="3" t="str">
        <f t="shared" ref="AR2393:AR2400" ca="1" si="370">IF($AQ2393&lt;&gt;"", INDEX($AC$3:$AC$1055, MATCH($AQ2393,$A$3:$A$1055,1)), "")</f>
        <v/>
      </c>
      <c r="AS2393" s="63" t="str">
        <f ca="1">IF($AQ2393&lt;&gt;"", INDEX(Inputs!$B$3:$B$101, MATCH($AQ2393,Inputs!$A$3:$A$101,1)), "")</f>
        <v/>
      </c>
      <c r="AT2393" s="48" t="str">
        <f t="shared" ca="1" si="369"/>
        <v/>
      </c>
      <c r="AU2393" s="3" t="str">
        <f t="shared" ref="AU2393:AU2400" ca="1" si="371">IF($AQ2393&lt;&gt;"", SUMIFS($AL$3:$AL$1054, $A$3:$A$1054,$AQ2393) + SUMIFS($M$3:$M$1054, $A$3:$A$1054,$AQ2393)*IFERROR(AVERAGEIFS($L$3:$L$1054, $A$3:$A$1054,$AQ2393, $M$3:$M$1054,"&gt;0"),0) - AT2393, "")</f>
        <v/>
      </c>
      <c r="AV2393" s="3" t="str">
        <f t="shared" ca="1" si="367"/>
        <v/>
      </c>
    </row>
    <row r="2394" spans="43:48" x14ac:dyDescent="0.2">
      <c r="AQ2394" s="4" t="str">
        <f t="shared" ca="1" si="368"/>
        <v/>
      </c>
      <c r="AR2394" s="3" t="str">
        <f t="shared" ca="1" si="370"/>
        <v/>
      </c>
      <c r="AS2394" s="63" t="str">
        <f ca="1">IF($AQ2394&lt;&gt;"", INDEX(Inputs!$B$3:$B$101, MATCH($AQ2394,Inputs!$A$3:$A$101,1)), "")</f>
        <v/>
      </c>
      <c r="AT2394" s="48" t="str">
        <f t="shared" ca="1" si="369"/>
        <v/>
      </c>
      <c r="AU2394" s="3" t="str">
        <f t="shared" ca="1" si="371"/>
        <v/>
      </c>
      <c r="AV2394" s="3" t="str">
        <f t="shared" ca="1" si="367"/>
        <v/>
      </c>
    </row>
    <row r="2395" spans="43:48" x14ac:dyDescent="0.2">
      <c r="AQ2395" s="4" t="str">
        <f t="shared" ca="1" si="368"/>
        <v/>
      </c>
      <c r="AR2395" s="3" t="str">
        <f t="shared" ca="1" si="370"/>
        <v/>
      </c>
      <c r="AS2395" s="63" t="str">
        <f ca="1">IF($AQ2395&lt;&gt;"", INDEX(Inputs!$B$3:$B$101, MATCH($AQ2395,Inputs!$A$3:$A$101,1)), "")</f>
        <v/>
      </c>
      <c r="AT2395" s="48" t="str">
        <f t="shared" ca="1" si="369"/>
        <v/>
      </c>
      <c r="AU2395" s="3" t="str">
        <f t="shared" ca="1" si="371"/>
        <v/>
      </c>
      <c r="AV2395" s="3" t="str">
        <f t="shared" ca="1" si="367"/>
        <v/>
      </c>
    </row>
    <row r="2396" spans="43:48" x14ac:dyDescent="0.2">
      <c r="AQ2396" s="4" t="str">
        <f t="shared" ca="1" si="368"/>
        <v/>
      </c>
      <c r="AR2396" s="3" t="str">
        <f t="shared" ca="1" si="370"/>
        <v/>
      </c>
      <c r="AS2396" s="63" t="str">
        <f ca="1">IF($AQ2396&lt;&gt;"", INDEX(Inputs!$B$3:$B$101, MATCH($AQ2396,Inputs!$A$3:$A$101,1)), "")</f>
        <v/>
      </c>
      <c r="AT2396" s="48" t="str">
        <f t="shared" ca="1" si="369"/>
        <v/>
      </c>
      <c r="AU2396" s="3" t="str">
        <f t="shared" ca="1" si="371"/>
        <v/>
      </c>
      <c r="AV2396" s="3" t="str">
        <f t="shared" ca="1" si="367"/>
        <v/>
      </c>
    </row>
    <row r="2397" spans="43:48" x14ac:dyDescent="0.2">
      <c r="AQ2397" s="4" t="str">
        <f t="shared" ca="1" si="368"/>
        <v/>
      </c>
      <c r="AR2397" s="3" t="str">
        <f t="shared" ca="1" si="370"/>
        <v/>
      </c>
      <c r="AS2397" s="63" t="str">
        <f ca="1">IF($AQ2397&lt;&gt;"", INDEX(Inputs!$B$3:$B$101, MATCH($AQ2397,Inputs!$A$3:$A$101,1)), "")</f>
        <v/>
      </c>
      <c r="AT2397" s="48" t="str">
        <f t="shared" ca="1" si="369"/>
        <v/>
      </c>
      <c r="AU2397" s="3" t="str">
        <f t="shared" ca="1" si="371"/>
        <v/>
      </c>
      <c r="AV2397" s="3" t="str">
        <f t="shared" ca="1" si="367"/>
        <v/>
      </c>
    </row>
    <row r="2398" spans="43:48" x14ac:dyDescent="0.2">
      <c r="AQ2398" s="4" t="str">
        <f t="shared" ca="1" si="368"/>
        <v/>
      </c>
      <c r="AR2398" s="3" t="str">
        <f t="shared" ca="1" si="370"/>
        <v/>
      </c>
      <c r="AS2398" s="63" t="str">
        <f ca="1">IF($AQ2398&lt;&gt;"", INDEX(Inputs!$B$3:$B$101, MATCH($AQ2398,Inputs!$A$3:$A$101,1)), "")</f>
        <v/>
      </c>
      <c r="AT2398" s="48" t="str">
        <f t="shared" ca="1" si="369"/>
        <v/>
      </c>
      <c r="AU2398" s="3" t="str">
        <f t="shared" ca="1" si="371"/>
        <v/>
      </c>
      <c r="AV2398" s="3" t="str">
        <f t="shared" ca="1" si="367"/>
        <v/>
      </c>
    </row>
    <row r="2399" spans="43:48" x14ac:dyDescent="0.2">
      <c r="AQ2399" s="4" t="str">
        <f t="shared" ca="1" si="368"/>
        <v/>
      </c>
      <c r="AR2399" s="3" t="str">
        <f t="shared" ca="1" si="370"/>
        <v/>
      </c>
      <c r="AS2399" s="63" t="str">
        <f ca="1">IF($AQ2399&lt;&gt;"", INDEX(Inputs!$B$3:$B$101, MATCH($AQ2399,Inputs!$A$3:$A$101,1)), "")</f>
        <v/>
      </c>
      <c r="AT2399" s="48" t="str">
        <f t="shared" ca="1" si="369"/>
        <v/>
      </c>
      <c r="AU2399" s="3" t="str">
        <f t="shared" ca="1" si="371"/>
        <v/>
      </c>
      <c r="AV2399" s="3" t="str">
        <f t="shared" ca="1" si="367"/>
        <v/>
      </c>
    </row>
    <row r="2400" spans="43:48" x14ac:dyDescent="0.2">
      <c r="AQ2400" s="4" t="str">
        <f t="shared" ca="1" si="368"/>
        <v/>
      </c>
      <c r="AR2400" s="3" t="str">
        <f t="shared" ca="1" si="370"/>
        <v/>
      </c>
      <c r="AS2400" s="63" t="str">
        <f ca="1">IF($AQ2400&lt;&gt;"", INDEX(Inputs!$B$3:$B$101, MATCH($AQ2400,Inputs!$A$3:$A$101,1)), "")</f>
        <v/>
      </c>
      <c r="AT2400" s="48" t="str">
        <f t="shared" ca="1" si="369"/>
        <v/>
      </c>
      <c r="AU2400" s="3" t="str">
        <f t="shared" ca="1" si="371"/>
        <v/>
      </c>
      <c r="AV2400" s="3" t="str">
        <f t="shared" ref="AV2400" ca="1" si="372">IF(AQ2400&lt;&gt;"", AU2400*(1+$X$9/CompoundingRate)^-((AQ2400-AQ$3)/(365/CompoundingRate)), "")</f>
        <v/>
      </c>
    </row>
  </sheetData>
  <sortState xmlns:xlrd2="http://schemas.microsoft.com/office/spreadsheetml/2017/richdata2" ref="A279:J296">
    <sortCondition ref="A279:A296"/>
  </sortState>
  <mergeCells count="7">
    <mergeCell ref="C1:F1"/>
    <mergeCell ref="AP1:AX1"/>
    <mergeCell ref="AG1:AJ1"/>
    <mergeCell ref="AC1:AE1"/>
    <mergeCell ref="K1:M1"/>
    <mergeCell ref="AL1:AN1"/>
    <mergeCell ref="AA1:AB1"/>
  </mergeCells>
  <conditionalFormatting sqref="A3:M551">
    <cfRule type="expression" dxfId="1" priority="1">
      <formula>AND($A3&lt;&gt;"", ISODD(ROW(A3)))</formula>
    </cfRule>
  </conditionalFormatting>
  <conditionalFormatting sqref="N340">
    <cfRule type="expression" dxfId="0" priority="2">
      <formula>AND($A340&lt;&gt;"", ISODD(ROW(N340)))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42B3-8243-924B-8B75-02AD2E2075FE}">
  <dimension ref="A1:L500"/>
  <sheetViews>
    <sheetView workbookViewId="0">
      <selection activeCell="F1" sqref="F1:L500"/>
    </sheetView>
  </sheetViews>
  <sheetFormatPr baseColWidth="10" defaultRowHeight="16" x14ac:dyDescent="0.2"/>
  <cols>
    <col min="1" max="16384" width="10.83203125" style="56"/>
  </cols>
  <sheetData>
    <row r="1" spans="1:12" x14ac:dyDescent="0.2">
      <c r="A1" s="91" t="s">
        <v>74</v>
      </c>
      <c r="B1" s="91"/>
      <c r="D1" s="56" t="s">
        <v>75</v>
      </c>
      <c r="F1" s="56" t="s">
        <v>93</v>
      </c>
    </row>
    <row r="2" spans="1:12" x14ac:dyDescent="0.2">
      <c r="A2" s="57" t="str">
        <f>[1]RBA!A1</f>
        <v>AUD Date</v>
      </c>
      <c r="B2" s="57" t="str">
        <f>[1]RBA!B1</f>
        <v>AUD Rate</v>
      </c>
      <c r="D2" s="56">
        <f>[1]CompoundingRate!$A$2</f>
        <v>12</v>
      </c>
      <c r="F2" s="57" t="str">
        <f>[1]FX!A1</f>
        <v>Date</v>
      </c>
      <c r="G2" s="56" t="str">
        <f>[1]FX!B1</f>
        <v>AUD</v>
      </c>
      <c r="H2" s="56" t="str">
        <f>[1]FX!C1</f>
        <v>USD</v>
      </c>
      <c r="I2" s="56" t="str">
        <f>[1]FX!D1</f>
        <v>EUR</v>
      </c>
      <c r="J2" s="56" t="str">
        <f>[1]FX!E1</f>
        <v>CNY</v>
      </c>
      <c r="K2" s="56" t="str">
        <f>[1]FX!F1</f>
        <v>SGD</v>
      </c>
      <c r="L2" s="56" t="str">
        <f>[1]FX!G1</f>
        <v>GBP</v>
      </c>
    </row>
    <row r="3" spans="1:12" x14ac:dyDescent="0.2">
      <c r="A3" s="57">
        <f>IF([1]RBA!A2&gt;1, [1]RBA!A2, "")</f>
        <v>40849</v>
      </c>
      <c r="B3" s="58">
        <f>IF($A3&lt;&gt;"", [1]RBA!B2, "")</f>
        <v>4.4999999999999998E-2</v>
      </c>
      <c r="F3" s="57">
        <f>IF([1]FX!A2&gt;1, [1]FX!A2, "")</f>
        <v>40209</v>
      </c>
      <c r="G3" s="56">
        <f>IF($F3&lt;&gt;"", [1]FX!B2, "")</f>
        <v>1</v>
      </c>
      <c r="H3" s="56">
        <f>IF($F3&lt;&gt;"", [1]FX!C2, "")</f>
        <v>0.88432999999999995</v>
      </c>
      <c r="I3" s="56">
        <f>IF($F3&lt;&gt;"", [1]FX!D2, "")</f>
        <v>0.63731000000000004</v>
      </c>
      <c r="J3" s="56">
        <f>IF($F3&lt;&gt;"", [1]FX!E2, "")</f>
        <v>6.0228000000000002</v>
      </c>
      <c r="K3" s="56">
        <f>IF($F3&lt;&gt;"", [1]FX!F2, "")</f>
        <v>1.2435</v>
      </c>
      <c r="L3" s="56">
        <f>IF($F3&lt;&gt;"", [1]FX!G2, "")</f>
        <v>0.55266999999999999</v>
      </c>
    </row>
    <row r="4" spans="1:12" x14ac:dyDescent="0.2">
      <c r="A4" s="57">
        <f>IF([1]RBA!A3&gt;1, [1]RBA!A3, "")</f>
        <v>40884</v>
      </c>
      <c r="B4" s="58">
        <f>IF($A4&lt;&gt;"", [1]RBA!B3, "")</f>
        <v>4.2500000000000003E-2</v>
      </c>
      <c r="F4" s="57">
        <f>IF([1]FX!A3&gt;1, [1]FX!A3, "")</f>
        <v>40237</v>
      </c>
      <c r="G4" s="56">
        <f>IF($F4&lt;&gt;"", [1]FX!B3, "")</f>
        <v>1</v>
      </c>
      <c r="H4" s="56">
        <f>IF($F4&lt;&gt;"", [1]FX!C3, "")</f>
        <v>0.89589700000000005</v>
      </c>
      <c r="I4" s="56">
        <f>IF($F4&lt;&gt;"", [1]FX!D3, "")</f>
        <v>0.65707000000000004</v>
      </c>
      <c r="J4" s="56">
        <f>IF($F4&lt;&gt;"", [1]FX!E3, "")</f>
        <v>6.1165000000000003</v>
      </c>
      <c r="K4" s="56">
        <f>IF($F4&lt;&gt;"", [1]FX!F3, "")</f>
        <v>1.2585</v>
      </c>
      <c r="L4" s="56">
        <f>IF($F4&lt;&gt;"", [1]FX!G3, "")</f>
        <v>0.58623000000000003</v>
      </c>
    </row>
    <row r="5" spans="1:12" x14ac:dyDescent="0.2">
      <c r="A5" s="57">
        <f>IF([1]RBA!A4&gt;1, [1]RBA!A4, "")</f>
        <v>41031</v>
      </c>
      <c r="B5" s="58">
        <f>IF($A5&lt;&gt;"", [1]RBA!B4, "")</f>
        <v>3.7499999999999999E-2</v>
      </c>
      <c r="F5" s="57">
        <f>IF([1]FX!A4&gt;1, [1]FX!A4, "")</f>
        <v>40268</v>
      </c>
      <c r="G5" s="56">
        <f>IF($F5&lt;&gt;"", [1]FX!B4, "")</f>
        <v>1</v>
      </c>
      <c r="H5" s="56">
        <f>IF($F5&lt;&gt;"", [1]FX!C4, "")</f>
        <v>0.91558300000000004</v>
      </c>
      <c r="I5" s="56">
        <f>IF($F5&lt;&gt;"", [1]FX!D4, "")</f>
        <v>0.67745999999999995</v>
      </c>
      <c r="J5" s="56">
        <f>IF($F5&lt;&gt;"", [1]FX!E4, "")</f>
        <v>6.2434000000000003</v>
      </c>
      <c r="K5" s="56">
        <f>IF($F5&lt;&gt;"", [1]FX!F4, "")</f>
        <v>1.2806999999999999</v>
      </c>
      <c r="L5" s="56">
        <f>IF($F5&lt;&gt;"", [1]FX!G4, "")</f>
        <v>0.60270000000000001</v>
      </c>
    </row>
    <row r="6" spans="1:12" x14ac:dyDescent="0.2">
      <c r="A6" s="57">
        <f>IF([1]RBA!A5&gt;1, [1]RBA!A5, "")</f>
        <v>41066</v>
      </c>
      <c r="B6" s="58">
        <f>IF($A6&lt;&gt;"", [1]RBA!B5, "")</f>
        <v>3.5000000000000003E-2</v>
      </c>
      <c r="F6" s="57">
        <f>IF([1]FX!A5&gt;1, [1]FX!A5, "")</f>
        <v>40298</v>
      </c>
      <c r="G6" s="56">
        <f>IF($F6&lt;&gt;"", [1]FX!B5, "")</f>
        <v>1</v>
      </c>
      <c r="H6" s="56">
        <f>IF($F6&lt;&gt;"", [1]FX!C5, "")</f>
        <v>0.924813</v>
      </c>
      <c r="I6" s="56">
        <f>IF($F6&lt;&gt;"", [1]FX!D5, "")</f>
        <v>0.69527000000000005</v>
      </c>
      <c r="J6" s="56">
        <f>IF($F6&lt;&gt;"", [1]FX!E5, "")</f>
        <v>6.3002000000000002</v>
      </c>
      <c r="K6" s="56">
        <f>IF($F6&lt;&gt;"", [1]FX!F5, "")</f>
        <v>1.2648999999999999</v>
      </c>
      <c r="L6" s="56">
        <f>IF($F6&lt;&gt;"", [1]FX!G5, "")</f>
        <v>0.60424999999999995</v>
      </c>
    </row>
    <row r="7" spans="1:12" x14ac:dyDescent="0.2">
      <c r="A7" s="57">
        <f>IF([1]RBA!A6&gt;1, [1]RBA!A6, "")</f>
        <v>41185</v>
      </c>
      <c r="B7" s="58">
        <f>IF($A7&lt;&gt;"", [1]RBA!B6, "")</f>
        <v>3.2500000000000001E-2</v>
      </c>
      <c r="F7" s="57">
        <f>IF([1]FX!A6&gt;1, [1]FX!A6, "")</f>
        <v>40329</v>
      </c>
      <c r="G7" s="56">
        <f>IF($F7&lt;&gt;"", [1]FX!B6, "")</f>
        <v>1</v>
      </c>
      <c r="H7" s="56">
        <f>IF($F7&lt;&gt;"", [1]FX!C6, "")</f>
        <v>0.84659700000000004</v>
      </c>
      <c r="I7" s="56">
        <f>IF($F7&lt;&gt;"", [1]FX!D6, "")</f>
        <v>0.68859999999999999</v>
      </c>
      <c r="J7" s="56">
        <f>IF($F7&lt;&gt;"", [1]FX!E6, "")</f>
        <v>5.7632000000000003</v>
      </c>
      <c r="K7" s="56">
        <f>IF($F7&lt;&gt;"", [1]FX!F6, "")</f>
        <v>1.1842999999999999</v>
      </c>
      <c r="L7" s="56">
        <f>IF($F7&lt;&gt;"", [1]FX!G6, "")</f>
        <v>0.58260000000000001</v>
      </c>
    </row>
    <row r="8" spans="1:12" x14ac:dyDescent="0.2">
      <c r="A8" s="57">
        <f>IF([1]RBA!A7&gt;1, [1]RBA!A7, "")</f>
        <v>41248</v>
      </c>
      <c r="B8" s="58">
        <f>IF($A8&lt;&gt;"", [1]RBA!B7, "")</f>
        <v>0.03</v>
      </c>
      <c r="F8" s="57">
        <f>IF([1]FX!A7&gt;1, [1]FX!A7, "")</f>
        <v>40359</v>
      </c>
      <c r="G8" s="56">
        <f>IF($F8&lt;&gt;"", [1]FX!B7, "")</f>
        <v>1</v>
      </c>
      <c r="H8" s="56">
        <f>IF($F8&lt;&gt;"", [1]FX!C7, "")</f>
        <v>0.84132600000000002</v>
      </c>
      <c r="I8" s="56">
        <f>IF($F8&lt;&gt;"", [1]FX!D7, "")</f>
        <v>0.68762999999999996</v>
      </c>
      <c r="J8" s="56">
        <f>IF($F8&lt;&gt;"", [1]FX!E7, "")</f>
        <v>5.7187999999999999</v>
      </c>
      <c r="K8" s="56">
        <f>IF($F8&lt;&gt;"", [1]FX!F7, "")</f>
        <v>1.1771</v>
      </c>
      <c r="L8" s="56">
        <f>IF($F8&lt;&gt;"", [1]FX!G7, "")</f>
        <v>0.56259999999999999</v>
      </c>
    </row>
    <row r="9" spans="1:12" x14ac:dyDescent="0.2">
      <c r="A9" s="57">
        <f>IF([1]RBA!A8&gt;1, [1]RBA!A8, "")</f>
        <v>41402</v>
      </c>
      <c r="B9" s="58">
        <f>IF($A9&lt;&gt;"", [1]RBA!B8, "")</f>
        <v>2.75E-2</v>
      </c>
      <c r="F9" s="57">
        <f>IF([1]FX!A8&gt;1, [1]FX!A8, "")</f>
        <v>40390</v>
      </c>
      <c r="G9" s="56">
        <f>IF($F9&lt;&gt;"", [1]FX!B8, "")</f>
        <v>1</v>
      </c>
      <c r="H9" s="56">
        <f>IF($F9&lt;&gt;"", [1]FX!C8, "")</f>
        <v>0.90440399999999999</v>
      </c>
      <c r="I9" s="56">
        <f>IF($F9&lt;&gt;"", [1]FX!D8, "")</f>
        <v>0.69342999999999999</v>
      </c>
      <c r="J9" s="56">
        <f>IF($F9&lt;&gt;"", [1]FX!E8, "")</f>
        <v>6.1241000000000003</v>
      </c>
      <c r="K9" s="56">
        <f>IF($F9&lt;&gt;"", [1]FX!F8, "")</f>
        <v>1.2307999999999999</v>
      </c>
      <c r="L9" s="56">
        <f>IF($F9&lt;&gt;"", [1]FX!G8, "")</f>
        <v>0.57689000000000001</v>
      </c>
    </row>
    <row r="10" spans="1:12" x14ac:dyDescent="0.2">
      <c r="A10" s="57">
        <f>IF([1]RBA!A9&gt;1, [1]RBA!A9, "")</f>
        <v>41493</v>
      </c>
      <c r="B10" s="58">
        <f>IF($A10&lt;&gt;"", [1]RBA!B9, "")</f>
        <v>2.5000000000000001E-2</v>
      </c>
      <c r="F10" s="57">
        <f>IF([1]FX!A9&gt;1, [1]FX!A9, "")</f>
        <v>40421</v>
      </c>
      <c r="G10" s="56">
        <f>IF($F10&lt;&gt;"", [1]FX!B9, "")</f>
        <v>1</v>
      </c>
      <c r="H10" s="56">
        <f>IF($F10&lt;&gt;"", [1]FX!C9, "")</f>
        <v>0.891822</v>
      </c>
      <c r="I10" s="56">
        <f>IF($F10&lt;&gt;"", [1]FX!D9, "")</f>
        <v>0.70379999999999998</v>
      </c>
      <c r="J10" s="56">
        <f>IF($F10&lt;&gt;"", [1]FX!E9, "")</f>
        <v>6.0617999999999999</v>
      </c>
      <c r="K10" s="56">
        <f>IF($F10&lt;&gt;"", [1]FX!F9, "")</f>
        <v>1.2081</v>
      </c>
      <c r="L10" s="56">
        <f>IF($F10&lt;&gt;"", [1]FX!G9, "")</f>
        <v>0.57630000000000003</v>
      </c>
    </row>
    <row r="11" spans="1:12" x14ac:dyDescent="0.2">
      <c r="A11" s="57">
        <f>IF([1]RBA!A10&gt;1, [1]RBA!A10, "")</f>
        <v>42039</v>
      </c>
      <c r="B11" s="58">
        <f>IF($A11&lt;&gt;"", [1]RBA!B10, "")</f>
        <v>2.2499999999999999E-2</v>
      </c>
      <c r="F11" s="57">
        <f>IF([1]FX!A10&gt;1, [1]FX!A10, "")</f>
        <v>40451</v>
      </c>
      <c r="G11" s="56">
        <f>IF($F11&lt;&gt;"", [1]FX!B10, "")</f>
        <v>1</v>
      </c>
      <c r="H11" s="56">
        <f>IF($F11&lt;&gt;"", [1]FX!C10, "")</f>
        <v>0.96936800000000001</v>
      </c>
      <c r="I11" s="56">
        <f>IF($F11&lt;&gt;"", [1]FX!D10, "")</f>
        <v>0.71109999999999995</v>
      </c>
      <c r="J11" s="56">
        <f>IF($F11&lt;&gt;"", [1]FX!E10, "")</f>
        <v>6.4691000000000001</v>
      </c>
      <c r="K11" s="56">
        <f>IF($F11&lt;&gt;"", [1]FX!F10, "")</f>
        <v>1.2769999999999999</v>
      </c>
      <c r="L11" s="56">
        <f>IF($F11&lt;&gt;"", [1]FX!G10, "")</f>
        <v>0.61338000000000004</v>
      </c>
    </row>
    <row r="12" spans="1:12" x14ac:dyDescent="0.2">
      <c r="A12" s="57">
        <f>IF([1]RBA!A11&gt;1, [1]RBA!A11, "")</f>
        <v>42130</v>
      </c>
      <c r="B12" s="58">
        <f>IF($A12&lt;&gt;"", [1]RBA!B11, "")</f>
        <v>0.02</v>
      </c>
      <c r="F12" s="57">
        <f>IF([1]FX!A11&gt;1, [1]FX!A11, "")</f>
        <v>40482</v>
      </c>
      <c r="G12" s="56">
        <f>IF($F12&lt;&gt;"", [1]FX!B11, "")</f>
        <v>1</v>
      </c>
      <c r="H12" s="56">
        <f>IF($F12&lt;&gt;"", [1]FX!C11, "")</f>
        <v>0.97276300000000004</v>
      </c>
      <c r="I12" s="56">
        <f>IF($F12&lt;&gt;"", [1]FX!D11, "")</f>
        <v>0.70589999999999997</v>
      </c>
      <c r="J12" s="56">
        <f>IF($F12&lt;&gt;"", [1]FX!E11, "")</f>
        <v>6.4884000000000004</v>
      </c>
      <c r="K12" s="56">
        <f>IF($F12&lt;&gt;"", [1]FX!F11, "")</f>
        <v>1.2685</v>
      </c>
      <c r="L12" s="56">
        <f>IF($F12&lt;&gt;"", [1]FX!G11, "")</f>
        <v>0.61629999999999996</v>
      </c>
    </row>
    <row r="13" spans="1:12" x14ac:dyDescent="0.2">
      <c r="A13" s="57">
        <f>IF([1]RBA!A12&gt;1, [1]RBA!A12, "")</f>
        <v>42494</v>
      </c>
      <c r="B13" s="58">
        <f>IF($A13&lt;&gt;"", [1]RBA!B12, "")</f>
        <v>1.7500000000000002E-2</v>
      </c>
      <c r="F13" s="57">
        <f>IF([1]FX!A12&gt;1, [1]FX!A12, "")</f>
        <v>40512</v>
      </c>
      <c r="G13" s="56">
        <f>IF($F13&lt;&gt;"", [1]FX!B12, "")</f>
        <v>1</v>
      </c>
      <c r="H13" s="56">
        <f>IF($F13&lt;&gt;"", [1]FX!C12, "")</f>
        <v>0.96070699999999998</v>
      </c>
      <c r="I13" s="56">
        <f>IF($F13&lt;&gt;"", [1]FX!D12, "")</f>
        <v>0.73319999999999996</v>
      </c>
      <c r="J13" s="56">
        <f>IF($F13&lt;&gt;"", [1]FX!E12, "")</f>
        <v>6.3819999999999997</v>
      </c>
      <c r="K13" s="56">
        <f>IF($F13&lt;&gt;"", [1]FX!F12, "")</f>
        <v>1.2689999999999999</v>
      </c>
      <c r="L13" s="56">
        <f>IF($F13&lt;&gt;"", [1]FX!G12, "")</f>
        <v>0.61780000000000002</v>
      </c>
    </row>
    <row r="14" spans="1:12" x14ac:dyDescent="0.2">
      <c r="A14" s="57">
        <f>IF([1]RBA!A13&gt;1, [1]RBA!A13, "")</f>
        <v>42585</v>
      </c>
      <c r="B14" s="58">
        <f>IF($A14&lt;&gt;"", [1]RBA!B13, "")</f>
        <v>1.4999999999999999E-2</v>
      </c>
      <c r="F14" s="57">
        <f>IF([1]FX!A13&gt;1, [1]FX!A13, "")</f>
        <v>40543</v>
      </c>
      <c r="G14" s="56">
        <f>IF($F14&lt;&gt;"", [1]FX!B13, "")</f>
        <v>1</v>
      </c>
      <c r="H14" s="56">
        <f>IF($F14&lt;&gt;"", [1]FX!C13, "")</f>
        <v>1.0157750000000001</v>
      </c>
      <c r="I14" s="56">
        <f>IF($F14&lt;&gt;"", [1]FX!D13, "")</f>
        <v>0.76319999999999999</v>
      </c>
      <c r="J14" s="56">
        <f>IF($F14&lt;&gt;"", [1]FX!E13, "")</f>
        <v>6.6737000000000002</v>
      </c>
      <c r="K14" s="56">
        <f>IF($F14&lt;&gt;"", [1]FX!F13, "")</f>
        <v>1.3069999999999999</v>
      </c>
      <c r="L14" s="56">
        <f>IF($F14&lt;&gt;"", [1]FX!G13, "")</f>
        <v>0.65790000000000004</v>
      </c>
    </row>
    <row r="15" spans="1:12" x14ac:dyDescent="0.2">
      <c r="A15" s="57">
        <f>IF([1]RBA!A14&gt;1, [1]RBA!A14, "")</f>
        <v>43621</v>
      </c>
      <c r="B15" s="58">
        <f>IF($A15&lt;&gt;"", [1]RBA!B14, "")</f>
        <v>1.2500000000000001E-2</v>
      </c>
      <c r="F15" s="57">
        <f>IF([1]FX!A14&gt;1, [1]FX!A14, "")</f>
        <v>40574</v>
      </c>
      <c r="G15" s="56">
        <f>IF($F15&lt;&gt;"", [1]FX!B14, "")</f>
        <v>1</v>
      </c>
      <c r="H15" s="56">
        <f>IF($F15&lt;&gt;"", [1]FX!C14, "")</f>
        <v>0.98736199999999996</v>
      </c>
      <c r="I15" s="56">
        <f>IF($F15&lt;&gt;"", [1]FX!D14, "")</f>
        <v>0.72709999999999997</v>
      </c>
      <c r="J15" s="56">
        <f>IF($F15&lt;&gt;"", [1]FX!E14, "")</f>
        <v>6.4983000000000004</v>
      </c>
      <c r="K15" s="56">
        <f>IF($F15&lt;&gt;"", [1]FX!F14, "")</f>
        <v>1.2706999999999999</v>
      </c>
      <c r="L15" s="56">
        <f>IF($F15&lt;&gt;"", [1]FX!G14, "")</f>
        <v>0.62373000000000001</v>
      </c>
    </row>
    <row r="16" spans="1:12" x14ac:dyDescent="0.2">
      <c r="A16" s="57">
        <f>IF([1]RBA!A15&gt;1, [1]RBA!A15, "")</f>
        <v>43649</v>
      </c>
      <c r="B16" s="58">
        <f>IF($A16&lt;&gt;"", [1]RBA!B15, "")</f>
        <v>0.01</v>
      </c>
      <c r="F16" s="57">
        <f>IF([1]FX!A15&gt;1, [1]FX!A15, "")</f>
        <v>40602</v>
      </c>
      <c r="G16" s="56">
        <f>IF($F16&lt;&gt;"", [1]FX!B15, "")</f>
        <v>1</v>
      </c>
      <c r="H16" s="56">
        <f>IF($F16&lt;&gt;"", [1]FX!C15, "")</f>
        <v>1.014497</v>
      </c>
      <c r="I16" s="56">
        <f>IF($F16&lt;&gt;"", [1]FX!D15, "")</f>
        <v>0.73819999999999997</v>
      </c>
      <c r="J16" s="56">
        <f>IF($F16&lt;&gt;"", [1]FX!E15, "")</f>
        <v>6.6661999999999999</v>
      </c>
      <c r="K16" s="56">
        <f>IF($F16&lt;&gt;"", [1]FX!F15, "")</f>
        <v>1.2922</v>
      </c>
      <c r="L16" s="56">
        <f>IF($F16&lt;&gt;"", [1]FX!G15, "")</f>
        <v>0.62968999999999997</v>
      </c>
    </row>
    <row r="17" spans="1:12" x14ac:dyDescent="0.2">
      <c r="A17" s="57">
        <f>IF([1]RBA!A16&gt;1, [1]RBA!A16, "")</f>
        <v>43740</v>
      </c>
      <c r="B17" s="58">
        <f>IF($A17&lt;&gt;"", [1]RBA!B16, "")</f>
        <v>7.4999999999999997E-3</v>
      </c>
      <c r="F17" s="57">
        <f>IF([1]FX!A16&gt;1, [1]FX!A16, "")</f>
        <v>40633</v>
      </c>
      <c r="G17" s="56">
        <f>IF($F17&lt;&gt;"", [1]FX!B16, "")</f>
        <v>1</v>
      </c>
      <c r="H17" s="56">
        <f>IF($F17&lt;&gt;"", [1]FX!C16, "")</f>
        <v>1.031917</v>
      </c>
      <c r="I17" s="56">
        <f>IF($F17&lt;&gt;"", [1]FX!D16, "")</f>
        <v>0.73050000000000004</v>
      </c>
      <c r="J17" s="56">
        <f>IF($F17&lt;&gt;"", [1]FX!E16, "")</f>
        <v>6.7439</v>
      </c>
      <c r="K17" s="56">
        <f>IF($F17&lt;&gt;"", [1]FX!F16, "")</f>
        <v>1.3013999999999999</v>
      </c>
      <c r="L17" s="56">
        <f>IF($F17&lt;&gt;"", [1]FX!G16, "")</f>
        <v>0.64200999999999997</v>
      </c>
    </row>
    <row r="18" spans="1:12" x14ac:dyDescent="0.2">
      <c r="A18" s="57">
        <f>IF([1]RBA!A17&gt;1, [1]RBA!A17, "")</f>
        <v>43894</v>
      </c>
      <c r="B18" s="58">
        <f>IF($A18&lt;&gt;"", [1]RBA!B17, "")</f>
        <v>5.0000000000000001E-3</v>
      </c>
      <c r="F18" s="57">
        <f>IF([1]FX!A17&gt;1, [1]FX!A17, "")</f>
        <v>40663</v>
      </c>
      <c r="G18" s="56">
        <f>IF($F18&lt;&gt;"", [1]FX!B17, "")</f>
        <v>1</v>
      </c>
      <c r="H18" s="56">
        <f>IF($F18&lt;&gt;"", [1]FX!C17, "")</f>
        <v>1.0939000000000001</v>
      </c>
      <c r="I18" s="56">
        <f>IF($F18&lt;&gt;"", [1]FX!D17, "")</f>
        <v>0.73670000000000002</v>
      </c>
      <c r="J18" s="56">
        <f>IF($F18&lt;&gt;"", [1]FX!E17, "")</f>
        <v>7.0753000000000004</v>
      </c>
      <c r="K18" s="56">
        <f>IF($F18&lt;&gt;"", [1]FX!F17, "")</f>
        <v>1.341</v>
      </c>
      <c r="L18" s="56">
        <f>IF($F18&lt;&gt;"", [1]FX!G17, "")</f>
        <v>0.65669999999999995</v>
      </c>
    </row>
    <row r="19" spans="1:12" x14ac:dyDescent="0.2">
      <c r="A19" s="57">
        <f>IF([1]RBA!A18&gt;1, [1]RBA!A18, "")</f>
        <v>43910</v>
      </c>
      <c r="B19" s="58">
        <f>IF($A19&lt;&gt;"", [1]RBA!B18, "")</f>
        <v>2.5000000000000001E-3</v>
      </c>
      <c r="F19" s="57">
        <f>IF([1]FX!A18&gt;1, [1]FX!A18, "")</f>
        <v>40694</v>
      </c>
      <c r="G19" s="56">
        <f>IF($F19&lt;&gt;"", [1]FX!B18, "")</f>
        <v>1</v>
      </c>
      <c r="H19" s="56">
        <f>IF($F19&lt;&gt;"", [1]FX!C18, "")</f>
        <v>1.0702970000000001</v>
      </c>
      <c r="I19" s="56">
        <f>IF($F19&lt;&gt;"", [1]FX!D18, "")</f>
        <v>0.74709999999999999</v>
      </c>
      <c r="J19" s="56">
        <f>IF($F19&lt;&gt;"", [1]FX!E18, "")</f>
        <v>6.9090999999999996</v>
      </c>
      <c r="K19" s="56">
        <f>IF($F19&lt;&gt;"", [1]FX!F18, "")</f>
        <v>1.3190999999999999</v>
      </c>
      <c r="L19" s="56">
        <f>IF($F19&lt;&gt;"", [1]FX!G18, "")</f>
        <v>0.64900000000000002</v>
      </c>
    </row>
    <row r="20" spans="1:12" x14ac:dyDescent="0.2">
      <c r="A20" s="57">
        <f>IF([1]RBA!A19&gt;1, [1]RBA!A19, "")</f>
        <v>44139</v>
      </c>
      <c r="B20" s="58">
        <f>IF($A20&lt;&gt;"", [1]RBA!B19, "")</f>
        <v>1E-3</v>
      </c>
      <c r="F20" s="57">
        <f>IF([1]FX!A19&gt;1, [1]FX!A19, "")</f>
        <v>40724</v>
      </c>
      <c r="G20" s="56">
        <f>IF($F20&lt;&gt;"", [1]FX!B19, "")</f>
        <v>1</v>
      </c>
      <c r="H20" s="56">
        <f>IF($F20&lt;&gt;"", [1]FX!C19, "")</f>
        <v>1.069267</v>
      </c>
      <c r="I20" s="56">
        <f>IF($F20&lt;&gt;"", [1]FX!D19, "")</f>
        <v>0.73819999999999997</v>
      </c>
      <c r="J20" s="56">
        <f>IF($F20&lt;&gt;"", [1]FX!E19, "")</f>
        <v>6.8794000000000004</v>
      </c>
      <c r="K20" s="56">
        <f>IF($F20&lt;&gt;"", [1]FX!F19, "")</f>
        <v>1.3176000000000001</v>
      </c>
      <c r="L20" s="56">
        <f>IF($F20&lt;&gt;"", [1]FX!G19, "")</f>
        <v>0.66486999999999996</v>
      </c>
    </row>
    <row r="21" spans="1:12" x14ac:dyDescent="0.2">
      <c r="A21" s="57">
        <f>IF([1]RBA!A20&gt;1, [1]RBA!A20, "")</f>
        <v>44685</v>
      </c>
      <c r="B21" s="58">
        <f>IF($A21&lt;&gt;"", [1]RBA!B20, "")</f>
        <v>3.5000000000000001E-3</v>
      </c>
      <c r="F21" s="57">
        <f>IF([1]FX!A20&gt;1, [1]FX!A20, "")</f>
        <v>40755</v>
      </c>
      <c r="G21" s="56">
        <f>IF($F21&lt;&gt;"", [1]FX!B20, "")</f>
        <v>1</v>
      </c>
      <c r="H21" s="56">
        <f>IF($F21&lt;&gt;"", [1]FX!C20, "")</f>
        <v>1.100001</v>
      </c>
      <c r="I21" s="56">
        <f>IF($F21&lt;&gt;"", [1]FX!D20, "")</f>
        <v>0.76719999999999999</v>
      </c>
      <c r="J21" s="56">
        <f>IF($F21&lt;&gt;"", [1]FX!E20, "")</f>
        <v>7.0652999999999997</v>
      </c>
      <c r="K21" s="56">
        <f>IF($F21&lt;&gt;"", [1]FX!F20, "")</f>
        <v>1.3221000000000001</v>
      </c>
      <c r="L21" s="56">
        <f>IF($F21&lt;&gt;"", [1]FX!G20, "")</f>
        <v>0.67179999999999995</v>
      </c>
    </row>
    <row r="22" spans="1:12" x14ac:dyDescent="0.2">
      <c r="A22" s="57">
        <f>IF([1]RBA!A21&gt;1, [1]RBA!A21, "")</f>
        <v>44720</v>
      </c>
      <c r="B22" s="58">
        <f>IF($A22&lt;&gt;"", [1]RBA!B21, "")</f>
        <v>8.5000000000000006E-3</v>
      </c>
      <c r="F22" s="57">
        <f>IF([1]FX!A21&gt;1, [1]FX!A21, "")</f>
        <v>40786</v>
      </c>
      <c r="G22" s="56">
        <f>IF($F22&lt;&gt;"", [1]FX!B21, "")</f>
        <v>1</v>
      </c>
      <c r="H22" s="56">
        <f>IF($F22&lt;&gt;"", [1]FX!C21, "")</f>
        <v>1.0676000000000001</v>
      </c>
      <c r="I22" s="56">
        <f>IF($F22&lt;&gt;"", [1]FX!D21, "")</f>
        <v>0.73939999999999995</v>
      </c>
      <c r="J22" s="56">
        <f>IF($F22&lt;&gt;"", [1]FX!E21, "")</f>
        <v>6.8029999999999999</v>
      </c>
      <c r="K22" s="56">
        <f>IF($F22&lt;&gt;"", [1]FX!F21, "")</f>
        <v>1.2869999999999999</v>
      </c>
      <c r="L22" s="56">
        <f>IF($F22&lt;&gt;"", [1]FX!G21, "")</f>
        <v>0.65429999999999999</v>
      </c>
    </row>
    <row r="23" spans="1:12" x14ac:dyDescent="0.2">
      <c r="A23" s="57">
        <f>IF([1]RBA!A22&gt;1, [1]RBA!A22, "")</f>
        <v>44748</v>
      </c>
      <c r="B23" s="58">
        <f>IF($A23&lt;&gt;"", [1]RBA!B22, "")</f>
        <v>1.35E-2</v>
      </c>
      <c r="F23" s="57">
        <f>IF([1]FX!A22&gt;1, [1]FX!A22, "")</f>
        <v>40816</v>
      </c>
      <c r="G23" s="56">
        <f>IF($F23&lt;&gt;"", [1]FX!B22, "")</f>
        <v>1</v>
      </c>
      <c r="H23" s="56">
        <f>IF($F23&lt;&gt;"", [1]FX!C22, "")</f>
        <v>0.97646699999999997</v>
      </c>
      <c r="I23" s="56">
        <f>IF($F23&lt;&gt;"", [1]FX!D22, "")</f>
        <v>0.71860000000000002</v>
      </c>
      <c r="J23" s="56">
        <f>IF($F23&lt;&gt;"", [1]FX!E22, "")</f>
        <v>6.2671000000000001</v>
      </c>
      <c r="K23" s="56">
        <f>IF($F23&lt;&gt;"", [1]FX!F22, "")</f>
        <v>1.2664</v>
      </c>
      <c r="L23" s="56">
        <f>IF($F23&lt;&gt;"", [1]FX!G22, "")</f>
        <v>0.62602999999999998</v>
      </c>
    </row>
    <row r="24" spans="1:12" x14ac:dyDescent="0.2">
      <c r="A24" s="57">
        <f>IF([1]RBA!A23&gt;1, [1]RBA!A23, "")</f>
        <v>44776</v>
      </c>
      <c r="B24" s="58">
        <f>IF($A24&lt;&gt;"", [1]RBA!B23, "")</f>
        <v>1.8499999999999999E-2</v>
      </c>
      <c r="F24" s="57">
        <f>IF([1]FX!A23&gt;1, [1]FX!A23, "")</f>
        <v>40847</v>
      </c>
      <c r="G24" s="56">
        <f>IF($F24&lt;&gt;"", [1]FX!B23, "")</f>
        <v>1</v>
      </c>
      <c r="H24" s="56">
        <f>IF($F24&lt;&gt;"", [1]FX!C23, "")</f>
        <v>1.0673950000000001</v>
      </c>
      <c r="I24" s="56">
        <f>IF($F24&lt;&gt;"", [1]FX!D23, "")</f>
        <v>0.75438000000000005</v>
      </c>
      <c r="J24" s="56">
        <f>IF($F24&lt;&gt;"", [1]FX!E23, "")</f>
        <v>6.7892000000000001</v>
      </c>
      <c r="K24" s="56">
        <f>IF($F24&lt;&gt;"", [1]FX!F23, "")</f>
        <v>1.327</v>
      </c>
      <c r="L24" s="56">
        <f>IF($F24&lt;&gt;"", [1]FX!G23, "")</f>
        <v>0.66210000000000002</v>
      </c>
    </row>
    <row r="25" spans="1:12" x14ac:dyDescent="0.2">
      <c r="A25" s="57">
        <f>IF([1]RBA!A24&gt;1, [1]RBA!A24, "")</f>
        <v>44811</v>
      </c>
      <c r="B25" s="58">
        <f>IF($A25&lt;&gt;"", [1]RBA!B24, "")</f>
        <v>2.35E-2</v>
      </c>
      <c r="F25" s="57">
        <f>IF([1]FX!A24&gt;1, [1]FX!A24, "")</f>
        <v>40877</v>
      </c>
      <c r="G25" s="56">
        <f>IF($F25&lt;&gt;"", [1]FX!B24, "")</f>
        <v>1</v>
      </c>
      <c r="H25" s="56">
        <f>IF($F25&lt;&gt;"", [1]FX!C24, "")</f>
        <v>1.001803</v>
      </c>
      <c r="I25" s="56">
        <f>IF($F25&lt;&gt;"", [1]FX!D24, "")</f>
        <v>0.75160000000000005</v>
      </c>
      <c r="J25" s="56">
        <f>IF($F25&lt;&gt;"", [1]FX!E24, "")</f>
        <v>6.3883999999999999</v>
      </c>
      <c r="K25" s="56">
        <f>IF($F25&lt;&gt;"", [1]FX!F24, "")</f>
        <v>1.2988999999999999</v>
      </c>
      <c r="L25" s="56">
        <f>IF($F25&lt;&gt;"", [1]FX!G24, "")</f>
        <v>0.6421</v>
      </c>
    </row>
    <row r="26" spans="1:12" x14ac:dyDescent="0.2">
      <c r="A26" s="57">
        <f>IF([1]RBA!A25&gt;1, [1]RBA!A25, "")</f>
        <v>44839</v>
      </c>
      <c r="B26" s="58">
        <f>IF($A26&lt;&gt;"", [1]RBA!B25, "")</f>
        <v>2.5999999999999999E-2</v>
      </c>
      <c r="F26" s="57">
        <f>IF([1]FX!A25&gt;1, [1]FX!A25, "")</f>
        <v>40908</v>
      </c>
      <c r="G26" s="56">
        <f>IF($F26&lt;&gt;"", [1]FX!B25, "")</f>
        <v>1</v>
      </c>
      <c r="H26" s="56">
        <f>IF($F26&lt;&gt;"", [1]FX!C25, "")</f>
        <v>1.0140960000000001</v>
      </c>
      <c r="I26" s="56">
        <f>IF($F26&lt;&gt;"", [1]FX!D25, "")</f>
        <v>0.78249999999999997</v>
      </c>
      <c r="J26" s="56">
        <f>IF($F26&lt;&gt;"", [1]FX!E25, "")</f>
        <v>6.3975</v>
      </c>
      <c r="K26" s="56">
        <f>IF($F26&lt;&gt;"", [1]FX!F25, "")</f>
        <v>1.3169</v>
      </c>
      <c r="L26" s="56">
        <f>IF($F26&lt;&gt;"", [1]FX!G25, "")</f>
        <v>0.65759999999999996</v>
      </c>
    </row>
    <row r="27" spans="1:12" x14ac:dyDescent="0.2">
      <c r="A27" s="57">
        <f>IF([1]RBA!A26&gt;1, [1]RBA!A26, "")</f>
        <v>44867</v>
      </c>
      <c r="B27" s="58">
        <f>IF($A27&lt;&gt;"", [1]RBA!B26, "")</f>
        <v>2.8500000000000001E-2</v>
      </c>
      <c r="F27" s="57">
        <f>IF([1]FX!A26&gt;1, [1]FX!A26, "")</f>
        <v>40939</v>
      </c>
      <c r="G27" s="56">
        <f>IF($F27&lt;&gt;"", [1]FX!B26, "")</f>
        <v>1</v>
      </c>
      <c r="H27" s="56">
        <f>IF($F27&lt;&gt;"", [1]FX!C26, "")</f>
        <v>1.0586040000000001</v>
      </c>
      <c r="I27" s="56">
        <f>IF($F27&lt;&gt;"", [1]FX!D26, "")</f>
        <v>0.80559999999999998</v>
      </c>
      <c r="J27" s="56">
        <f>IF($F27&lt;&gt;"", [1]FX!E26, "")</f>
        <v>6.6908000000000003</v>
      </c>
      <c r="K27" s="56">
        <f>IF($F27&lt;&gt;"", [1]FX!F26, "")</f>
        <v>1.3309</v>
      </c>
      <c r="L27" s="56">
        <f>IF($F27&lt;&gt;"", [1]FX!G26, "")</f>
        <v>0.67390000000000005</v>
      </c>
    </row>
    <row r="28" spans="1:12" x14ac:dyDescent="0.2">
      <c r="A28" s="57">
        <f>IF([1]RBA!A27&gt;1, [1]RBA!A27, "")</f>
        <v>44902</v>
      </c>
      <c r="B28" s="58">
        <f>IF($A28&lt;&gt;"", [1]RBA!B27, "")</f>
        <v>3.1E-2</v>
      </c>
      <c r="F28" s="57">
        <f>IF([1]FX!A27&gt;1, [1]FX!A27, "")</f>
        <v>40968</v>
      </c>
      <c r="G28" s="56">
        <f>IF($F28&lt;&gt;"", [1]FX!B27, "")</f>
        <v>1</v>
      </c>
      <c r="H28" s="56">
        <f>IF($F28&lt;&gt;"", [1]FX!C27, "")</f>
        <v>1.07996</v>
      </c>
      <c r="I28" s="56">
        <f>IF($F28&lt;&gt;"", [1]FX!D27, "")</f>
        <v>0.80089999999999995</v>
      </c>
      <c r="J28" s="56">
        <f>IF($F28&lt;&gt;"", [1]FX!E27, "")</f>
        <v>6.7914000000000003</v>
      </c>
      <c r="K28" s="56">
        <f>IF($F28&lt;&gt;"", [1]FX!F27, "")</f>
        <v>1.3472</v>
      </c>
      <c r="L28" s="56">
        <f>IF($F28&lt;&gt;"", [1]FX!G27, "")</f>
        <v>0.67800000000000005</v>
      </c>
    </row>
    <row r="29" spans="1:12" x14ac:dyDescent="0.2">
      <c r="A29" s="57">
        <f>IF([1]RBA!A28&gt;1, [1]RBA!A28, "")</f>
        <v>44965</v>
      </c>
      <c r="B29" s="58">
        <f>IF($A29&lt;&gt;"", [1]RBA!B28, "")</f>
        <v>3.3500000000000002E-2</v>
      </c>
      <c r="F29" s="57">
        <f>IF([1]FX!A28&gt;1, [1]FX!A28, "")</f>
        <v>40999</v>
      </c>
      <c r="G29" s="56">
        <f>IF($F29&lt;&gt;"", [1]FX!B28, "")</f>
        <v>1</v>
      </c>
      <c r="H29" s="56">
        <f>IF($F29&lt;&gt;"", [1]FX!C28, "")</f>
        <v>1.0374950000000001</v>
      </c>
      <c r="I29" s="56">
        <f>IF($F29&lt;&gt;"", [1]FX!D28, "")</f>
        <v>0.77900000000000003</v>
      </c>
      <c r="J29" s="56">
        <f>IF($F29&lt;&gt;"", [1]FX!E28, "")</f>
        <v>6.5366999999999997</v>
      </c>
      <c r="K29" s="56">
        <f>IF($F29&lt;&gt;"", [1]FX!F28, "")</f>
        <v>1.3057000000000001</v>
      </c>
      <c r="L29" s="56">
        <f>IF($F29&lt;&gt;"", [1]FX!G28, "")</f>
        <v>0.65</v>
      </c>
    </row>
    <row r="30" spans="1:12" x14ac:dyDescent="0.2">
      <c r="A30" s="57">
        <f>IF([1]RBA!A29&gt;1, [1]RBA!A29, "")</f>
        <v>44993</v>
      </c>
      <c r="B30" s="58">
        <f>IF($A30&lt;&gt;"", [1]RBA!B29, "")</f>
        <v>3.5999999999999997E-2</v>
      </c>
      <c r="F30" s="57">
        <f>IF([1]FX!A29&gt;1, [1]FX!A29, "")</f>
        <v>41029</v>
      </c>
      <c r="G30" s="56">
        <f>IF($F30&lt;&gt;"", [1]FX!B29, "")</f>
        <v>1</v>
      </c>
      <c r="H30" s="56">
        <f>IF($F30&lt;&gt;"", [1]FX!C29, "")</f>
        <v>1.045631</v>
      </c>
      <c r="I30" s="56">
        <f>IF($F30&lt;&gt;"", [1]FX!D29, "")</f>
        <v>0.7893</v>
      </c>
      <c r="J30" s="56">
        <f>IF($F30&lt;&gt;"", [1]FX!E29, "")</f>
        <v>6.5933000000000002</v>
      </c>
      <c r="K30" s="56">
        <f>IF($F30&lt;&gt;"", [1]FX!F29, "")</f>
        <v>1.2936000000000001</v>
      </c>
      <c r="L30" s="56">
        <f>IF($F30&lt;&gt;"", [1]FX!G29, "")</f>
        <v>0.64200000000000002</v>
      </c>
    </row>
    <row r="31" spans="1:12" x14ac:dyDescent="0.2">
      <c r="A31" s="57">
        <f>IF([1]RBA!A30&gt;1, [1]RBA!A30, "")</f>
        <v>45049</v>
      </c>
      <c r="B31" s="58">
        <f>IF($A31&lt;&gt;"", [1]RBA!B30, "")</f>
        <v>3.85E-2</v>
      </c>
      <c r="F31" s="57">
        <f>IF([1]FX!A30&gt;1, [1]FX!A30, "")</f>
        <v>41060</v>
      </c>
      <c r="G31" s="56">
        <f>IF($F31&lt;&gt;"", [1]FX!B30, "")</f>
        <v>1</v>
      </c>
      <c r="H31" s="56">
        <f>IF($F31&lt;&gt;"", [1]FX!C30, "")</f>
        <v>0.97049700000000005</v>
      </c>
      <c r="I31" s="56">
        <f>IF($F31&lt;&gt;"", [1]FX!D30, "")</f>
        <v>0.78410000000000002</v>
      </c>
      <c r="J31" s="56">
        <f>IF($F31&lt;&gt;"", [1]FX!E30, "")</f>
        <v>6.1618000000000004</v>
      </c>
      <c r="K31" s="56">
        <f>IF($F31&lt;&gt;"", [1]FX!F30, "")</f>
        <v>1.25</v>
      </c>
      <c r="L31" s="56">
        <f>IF($F31&lt;&gt;"", [1]FX!G30, "")</f>
        <v>0.62649999999999995</v>
      </c>
    </row>
    <row r="32" spans="1:12" x14ac:dyDescent="0.2">
      <c r="A32" s="57">
        <f>IF([1]RBA!A31&gt;1, [1]RBA!A31, "")</f>
        <v>45084</v>
      </c>
      <c r="B32" s="58">
        <f>IF($A32&lt;&gt;"", [1]RBA!B31, "")</f>
        <v>4.1000000000000002E-2</v>
      </c>
      <c r="F32" s="57">
        <f>IF([1]FX!A31&gt;1, [1]FX!A31, "")</f>
        <v>41090</v>
      </c>
      <c r="G32" s="56">
        <f>IF($F32&lt;&gt;"", [1]FX!B31, "")</f>
        <v>1</v>
      </c>
      <c r="H32" s="56">
        <f>IF($F32&lt;&gt;"", [1]FX!C31, "")</f>
        <v>1.003371</v>
      </c>
      <c r="I32" s="56">
        <f>IF($F32&lt;&gt;"", [1]FX!D31, "")</f>
        <v>0.80620000000000003</v>
      </c>
      <c r="J32" s="56">
        <f>IF($F32&lt;&gt;"", [1]FX!E31, "")</f>
        <v>6.3697999999999997</v>
      </c>
      <c r="K32" s="56">
        <f>IF($F32&lt;&gt;"", [1]FX!F31, "")</f>
        <v>1.2846</v>
      </c>
      <c r="L32" s="56">
        <f>IF($F32&lt;&gt;"", [1]FX!G31, "")</f>
        <v>0.64639999999999997</v>
      </c>
    </row>
    <row r="33" spans="1:12" x14ac:dyDescent="0.2">
      <c r="A33" s="57">
        <f>IF([1]RBA!A32&gt;1, [1]RBA!A32, "")</f>
        <v>45238</v>
      </c>
      <c r="B33" s="58">
        <f>IF($A33&lt;&gt;"", [1]RBA!B32, "")</f>
        <v>4.3499999999999997E-2</v>
      </c>
      <c r="F33" s="57">
        <f>IF([1]FX!A32&gt;1, [1]FX!A32, "")</f>
        <v>41121</v>
      </c>
      <c r="G33" s="56">
        <f>IF($F33&lt;&gt;"", [1]FX!B32, "")</f>
        <v>1</v>
      </c>
      <c r="H33" s="56">
        <f>IF($F33&lt;&gt;"", [1]FX!C32, "")</f>
        <v>1.0498689999999999</v>
      </c>
      <c r="I33" s="56">
        <f>IF($F33&lt;&gt;"", [1]FX!D32, "")</f>
        <v>0.85619999999999996</v>
      </c>
      <c r="J33" s="56">
        <f>IF($F33&lt;&gt;"", [1]FX!E32, "")</f>
        <v>6.6890999999999998</v>
      </c>
      <c r="K33" s="56">
        <f>IF($F33&lt;&gt;"", [1]FX!F32, "")</f>
        <v>1.3085</v>
      </c>
      <c r="L33" s="56">
        <f>IF($F33&lt;&gt;"", [1]FX!G32, "")</f>
        <v>0.66805000000000003</v>
      </c>
    </row>
    <row r="34" spans="1:12" x14ac:dyDescent="0.2">
      <c r="A34" s="57">
        <f>IF([1]RBA!A33&gt;1, [1]RBA!A33, "")</f>
        <v>45707</v>
      </c>
      <c r="B34" s="58">
        <f>IF($A34&lt;&gt;"", [1]RBA!B33, "")</f>
        <v>4.1000000000000002E-2</v>
      </c>
      <c r="F34" s="57">
        <f>IF([1]FX!A33&gt;1, [1]FX!A33, "")</f>
        <v>41152</v>
      </c>
      <c r="G34" s="56">
        <f>IF($F34&lt;&gt;"", [1]FX!B33, "")</f>
        <v>1</v>
      </c>
      <c r="H34" s="56">
        <f>IF($F34&lt;&gt;"", [1]FX!C33, "")</f>
        <v>1.028098</v>
      </c>
      <c r="I34" s="56">
        <f>IF($F34&lt;&gt;"", [1]FX!D33, "")</f>
        <v>0.82150000000000001</v>
      </c>
      <c r="J34" s="56">
        <f>IF($F34&lt;&gt;"", [1]FX!E33, "")</f>
        <v>6.5187999999999997</v>
      </c>
      <c r="K34" s="56">
        <f>IF($F34&lt;&gt;"", [1]FX!F33, "")</f>
        <v>1.2885</v>
      </c>
      <c r="L34" s="56">
        <f>IF($F34&lt;&gt;"", [1]FX!G33, "")</f>
        <v>0.65090000000000003</v>
      </c>
    </row>
    <row r="35" spans="1:12" x14ac:dyDescent="0.2">
      <c r="A35" s="57">
        <f>IF([1]RBA!A34&gt;1, [1]RBA!A34, "")</f>
        <v>45798</v>
      </c>
      <c r="B35" s="58">
        <f>IF($A35&lt;&gt;"", [1]RBA!B34, "")</f>
        <v>3.85E-2</v>
      </c>
      <c r="F35" s="57">
        <f>IF([1]FX!A34&gt;1, [1]FX!A34, "")</f>
        <v>41182</v>
      </c>
      <c r="G35" s="56">
        <f>IF($F35&lt;&gt;"", [1]FX!B34, "")</f>
        <v>1</v>
      </c>
      <c r="H35" s="56">
        <f>IF($F35&lt;&gt;"", [1]FX!C34, "")</f>
        <v>1.0437650000000001</v>
      </c>
      <c r="I35" s="56">
        <f>IF($F35&lt;&gt;"", [1]FX!D34, "")</f>
        <v>0.80820000000000003</v>
      </c>
      <c r="J35" s="56">
        <f>IF($F35&lt;&gt;"", [1]FX!E34, "")</f>
        <v>6.5690999999999997</v>
      </c>
      <c r="K35" s="56">
        <f>IF($F35&lt;&gt;"", [1]FX!F34, "")</f>
        <v>1.27938</v>
      </c>
      <c r="L35" s="56">
        <f>IF($F35&lt;&gt;"", [1]FX!G34, "")</f>
        <v>0.64280000000000004</v>
      </c>
    </row>
    <row r="36" spans="1:12" x14ac:dyDescent="0.2">
      <c r="A36" s="57" t="str">
        <f>IF([1]RBA!A35&gt;1, [1]RBA!A35, "")</f>
        <v/>
      </c>
      <c r="B36" s="58" t="str">
        <f>IF($A36&lt;&gt;"", [1]RBA!B35, "")</f>
        <v/>
      </c>
      <c r="F36" s="57">
        <f>IF([1]FX!A35&gt;1, [1]FX!A35, "")</f>
        <v>41213</v>
      </c>
      <c r="G36" s="56">
        <f>IF($F36&lt;&gt;"", [1]FX!B35, "")</f>
        <v>1</v>
      </c>
      <c r="H36" s="56">
        <f>IF($F36&lt;&gt;"", [1]FX!C35, "")</f>
        <v>1.036602</v>
      </c>
      <c r="I36" s="56">
        <f>IF($F36&lt;&gt;"", [1]FX!D35, "")</f>
        <v>0.79959999999999998</v>
      </c>
      <c r="J36" s="56">
        <f>IF($F36&lt;&gt;"", [1]FX!E35, "")</f>
        <v>6.4612999999999996</v>
      </c>
      <c r="K36" s="56">
        <f>IF($F36&lt;&gt;"", [1]FX!F35, "")</f>
        <v>1.2638400000000001</v>
      </c>
      <c r="L36" s="56">
        <f>IF($F36&lt;&gt;"", [1]FX!G35, "")</f>
        <v>0.64470000000000005</v>
      </c>
    </row>
    <row r="37" spans="1:12" x14ac:dyDescent="0.2">
      <c r="A37" s="57" t="str">
        <f>IF([1]RBA!A36&gt;1, [1]RBA!A36, "")</f>
        <v/>
      </c>
      <c r="B37" s="58" t="str">
        <f>IF($A37&lt;&gt;"", [1]RBA!B36, "")</f>
        <v/>
      </c>
      <c r="F37" s="57">
        <f>IF([1]FX!A36&gt;1, [1]FX!A36, "")</f>
        <v>41243</v>
      </c>
      <c r="G37" s="56">
        <f>IF($F37&lt;&gt;"", [1]FX!B36, "")</f>
        <v>1</v>
      </c>
      <c r="H37" s="56">
        <f>IF($F37&lt;&gt;"", [1]FX!C36, "")</f>
        <v>1.0429379999999999</v>
      </c>
      <c r="I37" s="56">
        <f>IF($F37&lt;&gt;"", [1]FX!D36, "")</f>
        <v>0.80369999999999997</v>
      </c>
      <c r="J37" s="56">
        <f>IF($F37&lt;&gt;"", [1]FX!E36, "")</f>
        <v>6.4865000000000004</v>
      </c>
      <c r="K37" s="56">
        <f>IF($F37&lt;&gt;"", [1]FX!F36, "")</f>
        <v>1.2724</v>
      </c>
      <c r="L37" s="56">
        <f>IF($F37&lt;&gt;"", [1]FX!G36, "")</f>
        <v>0.65</v>
      </c>
    </row>
    <row r="38" spans="1:12" x14ac:dyDescent="0.2">
      <c r="A38" s="57" t="str">
        <f>IF([1]RBA!A37&gt;1, [1]RBA!A37, "")</f>
        <v/>
      </c>
      <c r="B38" s="58" t="str">
        <f>IF($A38&lt;&gt;"", [1]RBA!B37, "")</f>
        <v/>
      </c>
      <c r="F38" s="57">
        <f>IF([1]FX!A37&gt;1, [1]FX!A37, "")</f>
        <v>41274</v>
      </c>
      <c r="G38" s="56">
        <f>IF($F38&lt;&gt;"", [1]FX!B37, "")</f>
        <v>1</v>
      </c>
      <c r="H38" s="56">
        <f>IF($F38&lt;&gt;"", [1]FX!C37, "")</f>
        <v>1.039199</v>
      </c>
      <c r="I38" s="56">
        <f>IF($F38&lt;&gt;"", [1]FX!D37, "")</f>
        <v>0.78539999999999999</v>
      </c>
      <c r="J38" s="56">
        <f>IF($F38&lt;&gt;"", [1]FX!E37, "")</f>
        <v>6.2950999999999997</v>
      </c>
      <c r="K38" s="56">
        <f>IF($F38&lt;&gt;"", [1]FX!F37, "")</f>
        <v>1.2705</v>
      </c>
      <c r="L38" s="56">
        <f>IF($F38&lt;&gt;"", [1]FX!G37, "")</f>
        <v>0.64270000000000005</v>
      </c>
    </row>
    <row r="39" spans="1:12" x14ac:dyDescent="0.2">
      <c r="A39" s="57" t="str">
        <f>IF([1]RBA!A38&gt;1, [1]RBA!A38, "")</f>
        <v/>
      </c>
      <c r="B39" s="58" t="str">
        <f>IF($A39&lt;&gt;"", [1]RBA!B38, "")</f>
        <v/>
      </c>
      <c r="F39" s="57">
        <f>IF([1]FX!A38&gt;1, [1]FX!A38, "")</f>
        <v>41305</v>
      </c>
      <c r="G39" s="56">
        <f>IF($F39&lt;&gt;"", [1]FX!B38, "")</f>
        <v>1</v>
      </c>
      <c r="H39" s="56">
        <f>IF($F39&lt;&gt;"", [1]FX!C38, "")</f>
        <v>1.041884</v>
      </c>
      <c r="I39" s="56">
        <f>IF($F39&lt;&gt;"", [1]FX!D38, "")</f>
        <v>0.76770000000000005</v>
      </c>
      <c r="J39" s="56">
        <f>IF($F39&lt;&gt;"", [1]FX!E38, "")</f>
        <v>6.4741</v>
      </c>
      <c r="K39" s="56">
        <f>IF($F39&lt;&gt;"", [1]FX!F38, "")</f>
        <v>1.2873000000000001</v>
      </c>
      <c r="L39" s="56">
        <f>IF($F39&lt;&gt;"", [1]FX!G38, "")</f>
        <v>0.6593</v>
      </c>
    </row>
    <row r="40" spans="1:12" x14ac:dyDescent="0.2">
      <c r="A40" s="57" t="str">
        <f>IF([1]RBA!A39&gt;1, [1]RBA!A39, "")</f>
        <v/>
      </c>
      <c r="B40" s="58" t="str">
        <f>IF($A40&lt;&gt;"", [1]RBA!B39, "")</f>
        <v/>
      </c>
      <c r="F40" s="57">
        <f>IF([1]FX!A39&gt;1, [1]FX!A39, "")</f>
        <v>41333</v>
      </c>
      <c r="G40" s="56">
        <f>IF($F40&lt;&gt;"", [1]FX!B39, "")</f>
        <v>1</v>
      </c>
      <c r="H40" s="56">
        <f>IF($F40&lt;&gt;"", [1]FX!C39, "")</f>
        <v>1.0232270000000001</v>
      </c>
      <c r="I40" s="56">
        <f>IF($F40&lt;&gt;"", [1]FX!D39, "")</f>
        <v>0.77759999999999996</v>
      </c>
      <c r="J40" s="56">
        <f>IF($F40&lt;&gt;"", [1]FX!E39, "")</f>
        <v>6.3613999999999997</v>
      </c>
      <c r="K40" s="56">
        <f>IF($F40&lt;&gt;"", [1]FX!F39, "")</f>
        <v>1.26494</v>
      </c>
      <c r="L40" s="56">
        <f>IF($F40&lt;&gt;"", [1]FX!G39, "")</f>
        <v>0.67449999999999999</v>
      </c>
    </row>
    <row r="41" spans="1:12" x14ac:dyDescent="0.2">
      <c r="A41" s="57" t="str">
        <f>IF([1]RBA!A40&gt;1, [1]RBA!A40, "")</f>
        <v/>
      </c>
      <c r="B41" s="58" t="str">
        <f>IF($A41&lt;&gt;"", [1]RBA!B40, "")</f>
        <v/>
      </c>
      <c r="F41" s="57">
        <f>IF([1]FX!A40&gt;1, [1]FX!A40, "")</f>
        <v>41364</v>
      </c>
      <c r="G41" s="56">
        <f>IF($F41&lt;&gt;"", [1]FX!B40, "")</f>
        <v>1</v>
      </c>
      <c r="H41" s="56">
        <f>IF($F41&lt;&gt;"", [1]FX!C40, "")</f>
        <v>1.0418289999999999</v>
      </c>
      <c r="I41" s="56">
        <f>IF($F41&lt;&gt;"", [1]FX!D40, "")</f>
        <v>0.81279999999999997</v>
      </c>
      <c r="J41" s="56">
        <f>IF($F41&lt;&gt;"", [1]FX!E40, "")</f>
        <v>6.4646999999999997</v>
      </c>
      <c r="K41" s="56">
        <f>IF($F41&lt;&gt;"", [1]FX!F40, "")</f>
        <v>1.292</v>
      </c>
      <c r="L41" s="56">
        <f>IF($F41&lt;&gt;"", [1]FX!G40, "")</f>
        <v>0.68520000000000003</v>
      </c>
    </row>
    <row r="42" spans="1:12" x14ac:dyDescent="0.2">
      <c r="A42" s="57" t="str">
        <f>IF([1]RBA!A41&gt;1, [1]RBA!A41, "")</f>
        <v/>
      </c>
      <c r="B42" s="58" t="str">
        <f>IF($A42&lt;&gt;"", [1]RBA!B41, "")</f>
        <v/>
      </c>
      <c r="F42" s="57">
        <f>IF([1]FX!A41&gt;1, [1]FX!A41, "")</f>
        <v>41394</v>
      </c>
      <c r="G42" s="56">
        <f>IF($F42&lt;&gt;"", [1]FX!B41, "")</f>
        <v>1</v>
      </c>
      <c r="H42" s="56">
        <f>IF($F42&lt;&gt;"", [1]FX!C41, "")</f>
        <v>1.0344040000000001</v>
      </c>
      <c r="I42" s="56">
        <f>IF($F42&lt;&gt;"", [1]FX!D41, "")</f>
        <v>0.78969999999999996</v>
      </c>
      <c r="J42" s="56">
        <f>IF($F42&lt;&gt;"", [1]FX!E41, "")</f>
        <v>6.3685999999999998</v>
      </c>
      <c r="K42" s="56">
        <f>IF($F42&lt;&gt;"", [1]FX!F41, "")</f>
        <v>1.2757000000000001</v>
      </c>
      <c r="L42" s="56">
        <f>IF($F42&lt;&gt;"", [1]FX!G41, "")</f>
        <v>0.66739999999999999</v>
      </c>
    </row>
    <row r="43" spans="1:12" x14ac:dyDescent="0.2">
      <c r="A43" s="57" t="str">
        <f>IF([1]RBA!A42&gt;1, [1]RBA!A42, "")</f>
        <v/>
      </c>
      <c r="B43" s="58" t="str">
        <f>IF($A43&lt;&gt;"", [1]RBA!B42, "")</f>
        <v/>
      </c>
      <c r="F43" s="57">
        <f>IF([1]FX!A42&gt;1, [1]FX!A42, "")</f>
        <v>41425</v>
      </c>
      <c r="G43" s="56">
        <f>IF($F43&lt;&gt;"", [1]FX!B42, "")</f>
        <v>1</v>
      </c>
      <c r="H43" s="56">
        <f>IF($F43&lt;&gt;"", [1]FX!C42, "")</f>
        <v>0.96693099999999998</v>
      </c>
      <c r="I43" s="56">
        <f>IF($F43&lt;&gt;"", [1]FX!D42, "")</f>
        <v>0.74099999999999999</v>
      </c>
      <c r="J43" s="56">
        <f>IF($F43&lt;&gt;"", [1]FX!E42, "")</f>
        <v>5.9172000000000002</v>
      </c>
      <c r="K43" s="56">
        <f>IF($F43&lt;&gt;"", [1]FX!F42, "")</f>
        <v>1.2172000000000001</v>
      </c>
      <c r="L43" s="56">
        <f>IF($F43&lt;&gt;"", [1]FX!G42, "")</f>
        <v>0.63460000000000005</v>
      </c>
    </row>
    <row r="44" spans="1:12" x14ac:dyDescent="0.2">
      <c r="A44" s="57" t="str">
        <f>IF([1]RBA!A43&gt;1, [1]RBA!A43, "")</f>
        <v/>
      </c>
      <c r="B44" s="58" t="str">
        <f>IF($A44&lt;&gt;"", [1]RBA!B43, "")</f>
        <v/>
      </c>
      <c r="F44" s="57">
        <f>IF([1]FX!A43&gt;1, [1]FX!A43, "")</f>
        <v>41455</v>
      </c>
      <c r="G44" s="56">
        <f>IF($F44&lt;&gt;"", [1]FX!B43, "")</f>
        <v>1</v>
      </c>
      <c r="H44" s="56">
        <f>IF($F44&lt;&gt;"", [1]FX!C43, "")</f>
        <v>0.92815999999999999</v>
      </c>
      <c r="I44" s="56">
        <f>IF($F44&lt;&gt;"", [1]FX!D43, "")</f>
        <v>0.71182999999999996</v>
      </c>
      <c r="J44" s="56">
        <f>IF($F44&lt;&gt;"", [1]FX!E43, "")</f>
        <v>5.7011000000000003</v>
      </c>
      <c r="K44" s="56">
        <f>IF($F44&lt;&gt;"", [1]FX!F43, "")</f>
        <v>1.17533</v>
      </c>
      <c r="L44" s="56">
        <f>IF($F44&lt;&gt;"", [1]FX!G43, "")</f>
        <v>0.60809999999999997</v>
      </c>
    </row>
    <row r="45" spans="1:12" x14ac:dyDescent="0.2">
      <c r="A45" s="57" t="str">
        <f>IF([1]RBA!A44&gt;1, [1]RBA!A44, "")</f>
        <v/>
      </c>
      <c r="B45" s="58" t="str">
        <f>IF($A45&lt;&gt;"", [1]RBA!B44, "")</f>
        <v/>
      </c>
      <c r="F45" s="57">
        <f>IF([1]FX!A44&gt;1, [1]FX!A44, "")</f>
        <v>41486</v>
      </c>
      <c r="G45" s="56">
        <f>IF($F45&lt;&gt;"", [1]FX!B44, "")</f>
        <v>1</v>
      </c>
      <c r="H45" s="56">
        <f>IF($F45&lt;&gt;"", [1]FX!C44, "")</f>
        <v>0.90727599999999997</v>
      </c>
      <c r="I45" s="56">
        <f>IF($F45&lt;&gt;"", [1]FX!D44, "")</f>
        <v>0.68389999999999995</v>
      </c>
      <c r="J45" s="56">
        <f>IF($F45&lt;&gt;"", [1]FX!E44, "")</f>
        <v>5.5519999999999996</v>
      </c>
      <c r="K45" s="56">
        <f>IF($F45&lt;&gt;"", [1]FX!F44, "")</f>
        <v>1.1521399999999999</v>
      </c>
      <c r="L45" s="56">
        <f>IF($F45&lt;&gt;"", [1]FX!G44, "")</f>
        <v>0.59502999999999995</v>
      </c>
    </row>
    <row r="46" spans="1:12" x14ac:dyDescent="0.2">
      <c r="A46" s="57" t="str">
        <f>IF([1]RBA!A45&gt;1, [1]RBA!A45, "")</f>
        <v/>
      </c>
      <c r="B46" s="58" t="str">
        <f>IF($A46&lt;&gt;"", [1]RBA!B45, "")</f>
        <v/>
      </c>
      <c r="F46" s="57">
        <f>IF([1]FX!A45&gt;1, [1]FX!A45, "")</f>
        <v>41517</v>
      </c>
      <c r="G46" s="56">
        <f>IF($F46&lt;&gt;"", [1]FX!B45, "")</f>
        <v>1</v>
      </c>
      <c r="H46" s="56">
        <f>IF($F46&lt;&gt;"", [1]FX!C45, "")</f>
        <v>0.89261800000000002</v>
      </c>
      <c r="I46" s="56">
        <f>IF($F46&lt;&gt;"", [1]FX!D45, "")</f>
        <v>0.67410000000000003</v>
      </c>
      <c r="J46" s="56">
        <f>IF($F46&lt;&gt;"", [1]FX!E45, "")</f>
        <v>5.4568000000000003</v>
      </c>
      <c r="K46" s="56">
        <f>IF($F46&lt;&gt;"", [1]FX!F45, "")</f>
        <v>1.13829</v>
      </c>
      <c r="L46" s="56">
        <f>IF($F46&lt;&gt;"", [1]FX!G45, "")</f>
        <v>0.57533999999999996</v>
      </c>
    </row>
    <row r="47" spans="1:12" x14ac:dyDescent="0.2">
      <c r="A47" s="57" t="str">
        <f>IF([1]RBA!A46&gt;1, [1]RBA!A46, "")</f>
        <v/>
      </c>
      <c r="B47" s="58" t="str">
        <f>IF($A47&lt;&gt;"", [1]RBA!B46, "")</f>
        <v/>
      </c>
      <c r="F47" s="57">
        <f>IF([1]FX!A46&gt;1, [1]FX!A46, "")</f>
        <v>41547</v>
      </c>
      <c r="G47" s="56">
        <f>IF($F47&lt;&gt;"", [1]FX!B46, "")</f>
        <v>1</v>
      </c>
      <c r="H47" s="56">
        <f>IF($F47&lt;&gt;"", [1]FX!C46, "")</f>
        <v>0.93014600000000003</v>
      </c>
      <c r="I47" s="56">
        <f>IF($F47&lt;&gt;"", [1]FX!D46, "")</f>
        <v>0.68910000000000005</v>
      </c>
      <c r="J47" s="56">
        <f>IF($F47&lt;&gt;"", [1]FX!E46, "")</f>
        <v>5.6957000000000004</v>
      </c>
      <c r="K47" s="56">
        <f>IF($F47&lt;&gt;"", [1]FX!F46, "")</f>
        <v>1.1687399999999999</v>
      </c>
      <c r="L47" s="56">
        <f>IF($F47&lt;&gt;"", [1]FX!G46, "")</f>
        <v>0.57509999999999994</v>
      </c>
    </row>
    <row r="48" spans="1:12" x14ac:dyDescent="0.2">
      <c r="A48" s="57" t="str">
        <f>IF([1]RBA!A47&gt;1, [1]RBA!A47, "")</f>
        <v/>
      </c>
      <c r="B48" s="58" t="str">
        <f>IF($A48&lt;&gt;"", [1]RBA!B47, "")</f>
        <v/>
      </c>
      <c r="F48" s="57">
        <f>IF([1]FX!A47&gt;1, [1]FX!A47, "")</f>
        <v>41578</v>
      </c>
      <c r="G48" s="56">
        <f>IF($F48&lt;&gt;"", [1]FX!B47, "")</f>
        <v>1</v>
      </c>
      <c r="H48" s="56">
        <f>IF($F48&lt;&gt;"", [1]FX!C47, "")</f>
        <v>0.94703199999999998</v>
      </c>
      <c r="I48" s="56">
        <f>IF($F48&lt;&gt;"", [1]FX!D47, "")</f>
        <v>0.68974000000000002</v>
      </c>
      <c r="J48" s="56">
        <f>IF($F48&lt;&gt;"", [1]FX!E47, "")</f>
        <v>5.7633000000000001</v>
      </c>
      <c r="K48" s="56">
        <f>IF($F48&lt;&gt;"", [1]FX!F47, "")</f>
        <v>1.17377</v>
      </c>
      <c r="L48" s="56">
        <f>IF($F48&lt;&gt;"", [1]FX!G47, "")</f>
        <v>0.59065000000000001</v>
      </c>
    </row>
    <row r="49" spans="1:12" x14ac:dyDescent="0.2">
      <c r="A49" s="57" t="str">
        <f>IF([1]RBA!A48&gt;1, [1]RBA!A48, "")</f>
        <v/>
      </c>
      <c r="B49" s="58" t="str">
        <f>IF($A49&lt;&gt;"", [1]RBA!B48, "")</f>
        <v/>
      </c>
      <c r="F49" s="57">
        <f>IF([1]FX!A48&gt;1, [1]FX!A48, "")</f>
        <v>41608</v>
      </c>
      <c r="G49" s="56">
        <f>IF($F49&lt;&gt;"", [1]FX!B48, "")</f>
        <v>1</v>
      </c>
      <c r="H49" s="56">
        <f>IF($F49&lt;&gt;"", [1]FX!C48, "")</f>
        <v>0.90842999999999996</v>
      </c>
      <c r="I49" s="56">
        <f>IF($F49&lt;&gt;"", [1]FX!D48, "")</f>
        <v>0.66759999999999997</v>
      </c>
      <c r="J49" s="56">
        <f>IF($F49&lt;&gt;"", [1]FX!E48, "")</f>
        <v>5.5252999999999997</v>
      </c>
      <c r="K49" s="56">
        <f>IF($F49&lt;&gt;"", [1]FX!F48, "")</f>
        <v>1.1402099999999999</v>
      </c>
      <c r="L49" s="56">
        <f>IF($F49&lt;&gt;"", [1]FX!G48, "")</f>
        <v>0.55569999999999997</v>
      </c>
    </row>
    <row r="50" spans="1:12" x14ac:dyDescent="0.2">
      <c r="A50" s="57" t="str">
        <f>IF([1]RBA!A49&gt;1, [1]RBA!A49, "")</f>
        <v/>
      </c>
      <c r="B50" s="58" t="str">
        <f>IF($A50&lt;&gt;"", [1]RBA!B49, "")</f>
        <v/>
      </c>
      <c r="F50" s="57">
        <f>IF([1]FX!A49&gt;1, [1]FX!A49, "")</f>
        <v>41639</v>
      </c>
      <c r="G50" s="56">
        <f>IF($F50&lt;&gt;"", [1]FX!B49, "")</f>
        <v>1</v>
      </c>
      <c r="H50" s="56">
        <f>IF($F50&lt;&gt;"", [1]FX!C49, "")</f>
        <v>0.89198100000000002</v>
      </c>
      <c r="I50" s="56">
        <f>IF($F50&lt;&gt;"", [1]FX!D49, "")</f>
        <v>0.64576</v>
      </c>
      <c r="J50" s="56">
        <f>IF($F50&lt;&gt;"", [1]FX!E49, "")</f>
        <v>5.3973000000000004</v>
      </c>
      <c r="K50" s="56">
        <f>IF($F50&lt;&gt;"", [1]FX!F49, "")</f>
        <v>1.12974</v>
      </c>
      <c r="L50" s="56">
        <f>IF($F50&lt;&gt;"", [1]FX!G49, "")</f>
        <v>0.54063000000000005</v>
      </c>
    </row>
    <row r="51" spans="1:12" x14ac:dyDescent="0.2">
      <c r="A51" s="57" t="str">
        <f>IF([1]RBA!A50&gt;1, [1]RBA!A50, "")</f>
        <v/>
      </c>
      <c r="B51" s="58" t="str">
        <f>IF($A51&lt;&gt;"", [1]RBA!B50, "")</f>
        <v/>
      </c>
      <c r="F51" s="57">
        <f>IF([1]FX!A50&gt;1, [1]FX!A50, "")</f>
        <v>41670</v>
      </c>
      <c r="G51" s="56">
        <f>IF($F51&lt;&gt;"", [1]FX!B50, "")</f>
        <v>1</v>
      </c>
      <c r="H51" s="56">
        <f>IF($F51&lt;&gt;"", [1]FX!C50, "")</f>
        <v>0.87958499999999995</v>
      </c>
      <c r="I51" s="56">
        <f>IF($F51&lt;&gt;"", [1]FX!D50, "")</f>
        <v>0.64859999999999995</v>
      </c>
      <c r="J51" s="56">
        <f>IF($F51&lt;&gt;"", [1]FX!E50, "")</f>
        <v>5.3266</v>
      </c>
      <c r="K51" s="56">
        <f>IF($F51&lt;&gt;"", [1]FX!F50, "")</f>
        <v>1.1209</v>
      </c>
      <c r="L51" s="56">
        <f>IF($F51&lt;&gt;"", [1]FX!G50, "")</f>
        <v>0.53300000000000003</v>
      </c>
    </row>
    <row r="52" spans="1:12" x14ac:dyDescent="0.2">
      <c r="A52" s="57" t="str">
        <f>IF([1]RBA!A51&gt;1, [1]RBA!A51, "")</f>
        <v/>
      </c>
      <c r="B52" s="58" t="str">
        <f>IF($A52&lt;&gt;"", [1]RBA!B51, "")</f>
        <v/>
      </c>
      <c r="F52" s="57">
        <f>IF([1]FX!A51&gt;1, [1]FX!A51, "")</f>
        <v>41698</v>
      </c>
      <c r="G52" s="56">
        <f>IF($F52&lt;&gt;"", [1]FX!B51, "")</f>
        <v>1</v>
      </c>
      <c r="H52" s="56">
        <f>IF($F52&lt;&gt;"", [1]FX!C51, "")</f>
        <v>0.89617000000000002</v>
      </c>
      <c r="I52" s="56">
        <f>IF($F52&lt;&gt;"", [1]FX!D51, "")</f>
        <v>0.65354000000000001</v>
      </c>
      <c r="J52" s="56">
        <f>IF($F52&lt;&gt;"", [1]FX!E51, "")</f>
        <v>5.4851999999999999</v>
      </c>
      <c r="K52" s="56">
        <f>IF($F52&lt;&gt;"", [1]FX!F51, "")</f>
        <v>1.1326799999999999</v>
      </c>
      <c r="L52" s="56">
        <f>IF($F52&lt;&gt;"", [1]FX!G51, "")</f>
        <v>0.53664000000000001</v>
      </c>
    </row>
    <row r="53" spans="1:12" x14ac:dyDescent="0.2">
      <c r="A53" s="57" t="str">
        <f>IF([1]RBA!A52&gt;1, [1]RBA!A52, "")</f>
        <v/>
      </c>
      <c r="B53" s="58" t="str">
        <f>IF($A53&lt;&gt;"", [1]RBA!B52, "")</f>
        <v/>
      </c>
      <c r="F53" s="57">
        <f>IF([1]FX!A52&gt;1, [1]FX!A52, "")</f>
        <v>41729</v>
      </c>
      <c r="G53" s="56">
        <f>IF($F53&lt;&gt;"", [1]FX!B52, "")</f>
        <v>1</v>
      </c>
      <c r="H53" s="56">
        <f>IF($F53&lt;&gt;"", [1]FX!C52, "")</f>
        <v>0.92601199999999995</v>
      </c>
      <c r="I53" s="56">
        <f>IF($F53&lt;&gt;"", [1]FX!D52, "")</f>
        <v>0.67300000000000004</v>
      </c>
      <c r="J53" s="56">
        <f>IF($F53&lt;&gt;"", [1]FX!E52, "")</f>
        <v>5.7397999999999998</v>
      </c>
      <c r="K53" s="56">
        <f>IF($F53&lt;&gt;"", [1]FX!F52, "")</f>
        <v>1.1658999999999999</v>
      </c>
      <c r="L53" s="56">
        <f>IF($F53&lt;&gt;"", [1]FX!G52, "")</f>
        <v>0.55600000000000005</v>
      </c>
    </row>
    <row r="54" spans="1:12" x14ac:dyDescent="0.2">
      <c r="A54" s="57" t="str">
        <f>IF([1]RBA!A53&gt;1, [1]RBA!A53, "")</f>
        <v/>
      </c>
      <c r="B54" s="58" t="str">
        <f>IF($A54&lt;&gt;"", [1]RBA!B53, "")</f>
        <v/>
      </c>
      <c r="F54" s="57">
        <f>IF([1]FX!A53&gt;1, [1]FX!A53, "")</f>
        <v>41759</v>
      </c>
      <c r="G54" s="56">
        <f>IF($F54&lt;&gt;"", [1]FX!B53, "")</f>
        <v>1</v>
      </c>
      <c r="H54" s="56">
        <f>IF($F54&lt;&gt;"", [1]FX!C53, "")</f>
        <v>0.92747199999999996</v>
      </c>
      <c r="I54" s="56">
        <f>IF($F54&lt;&gt;"", [1]FX!D53, "")</f>
        <v>0.67130000000000001</v>
      </c>
      <c r="J54" s="56">
        <f>IF($F54&lt;&gt;"", [1]FX!E53, "")</f>
        <v>5.7949000000000002</v>
      </c>
      <c r="K54" s="56">
        <f>IF($F54&lt;&gt;"", [1]FX!F53, "")</f>
        <v>1.1638999999999999</v>
      </c>
      <c r="L54" s="56">
        <f>IF($F54&lt;&gt;"", [1]FX!G53, "")</f>
        <v>0.55110000000000003</v>
      </c>
    </row>
    <row r="55" spans="1:12" x14ac:dyDescent="0.2">
      <c r="A55" s="57" t="str">
        <f>IF([1]RBA!A54&gt;1, [1]RBA!A54, "")</f>
        <v/>
      </c>
      <c r="B55" s="58" t="str">
        <f>IF($A55&lt;&gt;"", [1]RBA!B54, "")</f>
        <v/>
      </c>
      <c r="F55" s="57">
        <f>IF([1]FX!A54&gt;1, [1]FX!A54, "")</f>
        <v>41790</v>
      </c>
      <c r="G55" s="56">
        <f>IF($F55&lt;&gt;"", [1]FX!B54, "")</f>
        <v>1</v>
      </c>
      <c r="H55" s="56">
        <f>IF($F55&lt;&gt;"", [1]FX!C54, "")</f>
        <v>0.93109900000000001</v>
      </c>
      <c r="I55" s="56">
        <f>IF($F55&lt;&gt;"", [1]FX!D54, "")</f>
        <v>0.6845</v>
      </c>
      <c r="J55" s="56">
        <f>IF($F55&lt;&gt;"", [1]FX!E54, "")</f>
        <v>5.8014999999999999</v>
      </c>
      <c r="K55" s="56">
        <f>IF($F55&lt;&gt;"", [1]FX!F54, "")</f>
        <v>1.1672199999999999</v>
      </c>
      <c r="L55" s="56">
        <f>IF($F55&lt;&gt;"", [1]FX!G54, "")</f>
        <v>0.55659999999999998</v>
      </c>
    </row>
    <row r="56" spans="1:12" x14ac:dyDescent="0.2">
      <c r="A56" s="57" t="str">
        <f>IF([1]RBA!A55&gt;1, [1]RBA!A55, "")</f>
        <v/>
      </c>
      <c r="B56" s="58" t="str">
        <f>IF($A56&lt;&gt;"", [1]RBA!B55, "")</f>
        <v/>
      </c>
      <c r="F56" s="57">
        <f>IF([1]FX!A55&gt;1, [1]FX!A55, "")</f>
        <v>41820</v>
      </c>
      <c r="G56" s="56">
        <f>IF($F56&lt;&gt;"", [1]FX!B55, "")</f>
        <v>1</v>
      </c>
      <c r="H56" s="56">
        <f>IF($F56&lt;&gt;"", [1]FX!C55, "")</f>
        <v>0.94170799999999999</v>
      </c>
      <c r="I56" s="56">
        <f>IF($F56&lt;&gt;"", [1]FX!D55, "")</f>
        <v>0.69</v>
      </c>
      <c r="J56" s="56">
        <f>IF($F56&lt;&gt;"", [1]FX!E55, "")</f>
        <v>5.8498000000000001</v>
      </c>
      <c r="K56" s="56">
        <f>IF($F56&lt;&gt;"", [1]FX!F55, "")</f>
        <v>1.1762999999999999</v>
      </c>
      <c r="L56" s="56">
        <f>IF($F56&lt;&gt;"", [1]FX!G55, "")</f>
        <v>0.55259999999999998</v>
      </c>
    </row>
    <row r="57" spans="1:12" x14ac:dyDescent="0.2">
      <c r="A57" s="57" t="str">
        <f>IF([1]RBA!A56&gt;1, [1]RBA!A56, "")</f>
        <v/>
      </c>
      <c r="B57" s="58" t="str">
        <f>IF($A57&lt;&gt;"", [1]RBA!B56, "")</f>
        <v/>
      </c>
      <c r="F57" s="57">
        <f>IF([1]FX!A56&gt;1, [1]FX!A56, "")</f>
        <v>41851</v>
      </c>
      <c r="G57" s="56">
        <f>IF($F57&lt;&gt;"", [1]FX!B56, "")</f>
        <v>1</v>
      </c>
      <c r="H57" s="56">
        <f>IF($F57&lt;&gt;"", [1]FX!C56, "")</f>
        <v>0.93257500000000004</v>
      </c>
      <c r="I57" s="56">
        <f>IF($F57&lt;&gt;"", [1]FX!D56, "")</f>
        <v>0.69594999999999996</v>
      </c>
      <c r="J57" s="56">
        <f>IF($F57&lt;&gt;"", [1]FX!E56, "")</f>
        <v>5.7474999999999996</v>
      </c>
      <c r="K57" s="56">
        <f>IF($F57&lt;&gt;"", [1]FX!F56, "")</f>
        <v>1.16038</v>
      </c>
      <c r="L57" s="56">
        <f>IF($F57&lt;&gt;"", [1]FX!G56, "")</f>
        <v>0.55127999999999999</v>
      </c>
    </row>
    <row r="58" spans="1:12" x14ac:dyDescent="0.2">
      <c r="A58" s="57" t="str">
        <f>IF([1]RBA!A57&gt;1, [1]RBA!A57, "")</f>
        <v/>
      </c>
      <c r="B58" s="58" t="str">
        <f>IF($A58&lt;&gt;"", [1]RBA!B57, "")</f>
        <v/>
      </c>
      <c r="F58" s="57">
        <f>IF([1]FX!A57&gt;1, [1]FX!A57, "")</f>
        <v>41882</v>
      </c>
      <c r="G58" s="56">
        <f>IF($F58&lt;&gt;"", [1]FX!B57, "")</f>
        <v>1</v>
      </c>
      <c r="H58" s="56">
        <f>IF($F58&lt;&gt;"", [1]FX!C57, "")</f>
        <v>0.93554099999999996</v>
      </c>
      <c r="I58" s="56">
        <f>IF($F58&lt;&gt;"", [1]FX!D57, "")</f>
        <v>0.70930000000000004</v>
      </c>
      <c r="J58" s="56">
        <f>IF($F58&lt;&gt;"", [1]FX!E57, "")</f>
        <v>5.7390999999999996</v>
      </c>
      <c r="K58" s="56">
        <f>IF($F58&lt;&gt;"", [1]FX!F57, "")</f>
        <v>1.1680299999999999</v>
      </c>
      <c r="L58" s="56">
        <f>IF($F58&lt;&gt;"", [1]FX!G57, "")</f>
        <v>0.56359000000000004</v>
      </c>
    </row>
    <row r="59" spans="1:12" x14ac:dyDescent="0.2">
      <c r="A59" s="57" t="str">
        <f>IF([1]RBA!A58&gt;1, [1]RBA!A58, "")</f>
        <v/>
      </c>
      <c r="B59" s="58" t="str">
        <f>IF($A59&lt;&gt;"", [1]RBA!B58, "")</f>
        <v/>
      </c>
      <c r="F59" s="57">
        <f>IF([1]FX!A58&gt;1, [1]FX!A58, "")</f>
        <v>41912</v>
      </c>
      <c r="G59" s="56">
        <f>IF($F59&lt;&gt;"", [1]FX!B58, "")</f>
        <v>1</v>
      </c>
      <c r="H59" s="56">
        <f>IF($F59&lt;&gt;"", [1]FX!C58, "")</f>
        <v>0.87168800000000002</v>
      </c>
      <c r="I59" s="56">
        <f>IF($F59&lt;&gt;"", [1]FX!D58, "")</f>
        <v>0.68669999999999998</v>
      </c>
      <c r="J59" s="56">
        <f>IF($F59&lt;&gt;"", [1]FX!E58, "")</f>
        <v>5.3526999999999996</v>
      </c>
      <c r="K59" s="56">
        <f>IF($F59&lt;&gt;"", [1]FX!F58, "")</f>
        <v>1.1102000000000001</v>
      </c>
      <c r="L59" s="56">
        <f>IF($F59&lt;&gt;"", [1]FX!G58, "")</f>
        <v>0.53639999999999999</v>
      </c>
    </row>
    <row r="60" spans="1:12" x14ac:dyDescent="0.2">
      <c r="A60" s="57" t="str">
        <f>IF([1]RBA!A59&gt;1, [1]RBA!A59, "")</f>
        <v/>
      </c>
      <c r="B60" s="58" t="str">
        <f>IF($A60&lt;&gt;"", [1]RBA!B59, "")</f>
        <v/>
      </c>
      <c r="F60" s="57">
        <f>IF([1]FX!A59&gt;1, [1]FX!A59, "")</f>
        <v>41943</v>
      </c>
      <c r="G60" s="56">
        <f>IF($F60&lt;&gt;"", [1]FX!B59, "")</f>
        <v>1</v>
      </c>
      <c r="H60" s="56">
        <f>IF($F60&lt;&gt;"", [1]FX!C59, "")</f>
        <v>0.88245700000000005</v>
      </c>
      <c r="I60" s="56">
        <f>IF($F60&lt;&gt;"", [1]FX!D59, "")</f>
        <v>0.69969999999999999</v>
      </c>
      <c r="J60" s="56">
        <f>IF($F60&lt;&gt;"", [1]FX!E59, "")</f>
        <v>5.3875000000000002</v>
      </c>
      <c r="K60" s="56">
        <f>IF($F60&lt;&gt;"", [1]FX!F59, "")</f>
        <v>1.1269</v>
      </c>
      <c r="L60" s="56">
        <f>IF($F60&lt;&gt;"", [1]FX!G59, "")</f>
        <v>0.5514</v>
      </c>
    </row>
    <row r="61" spans="1:12" x14ac:dyDescent="0.2">
      <c r="A61" s="57" t="str">
        <f>IF([1]RBA!A60&gt;1, [1]RBA!A60, "")</f>
        <v/>
      </c>
      <c r="B61" s="58" t="str">
        <f>IF($A61&lt;&gt;"", [1]RBA!B60, "")</f>
        <v/>
      </c>
      <c r="F61" s="57">
        <f>IF([1]FX!A60&gt;1, [1]FX!A60, "")</f>
        <v>41973</v>
      </c>
      <c r="G61" s="56">
        <f>IF($F61&lt;&gt;"", [1]FX!B60, "")</f>
        <v>1</v>
      </c>
      <c r="H61" s="56">
        <f>IF($F61&lt;&gt;"", [1]FX!C60, "")</f>
        <v>0.85244200000000003</v>
      </c>
      <c r="I61" s="56">
        <f>IF($F61&lt;&gt;"", [1]FX!D60, "")</f>
        <v>0.68400000000000005</v>
      </c>
      <c r="J61" s="56">
        <f>IF($F61&lt;&gt;"", [1]FX!E60, "")</f>
        <v>5.2245999999999997</v>
      </c>
      <c r="K61" s="56">
        <f>IF($F61&lt;&gt;"", [1]FX!F60, "")</f>
        <v>1.1077999999999999</v>
      </c>
      <c r="L61" s="56">
        <f>IF($F61&lt;&gt;"", [1]FX!G60, "")</f>
        <v>0.54179999999999995</v>
      </c>
    </row>
    <row r="62" spans="1:12" x14ac:dyDescent="0.2">
      <c r="A62" s="57" t="str">
        <f>IF([1]RBA!A61&gt;1, [1]RBA!A61, "")</f>
        <v/>
      </c>
      <c r="B62" s="58" t="str">
        <f>IF($A62&lt;&gt;"", [1]RBA!B61, "")</f>
        <v/>
      </c>
      <c r="F62" s="57">
        <f>IF([1]FX!A61&gt;1, [1]FX!A61, "")</f>
        <v>42004</v>
      </c>
      <c r="G62" s="56">
        <f>IF($F62&lt;&gt;"", [1]FX!B61, "")</f>
        <v>1</v>
      </c>
      <c r="H62" s="56">
        <f>IF($F62&lt;&gt;"", [1]FX!C61, "")</f>
        <v>0.81839799999999996</v>
      </c>
      <c r="I62" s="56">
        <f>IF($F62&lt;&gt;"", [1]FX!D61, "")</f>
        <v>0.67269999999999996</v>
      </c>
      <c r="J62" s="56">
        <f>IF($F62&lt;&gt;"", [1]FX!E61, "")</f>
        <v>5.0682999999999998</v>
      </c>
      <c r="K62" s="56">
        <f>IF($F62&lt;&gt;"", [1]FX!F61, "")</f>
        <v>1.0810999999999999</v>
      </c>
      <c r="L62" s="56">
        <f>IF($F62&lt;&gt;"", [1]FX!G61, "")</f>
        <v>0.52559999999999996</v>
      </c>
    </row>
    <row r="63" spans="1:12" x14ac:dyDescent="0.2">
      <c r="A63" s="57" t="str">
        <f>IF([1]RBA!A62&gt;1, [1]RBA!A62, "")</f>
        <v/>
      </c>
      <c r="B63" s="58" t="str">
        <f>IF($A63&lt;&gt;"", [1]RBA!B62, "")</f>
        <v/>
      </c>
      <c r="F63" s="57">
        <f>IF([1]FX!A62&gt;1, [1]FX!A62, "")</f>
        <v>42035</v>
      </c>
      <c r="G63" s="56">
        <f>IF($F63&lt;&gt;"", [1]FX!B62, "")</f>
        <v>1</v>
      </c>
      <c r="H63" s="56">
        <f>IF($F63&lt;&gt;"", [1]FX!C62, "")</f>
        <v>0.77820999999999996</v>
      </c>
      <c r="I63" s="56">
        <f>IF($F63&lt;&gt;"", [1]FX!D62, "")</f>
        <v>0.6865</v>
      </c>
      <c r="J63" s="56">
        <f>IF($F63&lt;&gt;"", [1]FX!E62, "")</f>
        <v>4.8532999999999999</v>
      </c>
      <c r="K63" s="56">
        <f>IF($F63&lt;&gt;"", [1]FX!F62, "")</f>
        <v>1.0525</v>
      </c>
      <c r="L63" s="56">
        <f>IF($F63&lt;&gt;"", [1]FX!G62, "")</f>
        <v>0.51592000000000005</v>
      </c>
    </row>
    <row r="64" spans="1:12" x14ac:dyDescent="0.2">
      <c r="A64" s="57" t="str">
        <f>IF([1]RBA!A63&gt;1, [1]RBA!A63, "")</f>
        <v/>
      </c>
      <c r="B64" s="58" t="str">
        <f>IF($A64&lt;&gt;"", [1]RBA!B63, "")</f>
        <v/>
      </c>
      <c r="F64" s="57">
        <f>IF([1]FX!A63&gt;1, [1]FX!A63, "")</f>
        <v>42063</v>
      </c>
      <c r="G64" s="56">
        <f>IF($F64&lt;&gt;"", [1]FX!B63, "")</f>
        <v>1</v>
      </c>
      <c r="H64" s="56">
        <f>IF($F64&lt;&gt;"", [1]FX!C63, "")</f>
        <v>0.78057900000000002</v>
      </c>
      <c r="I64" s="56">
        <f>IF($F64&lt;&gt;"", [1]FX!D63, "")</f>
        <v>0.69650000000000001</v>
      </c>
      <c r="J64" s="56">
        <f>IF($F64&lt;&gt;"", [1]FX!E63, "")</f>
        <v>4.8783000000000003</v>
      </c>
      <c r="K64" s="56">
        <f>IF($F64&lt;&gt;"", [1]FX!F63, "")</f>
        <v>1.05843</v>
      </c>
      <c r="L64" s="56">
        <f>IF($F64&lt;&gt;"", [1]FX!G63, "")</f>
        <v>0.50609999999999999</v>
      </c>
    </row>
    <row r="65" spans="1:12" x14ac:dyDescent="0.2">
      <c r="A65" s="57" t="str">
        <f>IF([1]RBA!A64&gt;1, [1]RBA!A64, "")</f>
        <v/>
      </c>
      <c r="B65" s="58" t="str">
        <f>IF($A65&lt;&gt;"", [1]RBA!B64, "")</f>
        <v/>
      </c>
      <c r="F65" s="57">
        <f>IF([1]FX!A64&gt;1, [1]FX!A64, "")</f>
        <v>42094</v>
      </c>
      <c r="G65" s="56">
        <f>IF($F65&lt;&gt;"", [1]FX!B64, "")</f>
        <v>1</v>
      </c>
      <c r="H65" s="56">
        <f>IF($F65&lt;&gt;"", [1]FX!C64, "")</f>
        <v>0.76581399999999999</v>
      </c>
      <c r="I65" s="56">
        <f>IF($F65&lt;&gt;"", [1]FX!D64, "")</f>
        <v>0.70679999999999998</v>
      </c>
      <c r="J65" s="56">
        <f>IF($F65&lt;&gt;"", [1]FX!E64, "")</f>
        <v>4.7454999999999998</v>
      </c>
      <c r="K65" s="56">
        <f>IF($F65&lt;&gt;"", [1]FX!F64, "")</f>
        <v>1.05301</v>
      </c>
      <c r="L65" s="56">
        <f>IF($F65&lt;&gt;"", [1]FX!G64, "")</f>
        <v>0.51680000000000004</v>
      </c>
    </row>
    <row r="66" spans="1:12" x14ac:dyDescent="0.2">
      <c r="A66" s="57" t="str">
        <f>IF([1]RBA!A65&gt;1, [1]RBA!A65, "")</f>
        <v/>
      </c>
      <c r="B66" s="58" t="str">
        <f>IF($A66&lt;&gt;"", [1]RBA!B65, "")</f>
        <v/>
      </c>
      <c r="F66" s="57">
        <f>IF([1]FX!A65&gt;1, [1]FX!A65, "")</f>
        <v>42124</v>
      </c>
      <c r="G66" s="56">
        <f>IF($F66&lt;&gt;"", [1]FX!B65, "")</f>
        <v>1</v>
      </c>
      <c r="H66" s="56">
        <f>IF($F66&lt;&gt;"", [1]FX!C65, "")</f>
        <v>0.79948799999999998</v>
      </c>
      <c r="I66" s="56">
        <f>IF($F66&lt;&gt;"", [1]FX!D65, "")</f>
        <v>0.71930000000000005</v>
      </c>
      <c r="J66" s="56">
        <f>IF($F66&lt;&gt;"", [1]FX!E65, "")</f>
        <v>4.9493999999999998</v>
      </c>
      <c r="K66" s="56">
        <f>IF($F66&lt;&gt;"", [1]FX!F65, "")</f>
        <v>1.0562</v>
      </c>
      <c r="L66" s="56">
        <f>IF($F66&lt;&gt;"", [1]FX!G65, "")</f>
        <v>0.51819999999999999</v>
      </c>
    </row>
    <row r="67" spans="1:12" x14ac:dyDescent="0.2">
      <c r="A67" s="57" t="str">
        <f>IF([1]RBA!A66&gt;1, [1]RBA!A66, "")</f>
        <v/>
      </c>
      <c r="B67" s="58" t="str">
        <f>IF($A67&lt;&gt;"", [1]RBA!B66, "")</f>
        <v/>
      </c>
      <c r="F67" s="57">
        <f>IF([1]FX!A66&gt;1, [1]FX!A66, "")</f>
        <v>42155</v>
      </c>
      <c r="G67" s="56">
        <f>IF($F67&lt;&gt;"", [1]FX!B66, "")</f>
        <v>1</v>
      </c>
      <c r="H67" s="56">
        <f>IF($F67&lt;&gt;"", [1]FX!C66, "")</f>
        <v>0.76581399999999999</v>
      </c>
      <c r="I67" s="56">
        <f>IF($F67&lt;&gt;"", [1]FX!D66, "")</f>
        <v>0.69840000000000002</v>
      </c>
      <c r="J67" s="56">
        <f>IF($F67&lt;&gt;"", [1]FX!E66, "")</f>
        <v>4.7441000000000004</v>
      </c>
      <c r="K67" s="56">
        <f>IF($F67&lt;&gt;"", [1]FX!F66, "")</f>
        <v>1.032</v>
      </c>
      <c r="L67" s="56">
        <f>IF($F67&lt;&gt;"", [1]FX!G66, "")</f>
        <v>0.49959999999999999</v>
      </c>
    </row>
    <row r="68" spans="1:12" x14ac:dyDescent="0.2">
      <c r="A68" s="57" t="str">
        <f>IF([1]RBA!A67&gt;1, [1]RBA!A67, "")</f>
        <v/>
      </c>
      <c r="B68" s="58" t="str">
        <f>IF($A68&lt;&gt;"", [1]RBA!B67, "")</f>
        <v/>
      </c>
      <c r="F68" s="57">
        <f>IF([1]FX!A67&gt;1, [1]FX!A67, "")</f>
        <v>42185</v>
      </c>
      <c r="G68" s="56">
        <f>IF($F68&lt;&gt;"", [1]FX!B67, "")</f>
        <v>1</v>
      </c>
      <c r="H68" s="56">
        <f>IF($F68&lt;&gt;"", [1]FX!C67, "")</f>
        <v>0.76728300000000005</v>
      </c>
      <c r="I68" s="56">
        <f>IF($F68&lt;&gt;"", [1]FX!D67, "")</f>
        <v>0.68389999999999995</v>
      </c>
      <c r="J68" s="56">
        <f>IF($F68&lt;&gt;"", [1]FX!E67, "")</f>
        <v>4.7557999999999998</v>
      </c>
      <c r="K68" s="56">
        <f>IF($F68&lt;&gt;"", [1]FX!F67, "")</f>
        <v>1.0331999999999999</v>
      </c>
      <c r="L68" s="56">
        <f>IF($F68&lt;&gt;"", [1]FX!G67, "")</f>
        <v>0.48759999999999998</v>
      </c>
    </row>
    <row r="69" spans="1:12" x14ac:dyDescent="0.2">
      <c r="A69" s="57" t="str">
        <f>IF([1]RBA!A68&gt;1, [1]RBA!A68, "")</f>
        <v/>
      </c>
      <c r="B69" s="58" t="str">
        <f>IF($A69&lt;&gt;"", [1]RBA!B68, "")</f>
        <v/>
      </c>
      <c r="F69" s="57">
        <f>IF([1]FX!A68&gt;1, [1]FX!A68, "")</f>
        <v>42216</v>
      </c>
      <c r="G69" s="56">
        <f>IF($F69&lt;&gt;"", [1]FX!B68, "")</f>
        <v>1</v>
      </c>
      <c r="H69" s="56">
        <f>IF($F69&lt;&gt;"", [1]FX!C68, "")</f>
        <v>0.72944799999999999</v>
      </c>
      <c r="I69" s="56">
        <f>IF($F69&lt;&gt;"", [1]FX!D68, "")</f>
        <v>0.66669999999999996</v>
      </c>
      <c r="J69" s="56">
        <f>IF($F69&lt;&gt;"", [1]FX!E68, "")</f>
        <v>4.5239000000000003</v>
      </c>
      <c r="K69" s="56">
        <f>IF($F69&lt;&gt;"", [1]FX!F68, "")</f>
        <v>1.00258</v>
      </c>
      <c r="L69" s="56">
        <f>IF($F69&lt;&gt;"", [1]FX!G68, "")</f>
        <v>0.46739999999999998</v>
      </c>
    </row>
    <row r="70" spans="1:12" x14ac:dyDescent="0.2">
      <c r="A70" s="57" t="str">
        <f>IF([1]RBA!A69&gt;1, [1]RBA!A69, "")</f>
        <v/>
      </c>
      <c r="B70" s="58" t="str">
        <f>IF($A70&lt;&gt;"", [1]RBA!B69, "")</f>
        <v/>
      </c>
      <c r="F70" s="57">
        <f>IF([1]FX!A69&gt;1, [1]FX!A69, "")</f>
        <v>42247</v>
      </c>
      <c r="G70" s="56">
        <f>IF($F70&lt;&gt;"", [1]FX!B69, "")</f>
        <v>1</v>
      </c>
      <c r="H70" s="56">
        <f>IF($F70&lt;&gt;"", [1]FX!C69, "")</f>
        <v>0.71408199999999999</v>
      </c>
      <c r="I70" s="56">
        <f>IF($F70&lt;&gt;"", [1]FX!D69, "")</f>
        <v>0.63670000000000004</v>
      </c>
      <c r="J70" s="56">
        <f>IF($F70&lt;&gt;"", [1]FX!E69, "")</f>
        <v>4.5461</v>
      </c>
      <c r="K70" s="56">
        <f>IF($F70&lt;&gt;"", [1]FX!F69, "")</f>
        <v>1.0057799999999999</v>
      </c>
      <c r="L70" s="56">
        <f>IF($F70&lt;&gt;"", [1]FX!G69, "")</f>
        <v>0.46300000000000002</v>
      </c>
    </row>
    <row r="71" spans="1:12" x14ac:dyDescent="0.2">
      <c r="A71" s="57" t="str">
        <f>IF([1]RBA!A70&gt;1, [1]RBA!A70, "")</f>
        <v/>
      </c>
      <c r="B71" s="58" t="str">
        <f>IF($A71&lt;&gt;"", [1]RBA!B70, "")</f>
        <v/>
      </c>
      <c r="F71" s="57">
        <f>IF([1]FX!A70&gt;1, [1]FX!A70, "")</f>
        <v>42277</v>
      </c>
      <c r="G71" s="56">
        <f>IF($F71&lt;&gt;"", [1]FX!B70, "")</f>
        <v>1</v>
      </c>
      <c r="H71" s="56">
        <f>IF($F71&lt;&gt;"", [1]FX!C70, "")</f>
        <v>0.70037799999999995</v>
      </c>
      <c r="I71" s="56">
        <f>IF($F71&lt;&gt;"", [1]FX!D70, "")</f>
        <v>0.62209999999999999</v>
      </c>
      <c r="J71" s="56">
        <f>IF($F71&lt;&gt;"", [1]FX!E70, "")</f>
        <v>4.4493999999999998</v>
      </c>
      <c r="K71" s="56">
        <f>IF($F71&lt;&gt;"", [1]FX!F70, "")</f>
        <v>0.99929999999999997</v>
      </c>
      <c r="L71" s="56">
        <f>IF($F71&lt;&gt;"", [1]FX!G70, "")</f>
        <v>0.46179999999999999</v>
      </c>
    </row>
    <row r="72" spans="1:12" x14ac:dyDescent="0.2">
      <c r="A72" s="57" t="str">
        <f>IF([1]RBA!A71&gt;1, [1]RBA!A71, "")</f>
        <v/>
      </c>
      <c r="B72" s="58" t="str">
        <f>IF($A72&lt;&gt;"", [1]RBA!B71, "")</f>
        <v/>
      </c>
      <c r="F72" s="57">
        <f>IF([1]FX!A71&gt;1, [1]FX!A71, "")</f>
        <v>42308</v>
      </c>
      <c r="G72" s="56">
        <f>IF($F72&lt;&gt;"", [1]FX!B71, "")</f>
        <v>1</v>
      </c>
      <c r="H72" s="56">
        <f>IF($F72&lt;&gt;"", [1]FX!C71, "")</f>
        <v>0.70901899999999995</v>
      </c>
      <c r="I72" s="56">
        <f>IF($F72&lt;&gt;"", [1]FX!D71, "")</f>
        <v>0.64480000000000004</v>
      </c>
      <c r="J72" s="56">
        <f>IF($F72&lt;&gt;"", [1]FX!E71, "")</f>
        <v>4.4996999999999998</v>
      </c>
      <c r="K72" s="56">
        <f>IF($F72&lt;&gt;"", [1]FX!F71, "")</f>
        <v>0.99429000000000001</v>
      </c>
      <c r="L72" s="56">
        <f>IF($F72&lt;&gt;"", [1]FX!G71, "")</f>
        <v>0.46260000000000001</v>
      </c>
    </row>
    <row r="73" spans="1:12" x14ac:dyDescent="0.2">
      <c r="A73" s="57" t="str">
        <f>IF([1]RBA!A72&gt;1, [1]RBA!A72, "")</f>
        <v/>
      </c>
      <c r="B73" s="58" t="str">
        <f>IF($A73&lt;&gt;"", [1]RBA!B72, "")</f>
        <v/>
      </c>
      <c r="F73" s="57">
        <f>IF([1]FX!A72&gt;1, [1]FX!A72, "")</f>
        <v>42338</v>
      </c>
      <c r="G73" s="56">
        <f>IF($F73&lt;&gt;"", [1]FX!B72, "")</f>
        <v>1</v>
      </c>
      <c r="H73" s="56">
        <f>IF($F73&lt;&gt;"", [1]FX!C72, "")</f>
        <v>0.718391</v>
      </c>
      <c r="I73" s="56">
        <f>IF($F73&lt;&gt;"", [1]FX!D72, "")</f>
        <v>0.67869999999999997</v>
      </c>
      <c r="J73" s="56">
        <f>IF($F73&lt;&gt;"", [1]FX!E72, "")</f>
        <v>4.5557999999999996</v>
      </c>
      <c r="K73" s="56">
        <f>IF($F73&lt;&gt;"", [1]FX!F72, "")</f>
        <v>1.0149999999999999</v>
      </c>
      <c r="L73" s="56">
        <f>IF($F73&lt;&gt;"", [1]FX!G72, "")</f>
        <v>0.47749999999999998</v>
      </c>
    </row>
    <row r="74" spans="1:12" x14ac:dyDescent="0.2">
      <c r="A74" s="57" t="str">
        <f>IF([1]RBA!A73&gt;1, [1]RBA!A73, "")</f>
        <v/>
      </c>
      <c r="B74" s="58" t="str">
        <f>IF($A74&lt;&gt;"", [1]RBA!B73, "")</f>
        <v/>
      </c>
      <c r="F74" s="57">
        <f>IF([1]FX!A73&gt;1, [1]FX!A73, "")</f>
        <v>42369</v>
      </c>
      <c r="G74" s="56">
        <f>IF($F74&lt;&gt;"", [1]FX!B73, "")</f>
        <v>1</v>
      </c>
      <c r="H74" s="56">
        <f>IF($F74&lt;&gt;"", [1]FX!C73, "")</f>
        <v>0.728491</v>
      </c>
      <c r="I74" s="56">
        <f>IF($F74&lt;&gt;"", [1]FX!D73, "")</f>
        <v>0.66590000000000005</v>
      </c>
      <c r="J74" s="56">
        <f>IF($F74&lt;&gt;"", [1]FX!E73, "")</f>
        <v>4.7198000000000002</v>
      </c>
      <c r="K74" s="56">
        <f>IF($F74&lt;&gt;"", [1]FX!F73, "")</f>
        <v>1.0299799999999999</v>
      </c>
      <c r="L74" s="56">
        <f>IF($F74&lt;&gt;"", [1]FX!G73, "")</f>
        <v>0.49130000000000001</v>
      </c>
    </row>
    <row r="75" spans="1:12" x14ac:dyDescent="0.2">
      <c r="A75" s="57" t="str">
        <f>IF([1]RBA!A74&gt;1, [1]RBA!A74, "")</f>
        <v/>
      </c>
      <c r="B75" s="58" t="str">
        <f>IF($A75&lt;&gt;"", [1]RBA!B74, "")</f>
        <v/>
      </c>
      <c r="F75" s="57">
        <f>IF([1]FX!A74&gt;1, [1]FX!A74, "")</f>
        <v>42400</v>
      </c>
      <c r="G75" s="56">
        <f>IF($F75&lt;&gt;"", [1]FX!B74, "")</f>
        <v>1</v>
      </c>
      <c r="H75" s="56">
        <f>IF($F75&lt;&gt;"", [1]FX!C74, "")</f>
        <v>0.70861700000000005</v>
      </c>
      <c r="I75" s="56">
        <f>IF($F75&lt;&gt;"", [1]FX!D74, "")</f>
        <v>0.64770000000000005</v>
      </c>
      <c r="J75" s="56">
        <f>IF($F75&lt;&gt;"", [1]FX!E74, "")</f>
        <v>4.6551</v>
      </c>
      <c r="K75" s="56">
        <f>IF($F75&lt;&gt;"", [1]FX!F74, "")</f>
        <v>1.01105</v>
      </c>
      <c r="L75" s="56">
        <f>IF($F75&lt;&gt;"", [1]FX!G74, "")</f>
        <v>0.49320000000000003</v>
      </c>
    </row>
    <row r="76" spans="1:12" x14ac:dyDescent="0.2">
      <c r="A76" s="57" t="str">
        <f>IF([1]RBA!A75&gt;1, [1]RBA!A75, "")</f>
        <v/>
      </c>
      <c r="B76" s="58" t="str">
        <f>IF($A76&lt;&gt;"", [1]RBA!B75, "")</f>
        <v/>
      </c>
      <c r="F76" s="57">
        <f>IF([1]FX!A75&gt;1, [1]FX!A75, "")</f>
        <v>42429</v>
      </c>
      <c r="G76" s="56">
        <f>IF($F76&lt;&gt;"", [1]FX!B75, "")</f>
        <v>1</v>
      </c>
      <c r="H76" s="56">
        <f>IF($F76&lt;&gt;"", [1]FX!C75, "")</f>
        <v>0.71280900000000003</v>
      </c>
      <c r="I76" s="56">
        <f>IF($F76&lt;&gt;"", [1]FX!D75, "")</f>
        <v>0.65229999999999999</v>
      </c>
      <c r="J76" s="56">
        <f>IF($F76&lt;&gt;"", [1]FX!E75, "")</f>
        <v>4.6654</v>
      </c>
      <c r="K76" s="56">
        <f>IF($F76&lt;&gt;"", [1]FX!F75, "")</f>
        <v>1.0037</v>
      </c>
      <c r="L76" s="56">
        <f>IF($F76&lt;&gt;"", [1]FX!G75, "")</f>
        <v>0.51390000000000002</v>
      </c>
    </row>
    <row r="77" spans="1:12" x14ac:dyDescent="0.2">
      <c r="A77" s="57" t="str">
        <f>IF([1]RBA!A76&gt;1, [1]RBA!A76, "")</f>
        <v/>
      </c>
      <c r="B77" s="58" t="str">
        <f>IF($A77&lt;&gt;"", [1]RBA!B76, "")</f>
        <v/>
      </c>
      <c r="F77" s="57">
        <f>IF([1]FX!A76&gt;1, [1]FX!A76, "")</f>
        <v>42460</v>
      </c>
      <c r="G77" s="56">
        <f>IF($F77&lt;&gt;"", [1]FX!B76, "")</f>
        <v>1</v>
      </c>
      <c r="H77" s="56">
        <f>IF($F77&lt;&gt;"", [1]FX!C76, "")</f>
        <v>0.76610699999999998</v>
      </c>
      <c r="I77" s="56">
        <f>IF($F77&lt;&gt;"", [1]FX!D76, "")</f>
        <v>0.67559999999999998</v>
      </c>
      <c r="J77" s="56">
        <f>IF($F77&lt;&gt;"", [1]FX!E76, "")</f>
        <v>4.9443000000000001</v>
      </c>
      <c r="K77" s="56">
        <f>IF($F77&lt;&gt;"", [1]FX!F76, "")</f>
        <v>1.0347</v>
      </c>
      <c r="L77" s="56">
        <f>IF($F77&lt;&gt;"", [1]FX!G76, "")</f>
        <v>0.53280000000000005</v>
      </c>
    </row>
    <row r="78" spans="1:12" x14ac:dyDescent="0.2">
      <c r="A78" s="57" t="str">
        <f>IF([1]RBA!A77&gt;1, [1]RBA!A77, "")</f>
        <v/>
      </c>
      <c r="B78" s="58" t="str">
        <f>IF($A78&lt;&gt;"", [1]RBA!B77, "")</f>
        <v/>
      </c>
      <c r="F78" s="57">
        <f>IF([1]FX!A77&gt;1, [1]FX!A77, "")</f>
        <v>42490</v>
      </c>
      <c r="G78" s="56">
        <f>IF($F78&lt;&gt;"", [1]FX!B77, "")</f>
        <v>1</v>
      </c>
      <c r="H78" s="56">
        <f>IF($F78&lt;&gt;"", [1]FX!C77, "")</f>
        <v>0.76341700000000001</v>
      </c>
      <c r="I78" s="56">
        <f>IF($F78&lt;&gt;"", [1]FX!D77, "")</f>
        <v>0.67190000000000005</v>
      </c>
      <c r="J78" s="56">
        <f>IF($F78&lt;&gt;"", [1]FX!E77, "")</f>
        <v>4.9339000000000004</v>
      </c>
      <c r="K78" s="56">
        <f>IF($F78&lt;&gt;"", [1]FX!F77, "")</f>
        <v>1.02569</v>
      </c>
      <c r="L78" s="56">
        <f>IF($F78&lt;&gt;"", [1]FX!G77, "")</f>
        <v>0.5222</v>
      </c>
    </row>
    <row r="79" spans="1:12" x14ac:dyDescent="0.2">
      <c r="A79" s="57" t="str">
        <f>IF([1]RBA!A78&gt;1, [1]RBA!A78, "")</f>
        <v/>
      </c>
      <c r="B79" s="58" t="str">
        <f>IF($A79&lt;&gt;"", [1]RBA!B78, "")</f>
        <v/>
      </c>
      <c r="F79" s="57">
        <f>IF([1]FX!A78&gt;1, [1]FX!A78, "")</f>
        <v>42521</v>
      </c>
      <c r="G79" s="56">
        <f>IF($F79&lt;&gt;"", [1]FX!B78, "")</f>
        <v>1</v>
      </c>
      <c r="H79" s="56">
        <f>IF($F79&lt;&gt;"", [1]FX!C78, "")</f>
        <v>0.71958</v>
      </c>
      <c r="I79" s="56">
        <f>IF($F79&lt;&gt;"", [1]FX!D78, "")</f>
        <v>0.64512000000000003</v>
      </c>
      <c r="J79" s="56">
        <f>IF($F79&lt;&gt;"", [1]FX!E78, "")</f>
        <v>4.7282999999999999</v>
      </c>
      <c r="K79" s="56">
        <f>IF($F79&lt;&gt;"", [1]FX!F78, "")</f>
        <v>0.99219999999999997</v>
      </c>
      <c r="L79" s="56">
        <f>IF($F79&lt;&gt;"", [1]FX!G78, "")</f>
        <v>0.49153999999999998</v>
      </c>
    </row>
    <row r="80" spans="1:12" x14ac:dyDescent="0.2">
      <c r="A80" s="57" t="str">
        <f>IF([1]RBA!A79&gt;1, [1]RBA!A79, "")</f>
        <v/>
      </c>
      <c r="B80" s="58" t="str">
        <f>IF($A80&lt;&gt;"", [1]RBA!B79, "")</f>
        <v/>
      </c>
      <c r="F80" s="57">
        <f>IF([1]FX!A79&gt;1, [1]FX!A79, "")</f>
        <v>42551</v>
      </c>
      <c r="G80" s="56">
        <f>IF($F80&lt;&gt;"", [1]FX!B79, "")</f>
        <v>1</v>
      </c>
      <c r="H80" s="56">
        <f>IF($F80&lt;&gt;"", [1]FX!C79, "")</f>
        <v>0.74699300000000002</v>
      </c>
      <c r="I80" s="56">
        <f>IF($F80&lt;&gt;"", [1]FX!D79, "")</f>
        <v>0.67129000000000005</v>
      </c>
      <c r="J80" s="56">
        <f>IF($F80&lt;&gt;"", [1]FX!E79, "")</f>
        <v>4.9507000000000003</v>
      </c>
      <c r="K80" s="56">
        <f>IF($F80&lt;&gt;"", [1]FX!F79, "")</f>
        <v>1.00562</v>
      </c>
      <c r="L80" s="56">
        <f>IF($F80&lt;&gt;"", [1]FX!G79, "")</f>
        <v>0.55459999999999998</v>
      </c>
    </row>
    <row r="81" spans="1:12" x14ac:dyDescent="0.2">
      <c r="A81" s="57" t="str">
        <f>IF([1]RBA!A80&gt;1, [1]RBA!A80, "")</f>
        <v/>
      </c>
      <c r="B81" s="58" t="str">
        <f>IF($A81&lt;&gt;"", [1]RBA!B80, "")</f>
        <v/>
      </c>
      <c r="F81" s="57">
        <f>IF([1]FX!A80&gt;1, [1]FX!A80, "")</f>
        <v>42582</v>
      </c>
      <c r="G81" s="56">
        <f>IF($F81&lt;&gt;"", [1]FX!B80, "")</f>
        <v>1</v>
      </c>
      <c r="H81" s="56">
        <f>IF($F81&lt;&gt;"", [1]FX!C80, "")</f>
        <v>0.75125799999999998</v>
      </c>
      <c r="I81" s="56">
        <f>IF($F81&lt;&gt;"", [1]FX!D80, "")</f>
        <v>0.67747999999999997</v>
      </c>
      <c r="J81" s="56">
        <f>IF($F81&lt;&gt;"", [1]FX!E80, "")</f>
        <v>4.9938000000000002</v>
      </c>
      <c r="K81" s="56">
        <f>IF($F81&lt;&gt;"", [1]FX!F80, "")</f>
        <v>1.0155400000000001</v>
      </c>
      <c r="L81" s="56">
        <f>IF($F81&lt;&gt;"", [1]FX!G80, "")</f>
        <v>0.57064999999999999</v>
      </c>
    </row>
    <row r="82" spans="1:12" x14ac:dyDescent="0.2">
      <c r="A82" s="57" t="str">
        <f>IF([1]RBA!A81&gt;1, [1]RBA!A81, "")</f>
        <v/>
      </c>
      <c r="B82" s="58" t="str">
        <f>IF($A82&lt;&gt;"", [1]RBA!B81, "")</f>
        <v/>
      </c>
      <c r="F82" s="57">
        <f>IF([1]FX!A81&gt;1, [1]FX!A81, "")</f>
        <v>42613</v>
      </c>
      <c r="G82" s="56">
        <f>IF($F82&lt;&gt;"", [1]FX!B81, "")</f>
        <v>1</v>
      </c>
      <c r="H82" s="56">
        <f>IF($F82&lt;&gt;"", [1]FX!C81, "")</f>
        <v>0.75244500000000003</v>
      </c>
      <c r="I82" s="56">
        <f>IF($F82&lt;&gt;"", [1]FX!D81, "")</f>
        <v>0.67449999999999999</v>
      </c>
      <c r="J82" s="56">
        <f>IF($F82&lt;&gt;"", [1]FX!E81, "")</f>
        <v>4.9991000000000003</v>
      </c>
      <c r="K82" s="56">
        <f>IF($F82&lt;&gt;"", [1]FX!F81, "")</f>
        <v>1.0255399999999999</v>
      </c>
      <c r="L82" s="56">
        <f>IF($F82&lt;&gt;"", [1]FX!G81, "")</f>
        <v>0.57450000000000001</v>
      </c>
    </row>
    <row r="83" spans="1:12" x14ac:dyDescent="0.2">
      <c r="A83" s="57" t="str">
        <f>IF([1]RBA!A82&gt;1, [1]RBA!A82, "")</f>
        <v/>
      </c>
      <c r="B83" s="58" t="str">
        <f>IF($A83&lt;&gt;"", [1]RBA!B82, "")</f>
        <v/>
      </c>
      <c r="F83" s="57">
        <f>IF([1]FX!A82&gt;1, [1]FX!A82, "")</f>
        <v>42643</v>
      </c>
      <c r="G83" s="56">
        <f>IF($F83&lt;&gt;"", [1]FX!B82, "")</f>
        <v>1</v>
      </c>
      <c r="H83" s="56">
        <f>IF($F83&lt;&gt;"", [1]FX!C82, "")</f>
        <v>0.76283500000000004</v>
      </c>
      <c r="I83" s="56">
        <f>IF($F83&lt;&gt;"", [1]FX!D82, "")</f>
        <v>0.67969999999999997</v>
      </c>
      <c r="J83" s="56">
        <f>IF($F83&lt;&gt;"", [1]FX!E82, "")</f>
        <v>5.0533000000000001</v>
      </c>
      <c r="K83" s="56">
        <f>IF($F83&lt;&gt;"", [1]FX!F82, "")</f>
        <v>1.04078</v>
      </c>
      <c r="L83" s="56">
        <f>IF($F83&lt;&gt;"", [1]FX!G82, "")</f>
        <v>0.58809999999999996</v>
      </c>
    </row>
    <row r="84" spans="1:12" x14ac:dyDescent="0.2">
      <c r="A84" s="57" t="str">
        <f>IF([1]RBA!A83&gt;1, [1]RBA!A83, "")</f>
        <v/>
      </c>
      <c r="B84" s="58" t="str">
        <f>IF($A84&lt;&gt;"", [1]RBA!B83, "")</f>
        <v/>
      </c>
      <c r="F84" s="57">
        <f>IF([1]FX!A83&gt;1, [1]FX!A83, "")</f>
        <v>42674</v>
      </c>
      <c r="G84" s="56">
        <f>IF($F84&lt;&gt;"", [1]FX!B83, "")</f>
        <v>1</v>
      </c>
      <c r="H84" s="56">
        <f>IF($F84&lt;&gt;"", [1]FX!C83, "")</f>
        <v>0.75982099999999997</v>
      </c>
      <c r="I84" s="56">
        <f>IF($F84&lt;&gt;"", [1]FX!D83, "")</f>
        <v>0.69159999999999999</v>
      </c>
      <c r="J84" s="56">
        <f>IF($F84&lt;&gt;"", [1]FX!E83, "")</f>
        <v>5.0884999999999998</v>
      </c>
      <c r="K84" s="56">
        <f>IF($F84&lt;&gt;"", [1]FX!F83, "")</f>
        <v>1.0565500000000001</v>
      </c>
      <c r="L84" s="56">
        <f>IF($F84&lt;&gt;"", [1]FX!G83, "")</f>
        <v>0.62190000000000001</v>
      </c>
    </row>
    <row r="85" spans="1:12" x14ac:dyDescent="0.2">
      <c r="A85" s="57" t="str">
        <f>IF([1]RBA!A84&gt;1, [1]RBA!A84, "")</f>
        <v/>
      </c>
      <c r="B85" s="58" t="str">
        <f>IF($A85&lt;&gt;"", [1]RBA!B84, "")</f>
        <v/>
      </c>
      <c r="F85" s="57">
        <f>IF([1]FX!A84&gt;1, [1]FX!A84, "")</f>
        <v>42704</v>
      </c>
      <c r="G85" s="56">
        <f>IF($F85&lt;&gt;"", [1]FX!B84, "")</f>
        <v>1</v>
      </c>
      <c r="H85" s="56">
        <f>IF($F85&lt;&gt;"", [1]FX!C84, "")</f>
        <v>0.74844699999999997</v>
      </c>
      <c r="I85" s="56">
        <f>IF($F85&lt;&gt;"", [1]FX!D84, "")</f>
        <v>0.70289999999999997</v>
      </c>
      <c r="J85" s="56">
        <f>IF($F85&lt;&gt;"", [1]FX!E84, "")</f>
        <v>5.1548999999999996</v>
      </c>
      <c r="K85" s="56">
        <f>IF($F85&lt;&gt;"", [1]FX!F84, "")</f>
        <v>1.0657000000000001</v>
      </c>
      <c r="L85" s="56">
        <f>IF($F85&lt;&gt;"", [1]FX!G84, "")</f>
        <v>0.59899999999999998</v>
      </c>
    </row>
    <row r="86" spans="1:12" x14ac:dyDescent="0.2">
      <c r="A86" s="57" t="str">
        <f>IF([1]RBA!A85&gt;1, [1]RBA!A85, "")</f>
        <v/>
      </c>
      <c r="B86" s="58" t="str">
        <f>IF($A86&lt;&gt;"", [1]RBA!B85, "")</f>
        <v/>
      </c>
      <c r="F86" s="57">
        <f>IF([1]FX!A85&gt;1, [1]FX!A85, "")</f>
        <v>42735</v>
      </c>
      <c r="G86" s="56">
        <f>IF($F86&lt;&gt;"", [1]FX!B85, "")</f>
        <v>1</v>
      </c>
      <c r="H86" s="56">
        <f>IF($F86&lt;&gt;"", [1]FX!C85, "")</f>
        <v>0.72348400000000002</v>
      </c>
      <c r="I86" s="56">
        <f>IF($F86&lt;&gt;"", [1]FX!D85, "")</f>
        <v>0.68410000000000004</v>
      </c>
      <c r="J86" s="56">
        <f>IF($F86&lt;&gt;"", [1]FX!E85, "")</f>
        <v>5.0274000000000001</v>
      </c>
      <c r="K86" s="56">
        <f>IF($F86&lt;&gt;"", [1]FX!F85, "")</f>
        <v>1.04606</v>
      </c>
      <c r="L86" s="56">
        <f>IF($F86&lt;&gt;"", [1]FX!G85, "")</f>
        <v>0.5887</v>
      </c>
    </row>
    <row r="87" spans="1:12" x14ac:dyDescent="0.2">
      <c r="A87" s="57" t="str">
        <f>IF([1]RBA!A86&gt;1, [1]RBA!A86, "")</f>
        <v/>
      </c>
      <c r="B87" s="58" t="str">
        <f>IF($A87&lt;&gt;"", [1]RBA!B86, "")</f>
        <v/>
      </c>
      <c r="F87" s="57">
        <f>IF([1]FX!A86&gt;1, [1]FX!A86, "")</f>
        <v>42766</v>
      </c>
      <c r="G87" s="56">
        <f>IF($F87&lt;&gt;"", [1]FX!B86, "")</f>
        <v>1</v>
      </c>
      <c r="H87" s="56">
        <f>IF($F87&lt;&gt;"", [1]FX!C86, "")</f>
        <v>0.75654399999999999</v>
      </c>
      <c r="I87" s="56">
        <f>IF($F87&lt;&gt;"", [1]FX!D86, "")</f>
        <v>0.70640999999999998</v>
      </c>
      <c r="J87" s="56">
        <f>IF($F87&lt;&gt;"", [1]FX!E86, "")</f>
        <v>5.1984000000000004</v>
      </c>
      <c r="K87" s="56">
        <f>IF($F87&lt;&gt;"", [1]FX!F86, "")</f>
        <v>1.0744199999999999</v>
      </c>
      <c r="L87" s="56">
        <f>IF($F87&lt;&gt;"", [1]FX!G86, "")</f>
        <v>0.60499999999999998</v>
      </c>
    </row>
    <row r="88" spans="1:12" x14ac:dyDescent="0.2">
      <c r="A88" s="57" t="str">
        <f>IF([1]RBA!A87&gt;1, [1]RBA!A87, "")</f>
        <v/>
      </c>
      <c r="B88" s="58" t="str">
        <f>IF($A88&lt;&gt;"", [1]RBA!B87, "")</f>
        <v/>
      </c>
      <c r="F88" s="57">
        <f>IF([1]FX!A87&gt;1, [1]FX!A87, "")</f>
        <v>42794</v>
      </c>
      <c r="G88" s="56">
        <f>IF($F88&lt;&gt;"", [1]FX!B87, "")</f>
        <v>1</v>
      </c>
      <c r="H88" s="56">
        <f>IF($F88&lt;&gt;"", [1]FX!C87, "")</f>
        <v>0.76763599999999999</v>
      </c>
      <c r="I88" s="56">
        <f>IF($F88&lt;&gt;"", [1]FX!D87, "")</f>
        <v>0.72499999999999998</v>
      </c>
      <c r="J88" s="56">
        <f>IF($F88&lt;&gt;"", [1]FX!E87, "")</f>
        <v>5.2671000000000001</v>
      </c>
      <c r="K88" s="56">
        <f>IF($F88&lt;&gt;"", [1]FX!F87, "")</f>
        <v>1.0785899999999999</v>
      </c>
      <c r="L88" s="56">
        <f>IF($F88&lt;&gt;"", [1]FX!G87, "")</f>
        <v>0.6169</v>
      </c>
    </row>
    <row r="89" spans="1:12" x14ac:dyDescent="0.2">
      <c r="A89" s="57" t="str">
        <f>IF([1]RBA!A88&gt;1, [1]RBA!A88, "")</f>
        <v/>
      </c>
      <c r="B89" s="58" t="str">
        <f>IF($A89&lt;&gt;"", [1]RBA!B88, "")</f>
        <v/>
      </c>
      <c r="F89" s="57">
        <f>IF([1]FX!A88&gt;1, [1]FX!A88, "")</f>
        <v>42825</v>
      </c>
      <c r="G89" s="56">
        <f>IF($F89&lt;&gt;"", [1]FX!B88, "")</f>
        <v>1</v>
      </c>
      <c r="H89" s="56">
        <f>IF($F89&lt;&gt;"", [1]FX!C88, "")</f>
        <v>0.76552100000000001</v>
      </c>
      <c r="I89" s="56">
        <f>IF($F89&lt;&gt;"", [1]FX!D88, "")</f>
        <v>0.71589999999999998</v>
      </c>
      <c r="J89" s="56">
        <f>IF($F89&lt;&gt;"", [1]FX!E88, "")</f>
        <v>5.2645999999999997</v>
      </c>
      <c r="K89" s="56">
        <f>IF($F89&lt;&gt;"", [1]FX!F88, "")</f>
        <v>1.0685</v>
      </c>
      <c r="L89" s="56">
        <f>IF($F89&lt;&gt;"", [1]FX!G88, "")</f>
        <v>0.61331999999999998</v>
      </c>
    </row>
    <row r="90" spans="1:12" x14ac:dyDescent="0.2">
      <c r="A90" s="57" t="str">
        <f>IF([1]RBA!A89&gt;1, [1]RBA!A89, "")</f>
        <v/>
      </c>
      <c r="B90" s="58" t="str">
        <f>IF($A90&lt;&gt;"", [1]RBA!B89, "")</f>
        <v/>
      </c>
      <c r="F90" s="57">
        <f>IF([1]FX!A89&gt;1, [1]FX!A89, "")</f>
        <v>42855</v>
      </c>
      <c r="G90" s="56">
        <f>IF($F90&lt;&gt;"", [1]FX!B89, "")</f>
        <v>1</v>
      </c>
      <c r="H90" s="56">
        <f>IF($F90&lt;&gt;"", [1]FX!C89, "")</f>
        <v>0.74672000000000005</v>
      </c>
      <c r="I90" s="56">
        <f>IF($F90&lt;&gt;"", [1]FX!D89, "")</f>
        <v>0.68725000000000003</v>
      </c>
      <c r="J90" s="56">
        <f>IF($F90&lt;&gt;"", [1]FX!E89, "")</f>
        <v>5.1421999999999999</v>
      </c>
      <c r="K90" s="56">
        <f>IF($F90&lt;&gt;"", [1]FX!F89, "")</f>
        <v>1.04311</v>
      </c>
      <c r="L90" s="56">
        <f>IF($F90&lt;&gt;"", [1]FX!G89, "")</f>
        <v>0.57908000000000004</v>
      </c>
    </row>
    <row r="91" spans="1:12" x14ac:dyDescent="0.2">
      <c r="A91" s="57" t="str">
        <f>IF([1]RBA!A90&gt;1, [1]RBA!A90, "")</f>
        <v/>
      </c>
      <c r="B91" s="58" t="str">
        <f>IF($A91&lt;&gt;"", [1]RBA!B90, "")</f>
        <v/>
      </c>
      <c r="F91" s="57">
        <f>IF([1]FX!A90&gt;1, [1]FX!A90, "")</f>
        <v>42886</v>
      </c>
      <c r="G91" s="56">
        <f>IF($F91&lt;&gt;"", [1]FX!B90, "")</f>
        <v>1</v>
      </c>
      <c r="H91" s="56">
        <f>IF($F91&lt;&gt;"", [1]FX!C90, "")</f>
        <v>0.74593500000000001</v>
      </c>
      <c r="I91" s="56">
        <f>IF($F91&lt;&gt;"", [1]FX!D90, "")</f>
        <v>0.66761000000000004</v>
      </c>
      <c r="J91" s="56">
        <f>IF($F91&lt;&gt;"", [1]FX!E90, "")</f>
        <v>5.1086</v>
      </c>
      <c r="K91" s="56">
        <f>IF($F91&lt;&gt;"", [1]FX!F90, "")</f>
        <v>1.0330999999999999</v>
      </c>
      <c r="L91" s="56">
        <f>IF($F91&lt;&gt;"", [1]FX!G90, "")</f>
        <v>0.58225000000000005</v>
      </c>
    </row>
    <row r="92" spans="1:12" x14ac:dyDescent="0.2">
      <c r="A92" s="57" t="str">
        <f>IF([1]RBA!A91&gt;1, [1]RBA!A91, "")</f>
        <v/>
      </c>
      <c r="B92" s="58" t="str">
        <f>IF($A92&lt;&gt;"", [1]RBA!B91, "")</f>
        <v/>
      </c>
      <c r="F92" s="57">
        <f>IF([1]FX!A91&gt;1, [1]FX!A91, "")</f>
        <v>42916</v>
      </c>
      <c r="G92" s="56">
        <f>IF($F92&lt;&gt;"", [1]FX!B91, "")</f>
        <v>1</v>
      </c>
      <c r="H92" s="56">
        <f>IF($F92&lt;&gt;"", [1]FX!C91, "")</f>
        <v>0.76852100000000001</v>
      </c>
      <c r="I92" s="56">
        <f>IF($F92&lt;&gt;"", [1]FX!D91, "")</f>
        <v>0.67169999999999996</v>
      </c>
      <c r="J92" s="56">
        <f>IF($F92&lt;&gt;"", [1]FX!E91, "")</f>
        <v>5.2092000000000001</v>
      </c>
      <c r="K92" s="56">
        <f>IF($F92&lt;&gt;"", [1]FX!F91, "")</f>
        <v>1.0589999999999999</v>
      </c>
      <c r="L92" s="56">
        <f>IF($F92&lt;&gt;"", [1]FX!G91, "")</f>
        <v>0.59050000000000002</v>
      </c>
    </row>
    <row r="93" spans="1:12" x14ac:dyDescent="0.2">
      <c r="A93" s="57" t="str">
        <f>IF([1]RBA!A92&gt;1, [1]RBA!A92, "")</f>
        <v/>
      </c>
      <c r="B93" s="58" t="str">
        <f>IF($A93&lt;&gt;"", [1]RBA!B92, "")</f>
        <v/>
      </c>
      <c r="F93" s="57">
        <f>IF([1]FX!A92&gt;1, [1]FX!A92, "")</f>
        <v>42947</v>
      </c>
      <c r="G93" s="56">
        <f>IF($F93&lt;&gt;"", [1]FX!B92, "")</f>
        <v>1</v>
      </c>
      <c r="H93" s="56">
        <f>IF($F93&lt;&gt;"", [1]FX!C92, "")</f>
        <v>0.79859400000000003</v>
      </c>
      <c r="I93" s="56">
        <f>IF($F93&lt;&gt;"", [1]FX!D92, "")</f>
        <v>0.67949999999999999</v>
      </c>
      <c r="J93" s="56">
        <f>IF($F93&lt;&gt;"", [1]FX!E92, "")</f>
        <v>5.3738999999999999</v>
      </c>
      <c r="K93" s="56">
        <f>IF($F93&lt;&gt;"", [1]FX!F92, "")</f>
        <v>1.0828</v>
      </c>
      <c r="L93" s="56">
        <f>IF($F93&lt;&gt;"", [1]FX!G92, "")</f>
        <v>0.60719999999999996</v>
      </c>
    </row>
    <row r="94" spans="1:12" x14ac:dyDescent="0.2">
      <c r="A94" s="57" t="str">
        <f>IF([1]RBA!A93&gt;1, [1]RBA!A93, "")</f>
        <v/>
      </c>
      <c r="B94" s="58" t="str">
        <f>IF($A94&lt;&gt;"", [1]RBA!B93, "")</f>
        <v/>
      </c>
      <c r="F94" s="57">
        <f>IF([1]FX!A93&gt;1, [1]FX!A93, "")</f>
        <v>42978</v>
      </c>
      <c r="G94" s="56">
        <f>IF($F94&lt;&gt;"", [1]FX!B93, "")</f>
        <v>1</v>
      </c>
      <c r="H94" s="56">
        <f>IF($F94&lt;&gt;"", [1]FX!C93, "")</f>
        <v>0.79070099999999999</v>
      </c>
      <c r="I94" s="56">
        <f>IF($F94&lt;&gt;"", [1]FX!D93, "")</f>
        <v>0.66485000000000005</v>
      </c>
      <c r="J94" s="56">
        <f>IF($F94&lt;&gt;"", [1]FX!E93, "")</f>
        <v>5.2085999999999997</v>
      </c>
      <c r="K94" s="56">
        <f>IF($F94&lt;&gt;"", [1]FX!F93, "")</f>
        <v>1.0730999999999999</v>
      </c>
      <c r="L94" s="56">
        <f>IF($F94&lt;&gt;"", [1]FX!G93, "")</f>
        <v>0.61185</v>
      </c>
    </row>
    <row r="95" spans="1:12" x14ac:dyDescent="0.2">
      <c r="A95" s="57" t="str">
        <f>IF([1]RBA!A94&gt;1, [1]RBA!A94, "")</f>
        <v/>
      </c>
      <c r="B95" s="58" t="str">
        <f>IF($A95&lt;&gt;"", [1]RBA!B94, "")</f>
        <v/>
      </c>
      <c r="F95" s="57">
        <f>IF([1]FX!A94&gt;1, [1]FX!A94, "")</f>
        <v>43008</v>
      </c>
      <c r="G95" s="56">
        <f>IF($F95&lt;&gt;"", [1]FX!B94, "")</f>
        <v>1</v>
      </c>
      <c r="H95" s="56">
        <f>IF($F95&lt;&gt;"", [1]FX!C94, "")</f>
        <v>0.78462799999999999</v>
      </c>
      <c r="I95" s="56">
        <f>IF($F95&lt;&gt;"", [1]FX!D94, "")</f>
        <v>0.66590000000000005</v>
      </c>
      <c r="J95" s="56">
        <f>IF($F95&lt;&gt;"", [1]FX!E94, "")</f>
        <v>5.2222</v>
      </c>
      <c r="K95" s="56">
        <f>IF($F95&lt;&gt;"", [1]FX!F94, "")</f>
        <v>1.06565</v>
      </c>
      <c r="L95" s="56">
        <f>IF($F95&lt;&gt;"", [1]FX!G94, "")</f>
        <v>0.58414999999999995</v>
      </c>
    </row>
    <row r="96" spans="1:12" x14ac:dyDescent="0.2">
      <c r="A96" s="57" t="str">
        <f>IF([1]RBA!A95&gt;1, [1]RBA!A95, "")</f>
        <v/>
      </c>
      <c r="B96" s="58" t="str">
        <f>IF($A96&lt;&gt;"", [1]RBA!B95, "")</f>
        <v/>
      </c>
      <c r="F96" s="57">
        <f>IF([1]FX!A95&gt;1, [1]FX!A95, "")</f>
        <v>43039</v>
      </c>
      <c r="G96" s="56">
        <f>IF($F96&lt;&gt;"", [1]FX!B95, "")</f>
        <v>1</v>
      </c>
      <c r="H96" s="56">
        <f>IF($F96&lt;&gt;"", [1]FX!C95, "")</f>
        <v>0.769764</v>
      </c>
      <c r="I96" s="56">
        <f>IF($F96&lt;&gt;"", [1]FX!D95, "")</f>
        <v>0.66054999999999997</v>
      </c>
      <c r="J96" s="56">
        <f>IF($F96&lt;&gt;"", [1]FX!E95, "")</f>
        <v>5.1071</v>
      </c>
      <c r="K96" s="56">
        <f>IF($F96&lt;&gt;"", [1]FX!F95, "")</f>
        <v>1.04691</v>
      </c>
      <c r="L96" s="56">
        <f>IF($F96&lt;&gt;"", [1]FX!G95, "")</f>
        <v>0.58248999999999995</v>
      </c>
    </row>
    <row r="97" spans="1:12" x14ac:dyDescent="0.2">
      <c r="A97" s="57" t="str">
        <f>IF([1]RBA!A96&gt;1, [1]RBA!A96, "")</f>
        <v/>
      </c>
      <c r="B97" s="58" t="str">
        <f>IF($A97&lt;&gt;"", [1]RBA!B96, "")</f>
        <v/>
      </c>
      <c r="F97" s="57">
        <f>IF([1]FX!A96&gt;1, [1]FX!A96, "")</f>
        <v>43069</v>
      </c>
      <c r="G97" s="56">
        <f>IF($F97&lt;&gt;"", [1]FX!B96, "")</f>
        <v>1</v>
      </c>
      <c r="H97" s="56">
        <f>IF($F97&lt;&gt;"", [1]FX!C96, "")</f>
        <v>0.75665899999999997</v>
      </c>
      <c r="I97" s="56">
        <f>IF($F97&lt;&gt;"", [1]FX!D96, "")</f>
        <v>0.63834000000000002</v>
      </c>
      <c r="J97" s="56">
        <f>IF($F97&lt;&gt;"", [1]FX!E96, "")</f>
        <v>4.9945000000000004</v>
      </c>
      <c r="K97" s="56">
        <f>IF($F97&lt;&gt;"", [1]FX!F96, "")</f>
        <v>1.01915</v>
      </c>
      <c r="L97" s="56">
        <f>IF($F97&lt;&gt;"", [1]FX!G96, "")</f>
        <v>0.56386999999999998</v>
      </c>
    </row>
    <row r="98" spans="1:12" x14ac:dyDescent="0.2">
      <c r="A98" s="57" t="str">
        <f>IF([1]RBA!A97&gt;1, [1]RBA!A97, "")</f>
        <v/>
      </c>
      <c r="B98" s="58" t="str">
        <f>IF($A98&lt;&gt;"", [1]RBA!B97, "")</f>
        <v/>
      </c>
      <c r="F98" s="57">
        <f>IF([1]FX!A97&gt;1, [1]FX!A97, "")</f>
        <v>43100</v>
      </c>
      <c r="G98" s="56">
        <f>IF($F98&lt;&gt;"", [1]FX!B97, "")</f>
        <v>1</v>
      </c>
      <c r="H98" s="56">
        <f>IF($F98&lt;&gt;"", [1]FX!C97, "")</f>
        <v>0.77942900000000004</v>
      </c>
      <c r="I98" s="56">
        <f>IF($F98&lt;&gt;"", [1]FX!D97, "")</f>
        <v>0.65273000000000003</v>
      </c>
      <c r="J98" s="56">
        <f>IF($F98&lt;&gt;"", [1]FX!E97, "")</f>
        <v>5.0860000000000003</v>
      </c>
      <c r="K98" s="56">
        <f>IF($F98&lt;&gt;"", [1]FX!F97, "")</f>
        <v>1.04281</v>
      </c>
      <c r="L98" s="56">
        <f>IF($F98&lt;&gt;"", [1]FX!G97, "")</f>
        <v>0.57986000000000004</v>
      </c>
    </row>
    <row r="99" spans="1:12" x14ac:dyDescent="0.2">
      <c r="A99" s="57" t="str">
        <f>IF([1]RBA!A98&gt;1, [1]RBA!A98, "")</f>
        <v/>
      </c>
      <c r="B99" s="58" t="str">
        <f>IF($A99&lt;&gt;"", [1]RBA!B98, "")</f>
        <v/>
      </c>
      <c r="F99" s="57">
        <f>IF([1]FX!A98&gt;1, [1]FX!A98, "")</f>
        <v>43131</v>
      </c>
      <c r="G99" s="56">
        <f>IF($F99&lt;&gt;"", [1]FX!B98, "")</f>
        <v>1</v>
      </c>
      <c r="H99" s="56">
        <f>IF($F99&lt;&gt;"", [1]FX!C98, "")</f>
        <v>0.81011</v>
      </c>
      <c r="I99" s="56">
        <f>IF($F99&lt;&gt;"", [1]FX!D98, "")</f>
        <v>0.65249999999999997</v>
      </c>
      <c r="J99" s="56">
        <f>IF($F99&lt;&gt;"", [1]FX!E98, "")</f>
        <v>5.1143000000000001</v>
      </c>
      <c r="K99" s="56">
        <f>IF($F99&lt;&gt;"", [1]FX!F98, "")</f>
        <v>1.0616000000000001</v>
      </c>
      <c r="L99" s="56">
        <f>IF($F99&lt;&gt;"", [1]FX!G98, "")</f>
        <v>0.57223000000000002</v>
      </c>
    </row>
    <row r="100" spans="1:12" x14ac:dyDescent="0.2">
      <c r="A100" s="57" t="str">
        <f>IF([1]RBA!A99&gt;1, [1]RBA!A99, "")</f>
        <v/>
      </c>
      <c r="B100" s="58" t="str">
        <f>IF($A100&lt;&gt;"", [1]RBA!B99, "")</f>
        <v/>
      </c>
      <c r="F100" s="57">
        <f>IF([1]FX!A99&gt;1, [1]FX!A99, "")</f>
        <v>43159</v>
      </c>
      <c r="G100" s="56">
        <f>IF($F100&lt;&gt;"", [1]FX!B99, "")</f>
        <v>1</v>
      </c>
      <c r="H100" s="56">
        <f>IF($F100&lt;&gt;"", [1]FX!C99, "")</f>
        <v>0.779362</v>
      </c>
      <c r="I100" s="56">
        <f>IF($F100&lt;&gt;"", [1]FX!D99, "")</f>
        <v>0.63717999999999997</v>
      </c>
      <c r="J100" s="56">
        <f>IF($F100&lt;&gt;"", [1]FX!E99, "")</f>
        <v>4.9192999999999998</v>
      </c>
      <c r="K100" s="56">
        <f>IF($F100&lt;&gt;"", [1]FX!F99, "")</f>
        <v>1.0319799999999999</v>
      </c>
      <c r="L100" s="56">
        <f>IF($F100&lt;&gt;"", [1]FX!G99, "")</f>
        <v>0.56037000000000003</v>
      </c>
    </row>
    <row r="101" spans="1:12" x14ac:dyDescent="0.2">
      <c r="A101" s="57" t="str">
        <f>IF([1]RBA!A100&gt;1, [1]RBA!A100, "")</f>
        <v/>
      </c>
      <c r="B101" s="58" t="str">
        <f>IF($A101&lt;&gt;"", [1]RBA!B100, "")</f>
        <v/>
      </c>
      <c r="F101" s="57">
        <f>IF([1]FX!A100&gt;1, [1]FX!A100, "")</f>
        <v>43190</v>
      </c>
      <c r="G101" s="56">
        <f>IF($F101&lt;&gt;"", [1]FX!B100, "")</f>
        <v>1</v>
      </c>
      <c r="H101" s="56">
        <f>IF($F101&lt;&gt;"", [1]FX!C100, "")</f>
        <v>0.76858000000000004</v>
      </c>
      <c r="I101" s="56">
        <f>IF($F101&lt;&gt;"", [1]FX!D100, "")</f>
        <v>0.62450000000000006</v>
      </c>
      <c r="J101" s="56">
        <f>IF($F101&lt;&gt;"", [1]FX!E100, "")</f>
        <v>4.8269000000000002</v>
      </c>
      <c r="K101" s="56">
        <f>IF($F101&lt;&gt;"", [1]FX!F100, "")</f>
        <v>1.0074700000000001</v>
      </c>
      <c r="L101" s="56">
        <f>IF($F101&lt;&gt;"", [1]FX!G100, "")</f>
        <v>0.54764999999999997</v>
      </c>
    </row>
    <row r="102" spans="1:12" x14ac:dyDescent="0.2">
      <c r="F102" s="57">
        <f>IF([1]FX!A101&gt;1, [1]FX!A101, "")</f>
        <v>43220</v>
      </c>
      <c r="G102" s="56">
        <f>IF($F102&lt;&gt;"", [1]FX!B101, "")</f>
        <v>1</v>
      </c>
      <c r="H102" s="56">
        <f>IF($F102&lt;&gt;"", [1]FX!C101, "")</f>
        <v>0.75751800000000002</v>
      </c>
      <c r="I102" s="56">
        <f>IF($F102&lt;&gt;"", [1]FX!D101, "")</f>
        <v>0.62470000000000003</v>
      </c>
      <c r="J102" s="56">
        <f>IF($F102&lt;&gt;"", [1]FX!E101, "")</f>
        <v>4.7946</v>
      </c>
      <c r="K102" s="56">
        <f>IF($F102&lt;&gt;"", [1]FX!F101, "")</f>
        <v>1.0018</v>
      </c>
      <c r="L102" s="56">
        <f>IF($F102&lt;&gt;"", [1]FX!G101, "")</f>
        <v>0.54993000000000003</v>
      </c>
    </row>
    <row r="103" spans="1:12" x14ac:dyDescent="0.2">
      <c r="F103" s="57">
        <f>IF([1]FX!A102&gt;1, [1]FX!A102, "")</f>
        <v>43251</v>
      </c>
      <c r="G103" s="56">
        <f>IF($F103&lt;&gt;"", [1]FX!B102, "")</f>
        <v>1</v>
      </c>
      <c r="H103" s="56">
        <f>IF($F103&lt;&gt;"", [1]FX!C102, "")</f>
        <v>0.75711700000000004</v>
      </c>
      <c r="I103" s="56">
        <f>IF($F103&lt;&gt;"", [1]FX!D102, "")</f>
        <v>0.64898</v>
      </c>
      <c r="J103" s="56">
        <f>IF($F103&lt;&gt;"", [1]FX!E102, "")</f>
        <v>4.8543000000000003</v>
      </c>
      <c r="K103" s="56">
        <f>IF($F103&lt;&gt;"", [1]FX!F102, "")</f>
        <v>1.0136700000000001</v>
      </c>
      <c r="L103" s="56">
        <f>IF($F103&lt;&gt;"", [1]FX!G102, "")</f>
        <v>0.56991000000000003</v>
      </c>
    </row>
    <row r="104" spans="1:12" x14ac:dyDescent="0.2">
      <c r="F104" s="57">
        <f>IF([1]FX!A103&gt;1, [1]FX!A103, "")</f>
        <v>43281</v>
      </c>
      <c r="G104" s="56">
        <f>IF($F104&lt;&gt;"", [1]FX!B103, "")</f>
        <v>1</v>
      </c>
      <c r="H104" s="56">
        <f>IF($F104&lt;&gt;"", [1]FX!C103, "")</f>
        <v>0.73464600000000002</v>
      </c>
      <c r="I104" s="56">
        <f>IF($F104&lt;&gt;"", [1]FX!D103, "")</f>
        <v>0.63529000000000002</v>
      </c>
      <c r="J104" s="56">
        <f>IF($F104&lt;&gt;"", [1]FX!E103, "")</f>
        <v>4.8628999999999998</v>
      </c>
      <c r="K104" s="56">
        <f>IF($F104&lt;&gt;"", [1]FX!F103, "")</f>
        <v>1.0051099999999999</v>
      </c>
      <c r="L104" s="56">
        <f>IF($F104&lt;&gt;"", [1]FX!G103, "")</f>
        <v>0.56181999999999999</v>
      </c>
    </row>
    <row r="105" spans="1:12" x14ac:dyDescent="0.2">
      <c r="F105" s="57">
        <f>IF([1]FX!A104&gt;1, [1]FX!A104, "")</f>
        <v>43312</v>
      </c>
      <c r="G105" s="56">
        <f>IF($F105&lt;&gt;"", [1]FX!B104, "")</f>
        <v>1</v>
      </c>
      <c r="H105" s="56">
        <f>IF($F105&lt;&gt;"", [1]FX!C104, "")</f>
        <v>0.74073</v>
      </c>
      <c r="I105" s="56">
        <f>IF($F105&lt;&gt;"", [1]FX!D104, "")</f>
        <v>0.63261000000000001</v>
      </c>
      <c r="J105" s="56">
        <f>IF($F105&lt;&gt;"", [1]FX!E104, "")</f>
        <v>5.0429000000000004</v>
      </c>
      <c r="K105" s="56">
        <f>IF($F105&lt;&gt;"", [1]FX!F104, "")</f>
        <v>1.0080800000000001</v>
      </c>
      <c r="L105" s="56">
        <f>IF($F105&lt;&gt;"", [1]FX!G104, "")</f>
        <v>0.56386000000000003</v>
      </c>
    </row>
    <row r="106" spans="1:12" x14ac:dyDescent="0.2">
      <c r="F106" s="57">
        <f>IF([1]FX!A105&gt;1, [1]FX!A105, "")</f>
        <v>43343</v>
      </c>
      <c r="G106" s="56">
        <f>IF($F106&lt;&gt;"", [1]FX!B105, "")</f>
        <v>1</v>
      </c>
      <c r="H106" s="56">
        <f>IF($F106&lt;&gt;"", [1]FX!C105, "")</f>
        <v>0.72616400000000003</v>
      </c>
      <c r="I106" s="56">
        <f>IF($F106&lt;&gt;"", [1]FX!D105, "")</f>
        <v>0.62248999999999999</v>
      </c>
      <c r="J106" s="56">
        <f>IF($F106&lt;&gt;"", [1]FX!E105, "")</f>
        <v>4.9638</v>
      </c>
      <c r="K106" s="56">
        <f>IF($F106&lt;&gt;"", [1]FX!F105, "")</f>
        <v>0.99285000000000001</v>
      </c>
      <c r="L106" s="56">
        <f>IF($F106&lt;&gt;"", [1]FX!G105, "")</f>
        <v>0.55808000000000002</v>
      </c>
    </row>
    <row r="107" spans="1:12" x14ac:dyDescent="0.2">
      <c r="F107" s="57">
        <f>IF([1]FX!A106&gt;1, [1]FX!A106, "")</f>
        <v>43373</v>
      </c>
      <c r="G107" s="56">
        <f>IF($F107&lt;&gt;"", [1]FX!B106, "")</f>
        <v>1</v>
      </c>
      <c r="H107" s="56">
        <f>IF($F107&lt;&gt;"", [1]FX!C106, "")</f>
        <v>0.72051299999999996</v>
      </c>
      <c r="I107" s="56">
        <f>IF($F107&lt;&gt;"", [1]FX!D106, "")</f>
        <v>0.61906000000000005</v>
      </c>
      <c r="J107" s="56">
        <f>IF($F107&lt;&gt;"", [1]FX!E106, "")</f>
        <v>4.9566999999999997</v>
      </c>
      <c r="K107" s="56">
        <f>IF($F107&lt;&gt;"", [1]FX!F106, "")</f>
        <v>0.98553999999999997</v>
      </c>
      <c r="L107" s="56">
        <f>IF($F107&lt;&gt;"", [1]FX!G106, "")</f>
        <v>0.55069999999999997</v>
      </c>
    </row>
    <row r="108" spans="1:12" x14ac:dyDescent="0.2">
      <c r="F108" s="57">
        <f>IF([1]FX!A107&gt;1, [1]FX!A107, "")</f>
        <v>43404</v>
      </c>
      <c r="G108" s="56">
        <f>IF($F108&lt;&gt;"", [1]FX!B107, "")</f>
        <v>1</v>
      </c>
      <c r="H108" s="56">
        <f>IF($F108&lt;&gt;"", [1]FX!C107, "")</f>
        <v>0.70992500000000003</v>
      </c>
      <c r="I108" s="56">
        <f>IF($F108&lt;&gt;"", [1]FX!D107, "")</f>
        <v>0.62560000000000004</v>
      </c>
      <c r="J108" s="56">
        <f>IF($F108&lt;&gt;"", [1]FX!E107, "")</f>
        <v>4.9391999999999996</v>
      </c>
      <c r="K108" s="56">
        <f>IF($F108&lt;&gt;"", [1]FX!F107, "")</f>
        <v>0.98326000000000002</v>
      </c>
      <c r="L108" s="56">
        <f>IF($F108&lt;&gt;"", [1]FX!G107, "")</f>
        <v>0.55852999999999997</v>
      </c>
    </row>
    <row r="109" spans="1:12" x14ac:dyDescent="0.2">
      <c r="F109" s="57">
        <f>IF([1]FX!A108&gt;1, [1]FX!A108, "")</f>
        <v>43434</v>
      </c>
      <c r="G109" s="56">
        <f>IF($F109&lt;&gt;"", [1]FX!B108, "")</f>
        <v>1</v>
      </c>
      <c r="H109" s="56">
        <f>IF($F109&lt;&gt;"", [1]FX!C108, "")</f>
        <v>0.73218799999999995</v>
      </c>
      <c r="I109" s="56">
        <f>IF($F109&lt;&gt;"", [1]FX!D108, "")</f>
        <v>0.64261999999999997</v>
      </c>
      <c r="J109" s="56">
        <f>IF($F109&lt;&gt;"", [1]FX!E108, "")</f>
        <v>5.0759999999999996</v>
      </c>
      <c r="K109" s="56">
        <f>IF($F109&lt;&gt;"", [1]FX!F108, "")</f>
        <v>1.0027999999999999</v>
      </c>
      <c r="L109" s="56">
        <f>IF($F109&lt;&gt;"", [1]FX!G108, "")</f>
        <v>0.57269000000000003</v>
      </c>
    </row>
    <row r="110" spans="1:12" x14ac:dyDescent="0.2">
      <c r="F110" s="57">
        <f>IF([1]FX!A109&gt;1, [1]FX!A109, "")</f>
        <v>43465</v>
      </c>
      <c r="G110" s="56">
        <f>IF($F110&lt;&gt;"", [1]FX!B109, "")</f>
        <v>1</v>
      </c>
      <c r="H110" s="56">
        <f>IF($F110&lt;&gt;"", [1]FX!C109, "")</f>
        <v>0.70447300000000002</v>
      </c>
      <c r="I110" s="56">
        <f>IF($F110&lt;&gt;"", [1]FX!D109, "")</f>
        <v>0.61573999999999995</v>
      </c>
      <c r="J110" s="56">
        <f>IF($F110&lt;&gt;"", [1]FX!E109, "")</f>
        <v>4.8407</v>
      </c>
      <c r="K110" s="56">
        <f>IF($F110&lt;&gt;"", [1]FX!F109, "")</f>
        <v>0.96235000000000004</v>
      </c>
      <c r="L110" s="56">
        <f>IF($F110&lt;&gt;"", [1]FX!G109, "")</f>
        <v>0.55501999999999996</v>
      </c>
    </row>
    <row r="111" spans="1:12" x14ac:dyDescent="0.2">
      <c r="F111" s="57">
        <f>IF([1]FX!A110&gt;1, [1]FX!A110, "")</f>
        <v>43496</v>
      </c>
      <c r="G111" s="56">
        <f>IF($F111&lt;&gt;"", [1]FX!B110, "")</f>
        <v>1</v>
      </c>
      <c r="H111" s="56">
        <f>IF($F111&lt;&gt;"", [1]FX!C110, "")</f>
        <v>0.725468</v>
      </c>
      <c r="I111" s="56">
        <f>IF($F111&lt;&gt;"", [1]FX!D110, "")</f>
        <v>0.63156999999999996</v>
      </c>
      <c r="J111" s="56">
        <f>IF($F111&lt;&gt;"", [1]FX!E110, "")</f>
        <v>4.8648999999999996</v>
      </c>
      <c r="K111" s="56">
        <f>IF($F111&lt;&gt;"", [1]FX!F110, "")</f>
        <v>0.97682000000000002</v>
      </c>
      <c r="L111" s="56">
        <f>IF($F111&lt;&gt;"", [1]FX!G110, "")</f>
        <v>0.55301</v>
      </c>
    </row>
    <row r="112" spans="1:12" x14ac:dyDescent="0.2">
      <c r="F112" s="57">
        <f>IF([1]FX!A111&gt;1, [1]FX!A111, "")</f>
        <v>43524</v>
      </c>
      <c r="G112" s="56">
        <f>IF($F112&lt;&gt;"", [1]FX!B111, "")</f>
        <v>1</v>
      </c>
      <c r="H112" s="56">
        <f>IF($F112&lt;&gt;"", [1]FX!C111, "")</f>
        <v>0.71484700000000001</v>
      </c>
      <c r="I112" s="56">
        <f>IF($F112&lt;&gt;"", [1]FX!D111, "")</f>
        <v>0.62805999999999995</v>
      </c>
      <c r="J112" s="56">
        <f>IF($F112&lt;&gt;"", [1]FX!E111, "")</f>
        <v>4.7740999999999998</v>
      </c>
      <c r="K112" s="56">
        <f>IF($F112&lt;&gt;"", [1]FX!F111, "")</f>
        <v>0.96309999999999996</v>
      </c>
      <c r="L112" s="56">
        <f>IF($F112&lt;&gt;"", [1]FX!G111, "")</f>
        <v>0.53669999999999995</v>
      </c>
    </row>
    <row r="113" spans="6:12" x14ac:dyDescent="0.2">
      <c r="F113" s="57">
        <f>IF([1]FX!A112&gt;1, [1]FX!A112, "")</f>
        <v>43555</v>
      </c>
      <c r="G113" s="56">
        <f>IF($F113&lt;&gt;"", [1]FX!B112, "")</f>
        <v>1</v>
      </c>
      <c r="H113" s="56">
        <f>IF($F113&lt;&gt;"", [1]FX!C112, "")</f>
        <v>0.70831599999999995</v>
      </c>
      <c r="I113" s="56">
        <f>IF($F113&lt;&gt;"", [1]FX!D112, "")</f>
        <v>0.63056000000000001</v>
      </c>
      <c r="J113" s="56">
        <f>IF($F113&lt;&gt;"", [1]FX!E112, "")</f>
        <v>4.7655000000000003</v>
      </c>
      <c r="K113" s="56">
        <f>IF($F113&lt;&gt;"", [1]FX!F112, "")</f>
        <v>0.95989999999999998</v>
      </c>
      <c r="L113" s="56">
        <f>IF($F113&lt;&gt;"", [1]FX!G112, "")</f>
        <v>0.5423</v>
      </c>
    </row>
    <row r="114" spans="6:12" x14ac:dyDescent="0.2">
      <c r="F114" s="57">
        <f>IF([1]FX!A113&gt;1, [1]FX!A113, "")</f>
        <v>43585</v>
      </c>
      <c r="G114" s="56">
        <f>IF($F114&lt;&gt;"", [1]FX!B113, "")</f>
        <v>1</v>
      </c>
      <c r="H114" s="56">
        <f>IF($F114&lt;&gt;"", [1]FX!C113, "")</f>
        <v>0.70551699999999995</v>
      </c>
      <c r="I114" s="56">
        <f>IF($F114&lt;&gt;"", [1]FX!D113, "")</f>
        <v>0.63068000000000002</v>
      </c>
      <c r="J114" s="56">
        <f>IF($F114&lt;&gt;"", [1]FX!E113, "")</f>
        <v>4.7439</v>
      </c>
      <c r="K114" s="56">
        <f>IF($F114&lt;&gt;"", [1]FX!F113, "")</f>
        <v>0.96016999999999997</v>
      </c>
      <c r="L114" s="56">
        <f>IF($F114&lt;&gt;"", [1]FX!G113, "")</f>
        <v>0.54549000000000003</v>
      </c>
    </row>
    <row r="115" spans="6:12" x14ac:dyDescent="0.2">
      <c r="F115" s="57">
        <f>IF([1]FX!A114&gt;1, [1]FX!A114, "")</f>
        <v>43616</v>
      </c>
      <c r="G115" s="56">
        <f>IF($F115&lt;&gt;"", [1]FX!B114, "")</f>
        <v>1</v>
      </c>
      <c r="H115" s="56">
        <f>IF($F115&lt;&gt;"", [1]FX!C114, "")</f>
        <v>0.690608</v>
      </c>
      <c r="I115" s="56">
        <f>IF($F115&lt;&gt;"", [1]FX!D114, "")</f>
        <v>0.62019999999999997</v>
      </c>
      <c r="J115" s="56">
        <f>IF($F115&lt;&gt;"", [1]FX!E114, "")</f>
        <v>4.7595999999999998</v>
      </c>
      <c r="K115" s="56">
        <f>IF($F115&lt;&gt;"", [1]FX!F114, "")</f>
        <v>0.95299999999999996</v>
      </c>
      <c r="L115" s="56">
        <f>IF($F115&lt;&gt;"", [1]FX!G114, "")</f>
        <v>0.54761000000000004</v>
      </c>
    </row>
    <row r="116" spans="6:12" x14ac:dyDescent="0.2">
      <c r="F116" s="57">
        <f>IF([1]FX!A115&gt;1, [1]FX!A115, "")</f>
        <v>43646</v>
      </c>
      <c r="G116" s="56">
        <f>IF($F116&lt;&gt;"", [1]FX!B115, "")</f>
        <v>1</v>
      </c>
      <c r="H116" s="56">
        <f>IF($F116&lt;&gt;"", [1]FX!C115, "")</f>
        <v>0.70037799999999995</v>
      </c>
      <c r="I116" s="56">
        <f>IF($F116&lt;&gt;"", [1]FX!D115, "")</f>
        <v>0.61585000000000001</v>
      </c>
      <c r="J116" s="56">
        <f>IF($F116&lt;&gt;"", [1]FX!E115, "")</f>
        <v>4.8103999999999996</v>
      </c>
      <c r="K116" s="56">
        <f>IF($F116&lt;&gt;"", [1]FX!F115, "")</f>
        <v>0.9476</v>
      </c>
      <c r="L116" s="56">
        <f>IF($F116&lt;&gt;"", [1]FX!G115, "")</f>
        <v>0.55249999999999999</v>
      </c>
    </row>
    <row r="117" spans="6:12" x14ac:dyDescent="0.2">
      <c r="F117" s="57">
        <f>IF([1]FX!A116&gt;1, [1]FX!A116, "")</f>
        <v>43677</v>
      </c>
      <c r="G117" s="56">
        <f>IF($F117&lt;&gt;"", [1]FX!B116, "")</f>
        <v>1</v>
      </c>
      <c r="H117" s="56">
        <f>IF($F117&lt;&gt;"", [1]FX!C116, "")</f>
        <v>0.68752199999999997</v>
      </c>
      <c r="I117" s="56">
        <f>IF($F117&lt;&gt;"", [1]FX!D116, "")</f>
        <v>0.61611000000000005</v>
      </c>
      <c r="J117" s="56">
        <f>IF($F117&lt;&gt;"", [1]FX!E116, "")</f>
        <v>4.7276999999999996</v>
      </c>
      <c r="K117" s="56">
        <f>IF($F117&lt;&gt;"", [1]FX!F116, "")</f>
        <v>0.94198999999999999</v>
      </c>
      <c r="L117" s="56">
        <f>IF($F117&lt;&gt;"", [1]FX!G116, "")</f>
        <v>0.56525999999999998</v>
      </c>
    </row>
    <row r="118" spans="6:12" x14ac:dyDescent="0.2">
      <c r="F118" s="57">
        <f>IF([1]FX!A117&gt;1, [1]FX!A117, "")</f>
        <v>43708</v>
      </c>
      <c r="G118" s="56">
        <f>IF($F118&lt;&gt;"", [1]FX!B117, "")</f>
        <v>1</v>
      </c>
      <c r="H118" s="56">
        <f>IF($F118&lt;&gt;"", [1]FX!C117, "")</f>
        <v>0.67358200000000001</v>
      </c>
      <c r="I118" s="56">
        <f>IF($F118&lt;&gt;"", [1]FX!D117, "")</f>
        <v>0.60890999999999995</v>
      </c>
      <c r="J118" s="56">
        <f>IF($F118&lt;&gt;"", [1]FX!E117, "")</f>
        <v>4.8060999999999998</v>
      </c>
      <c r="K118" s="56">
        <f>IF($F118&lt;&gt;"", [1]FX!F117, "")</f>
        <v>0.93459000000000003</v>
      </c>
      <c r="L118" s="56">
        <f>IF($F118&lt;&gt;"", [1]FX!G117, "")</f>
        <v>0.55264999999999997</v>
      </c>
    </row>
    <row r="119" spans="6:12" x14ac:dyDescent="0.2">
      <c r="F119" s="57">
        <f>IF([1]FX!A118&gt;1, [1]FX!A118, "")</f>
        <v>43738</v>
      </c>
      <c r="G119" s="56">
        <f>IF($F119&lt;&gt;"", [1]FX!B118, "")</f>
        <v>1</v>
      </c>
      <c r="H119" s="56">
        <f>IF($F119&lt;&gt;"", [1]FX!C118, "")</f>
        <v>0.67608699999999999</v>
      </c>
      <c r="I119" s="56">
        <f>IF($F119&lt;&gt;"", [1]FX!D118, "")</f>
        <v>0.61760000000000004</v>
      </c>
      <c r="J119" s="56">
        <f>IF($F119&lt;&gt;"", [1]FX!E118, "")</f>
        <v>4.8089000000000004</v>
      </c>
      <c r="K119" s="56">
        <f>IF($F119&lt;&gt;"", [1]FX!F118, "")</f>
        <v>0.93320000000000003</v>
      </c>
      <c r="L119" s="56">
        <f>IF($F119&lt;&gt;"", [1]FX!G118, "")</f>
        <v>0.54969999999999997</v>
      </c>
    </row>
    <row r="120" spans="6:12" x14ac:dyDescent="0.2">
      <c r="F120" s="57">
        <f>IF([1]FX!A119&gt;1, [1]FX!A119, "")</f>
        <v>43769</v>
      </c>
      <c r="G120" s="56">
        <f>IF($F120&lt;&gt;"", [1]FX!B119, "")</f>
        <v>1</v>
      </c>
      <c r="H120" s="56">
        <f>IF($F120&lt;&gt;"", [1]FX!C119, "")</f>
        <v>0.68978799999999996</v>
      </c>
      <c r="I120" s="56">
        <f>IF($F120&lt;&gt;"", [1]FX!D119, "")</f>
        <v>0.61823799999999995</v>
      </c>
      <c r="J120" s="56">
        <f>IF($F120&lt;&gt;"", [1]FX!E119, "")</f>
        <v>4.8599389999999998</v>
      </c>
      <c r="K120" s="56">
        <f>IF($F120&lt;&gt;"", [1]FX!F119, "")</f>
        <v>0.93884999999999996</v>
      </c>
      <c r="L120" s="56">
        <f>IF($F120&lt;&gt;"", [1]FX!G119, "")</f>
        <v>0.53458000000000006</v>
      </c>
    </row>
    <row r="121" spans="6:12" x14ac:dyDescent="0.2">
      <c r="F121" s="57">
        <f>IF([1]FX!A120&gt;1, [1]FX!A120, "")</f>
        <v>43799</v>
      </c>
      <c r="G121" s="56">
        <f>IF($F121&lt;&gt;"", [1]FX!B120, "")</f>
        <v>1</v>
      </c>
      <c r="H121" s="56">
        <f>IF($F121&lt;&gt;"", [1]FX!C120, "")</f>
        <v>0.67689999999999995</v>
      </c>
      <c r="I121" s="56">
        <f>IF($F121&lt;&gt;"", [1]FX!D120, "")</f>
        <v>0.61439999999999995</v>
      </c>
      <c r="J121" s="56">
        <f>IF($F121&lt;&gt;"", [1]FX!E120, "")</f>
        <v>4.7558550000000004</v>
      </c>
      <c r="K121" s="56">
        <f>IF($F121&lt;&gt;"", [1]FX!F120, "")</f>
        <v>0.92349999999999999</v>
      </c>
      <c r="L121" s="56">
        <f>IF($F121&lt;&gt;"", [1]FX!G120, "")</f>
        <v>0.52408999999999994</v>
      </c>
    </row>
    <row r="122" spans="6:12" x14ac:dyDescent="0.2">
      <c r="F122" s="57">
        <f>IF([1]FX!A121&gt;1, [1]FX!A121, "")</f>
        <v>43830</v>
      </c>
      <c r="G122" s="56">
        <f>IF($F122&lt;&gt;"", [1]FX!B121, "")</f>
        <v>1</v>
      </c>
      <c r="H122" s="56">
        <f>IF($F122&lt;&gt;"", [1]FX!C121, "")</f>
        <v>0.70013999999999998</v>
      </c>
      <c r="I122" s="56">
        <f>IF($F122&lt;&gt;"", [1]FX!D121, "")</f>
        <v>0.62492999999999999</v>
      </c>
      <c r="J122" s="56">
        <f>IF($F122&lt;&gt;"", [1]FX!E121, "")</f>
        <v>4.8873389999999999</v>
      </c>
      <c r="K122" s="56">
        <f>IF($F122&lt;&gt;"", [1]FX!F121, "")</f>
        <v>0.94381999999999999</v>
      </c>
      <c r="L122" s="56">
        <f>IF($F122&lt;&gt;"", [1]FX!G121, "")</f>
        <v>0.53386999999999996</v>
      </c>
    </row>
    <row r="123" spans="6:12" x14ac:dyDescent="0.2">
      <c r="F123" s="57">
        <f>IF([1]FX!A122&gt;1, [1]FX!A122, "")</f>
        <v>43861</v>
      </c>
      <c r="G123" s="56">
        <f>IF($F123&lt;&gt;"", [1]FX!B122, "")</f>
        <v>1</v>
      </c>
      <c r="H123" s="56">
        <f>IF($F123&lt;&gt;"", [1]FX!C122, "")</f>
        <v>0.67082600000000003</v>
      </c>
      <c r="I123" s="56">
        <f>IF($F123&lt;&gt;"", [1]FX!D122, "")</f>
        <v>0.60799000000000003</v>
      </c>
      <c r="J123" s="56">
        <f>IF($F123&lt;&gt;"", [1]FX!E122, "")</f>
        <v>4.6472660000000001</v>
      </c>
      <c r="K123" s="56">
        <f>IF($F123&lt;&gt;"", [1]FX!F122, "")</f>
        <v>0.91342999999999996</v>
      </c>
      <c r="L123" s="56">
        <f>IF($F123&lt;&gt;"", [1]FX!G122, "")</f>
        <v>0.51244000000000001</v>
      </c>
    </row>
    <row r="124" spans="6:12" x14ac:dyDescent="0.2">
      <c r="F124" s="57">
        <f>IF([1]FX!A123&gt;1, [1]FX!A123, "")</f>
        <v>43890</v>
      </c>
      <c r="G124" s="56">
        <f>IF($F124&lt;&gt;"", [1]FX!B123, "")</f>
        <v>1</v>
      </c>
      <c r="H124" s="56">
        <f>IF($F124&lt;&gt;"", [1]FX!C123, "")</f>
        <v>0.65802000000000005</v>
      </c>
      <c r="I124" s="56">
        <f>IF($F124&lt;&gt;"", [1]FX!D123, "")</f>
        <v>0.59828000000000003</v>
      </c>
      <c r="J124" s="56">
        <f>IF($F124&lt;&gt;"", [1]FX!E123, "")</f>
        <v>4.6042459999999998</v>
      </c>
      <c r="K124" s="56">
        <f>IF($F124&lt;&gt;"", [1]FX!F123, "")</f>
        <v>0.91764999999999997</v>
      </c>
      <c r="L124" s="56">
        <f>IF($F124&lt;&gt;"", [1]FX!G123, "")</f>
        <v>0.51046000000000002</v>
      </c>
    </row>
    <row r="125" spans="6:12" x14ac:dyDescent="0.2">
      <c r="F125" s="57">
        <f>IF([1]FX!A124&gt;1, [1]FX!A124, "")</f>
        <v>43921</v>
      </c>
      <c r="G125" s="56">
        <f>IF($F125&lt;&gt;"", [1]FX!B124, "")</f>
        <v>1</v>
      </c>
      <c r="H125" s="56">
        <f>IF($F125&lt;&gt;"", [1]FX!C124, "")</f>
        <v>0.61689899999999998</v>
      </c>
      <c r="I125" s="56">
        <f>IF($F125&lt;&gt;"", [1]FX!D124, "")</f>
        <v>0.55913999999999997</v>
      </c>
      <c r="J125" s="56">
        <f>IF($F125&lt;&gt;"", [1]FX!E124, "")</f>
        <v>4.3714269999999997</v>
      </c>
      <c r="K125" s="56">
        <f>IF($F125&lt;&gt;"", [1]FX!F124, "")</f>
        <v>0.87822</v>
      </c>
      <c r="L125" s="56">
        <f>IF($F125&lt;&gt;"", [1]FX!G124, "")</f>
        <v>0.49848999999999999</v>
      </c>
    </row>
    <row r="126" spans="6:12" x14ac:dyDescent="0.2">
      <c r="F126" s="57">
        <f>IF([1]FX!A125&gt;1, [1]FX!A125, "")</f>
        <v>43951</v>
      </c>
      <c r="G126" s="56">
        <f>IF($F126&lt;&gt;"", [1]FX!B125, "")</f>
        <v>1</v>
      </c>
      <c r="H126" s="56">
        <f>IF($F126&lt;&gt;"", [1]FX!C125, "")</f>
        <v>0.655501</v>
      </c>
      <c r="I126" s="56">
        <f>IF($F126&lt;&gt;"", [1]FX!D125, "")</f>
        <v>0.60255000000000003</v>
      </c>
      <c r="J126" s="56">
        <f>IF($F126&lt;&gt;"", [1]FX!E125, "")</f>
        <v>4.6334270000000002</v>
      </c>
      <c r="K126" s="56">
        <f>IF($F126&lt;&gt;"", [1]FX!F125, "")</f>
        <v>0.92410000000000003</v>
      </c>
      <c r="L126" s="56">
        <f>IF($F126&lt;&gt;"", [1]FX!G125, "")</f>
        <v>0.52553000000000005</v>
      </c>
    </row>
    <row r="127" spans="6:12" x14ac:dyDescent="0.2">
      <c r="F127" s="57">
        <f>IF([1]FX!A126&gt;1, [1]FX!A126, "")</f>
        <v>43982</v>
      </c>
      <c r="G127" s="56">
        <f>IF($F127&lt;&gt;"", [1]FX!B126, "")</f>
        <v>1</v>
      </c>
      <c r="H127" s="56">
        <f>IF($F127&lt;&gt;"", [1]FX!C126, "")</f>
        <v>0.66335</v>
      </c>
      <c r="I127" s="56">
        <f>IF($F127&lt;&gt;"", [1]FX!D126, "")</f>
        <v>0.59860000000000002</v>
      </c>
      <c r="J127" s="56">
        <f>IF($F127&lt;&gt;"", [1]FX!E126, "")</f>
        <v>4.7331899999999996</v>
      </c>
      <c r="K127" s="56">
        <f>IF($F127&lt;&gt;"", [1]FX!F126, "")</f>
        <v>0.93979999999999997</v>
      </c>
      <c r="L127" s="56">
        <f>IF($F127&lt;&gt;"", [1]FX!G126, "")</f>
        <v>0.53834000000000004</v>
      </c>
    </row>
    <row r="128" spans="6:12" x14ac:dyDescent="0.2">
      <c r="F128" s="57">
        <f>IF([1]FX!A127&gt;1, [1]FX!A127, "")</f>
        <v>44012</v>
      </c>
      <c r="G128" s="56">
        <f>IF($F128&lt;&gt;"", [1]FX!B127, "")</f>
        <v>1</v>
      </c>
      <c r="H128" s="56">
        <f>IF($F128&lt;&gt;"", [1]FX!C127, "")</f>
        <v>0.687191</v>
      </c>
      <c r="I128" s="56">
        <f>IF($F128&lt;&gt;"", [1]FX!D127, "")</f>
        <v>0.61097000000000001</v>
      </c>
      <c r="J128" s="56">
        <f>IF($F128&lt;&gt;"", [1]FX!E127, "")</f>
        <v>4.8614059999999997</v>
      </c>
      <c r="K128" s="56">
        <f>IF($F128&lt;&gt;"", [1]FX!F127, "")</f>
        <v>0.95743</v>
      </c>
      <c r="L128" s="56">
        <f>IF($F128&lt;&gt;"", [1]FX!G127, "")</f>
        <v>0.55818999999999996</v>
      </c>
    </row>
    <row r="129" spans="6:12" x14ac:dyDescent="0.2">
      <c r="F129" s="57">
        <f>IF([1]FX!A128&gt;1, [1]FX!A128, "")</f>
        <v>44043</v>
      </c>
      <c r="G129" s="56">
        <f>IF($F129&lt;&gt;"", [1]FX!B128, "")</f>
        <v>1</v>
      </c>
      <c r="H129" s="56">
        <f>IF($F129&lt;&gt;"", [1]FX!C128, "")</f>
        <v>0.72036800000000001</v>
      </c>
      <c r="I129" s="56">
        <f>IF($F129&lt;&gt;"", [1]FX!D128, "")</f>
        <v>0.60660000000000003</v>
      </c>
      <c r="J129" s="56">
        <f>IF($F129&lt;&gt;"", [1]FX!E128, "")</f>
        <v>5.0417370000000004</v>
      </c>
      <c r="K129" s="56">
        <f>IF($F129&lt;&gt;"", [1]FX!F128, "")</f>
        <v>0.98740000000000006</v>
      </c>
      <c r="L129" s="56">
        <f>IF($F129&lt;&gt;"", [1]FX!G128, "")</f>
        <v>0.54910000000000003</v>
      </c>
    </row>
    <row r="130" spans="6:12" x14ac:dyDescent="0.2">
      <c r="F130" s="57">
        <f>IF([1]FX!A129&gt;1, [1]FX!A129, "")</f>
        <v>44074</v>
      </c>
      <c r="G130" s="56">
        <f>IF($F130&lt;&gt;"", [1]FX!B129, "")</f>
        <v>1</v>
      </c>
      <c r="H130" s="56">
        <f>IF($F130&lt;&gt;"", [1]FX!C129, "")</f>
        <v>0.73729999999999996</v>
      </c>
      <c r="I130" s="56">
        <f>IF($F130&lt;&gt;"", [1]FX!D129, "")</f>
        <v>0.61829999999999996</v>
      </c>
      <c r="J130" s="56">
        <f>IF($F130&lt;&gt;"", [1]FX!E129, "")</f>
        <v>5.0480479999999996</v>
      </c>
      <c r="K130" s="56">
        <f>IF($F130&lt;&gt;"", [1]FX!F129, "")</f>
        <v>1.0004</v>
      </c>
      <c r="L130" s="56">
        <f>IF($F130&lt;&gt;"", [1]FX!G129, "")</f>
        <v>0.55169999999999997</v>
      </c>
    </row>
    <row r="131" spans="6:12" x14ac:dyDescent="0.2">
      <c r="F131" s="57">
        <f>IF([1]FX!A130&gt;1, [1]FX!A130, "")</f>
        <v>44104</v>
      </c>
      <c r="G131" s="56">
        <f>IF($F131&lt;&gt;"", [1]FX!B130, "")</f>
        <v>1</v>
      </c>
      <c r="H131" s="56">
        <f>IF($F131&lt;&gt;"", [1]FX!C130, "")</f>
        <v>0.71435999999999999</v>
      </c>
      <c r="I131" s="56">
        <f>IF($F131&lt;&gt;"", [1]FX!D130, "")</f>
        <v>0.60834999999999995</v>
      </c>
      <c r="J131" s="56">
        <f>IF($F131&lt;&gt;"", [1]FX!E130, "")</f>
        <v>4.8634820000000003</v>
      </c>
      <c r="K131" s="56">
        <f>IF($F131&lt;&gt;"", [1]FX!F130, "")</f>
        <v>0.97731999999999997</v>
      </c>
      <c r="L131" s="56">
        <f>IF($F131&lt;&gt;"", [1]FX!G130, "")</f>
        <v>0.55523</v>
      </c>
    </row>
    <row r="132" spans="6:12" x14ac:dyDescent="0.2">
      <c r="F132" s="57">
        <f>IF([1]FX!A131&gt;1, [1]FX!A131, "")</f>
        <v>44135</v>
      </c>
      <c r="G132" s="56">
        <f>IF($F132&lt;&gt;"", [1]FX!B131, "")</f>
        <v>1</v>
      </c>
      <c r="H132" s="56">
        <f>IF($F132&lt;&gt;"", [1]FX!C131, "")</f>
        <v>0.70376000000000005</v>
      </c>
      <c r="I132" s="56">
        <f>IF($F132&lt;&gt;"", [1]FX!D131, "")</f>
        <v>0.60255999999999998</v>
      </c>
      <c r="J132" s="56">
        <f>IF($F132&lt;&gt;"", [1]FX!E131, "")</f>
        <v>4.7187960000000002</v>
      </c>
      <c r="K132" s="56">
        <f>IF($F132&lt;&gt;"", [1]FX!F131, "")</f>
        <v>0.96130000000000004</v>
      </c>
      <c r="L132" s="56">
        <f>IF($F132&lt;&gt;"", [1]FX!G131, "")</f>
        <v>0.54417000000000004</v>
      </c>
    </row>
    <row r="133" spans="6:12" x14ac:dyDescent="0.2">
      <c r="F133" s="57">
        <f>IF([1]FX!A132&gt;1, [1]FX!A132, "")</f>
        <v>44165</v>
      </c>
      <c r="G133" s="56">
        <f>IF($F133&lt;&gt;"", [1]FX!B132, "")</f>
        <v>1</v>
      </c>
      <c r="H133" s="56">
        <f>IF($F133&lt;&gt;"", [1]FX!C132, "")</f>
        <v>0.74002800000000002</v>
      </c>
      <c r="I133" s="56">
        <f>IF($F133&lt;&gt;"", [1]FX!D132, "")</f>
        <v>0.61809999999999998</v>
      </c>
      <c r="J133" s="56">
        <f>IF($F133&lt;&gt;"", [1]FX!E132, "")</f>
        <v>4.8576370000000004</v>
      </c>
      <c r="K133" s="56">
        <f>IF($F133&lt;&gt;"", [1]FX!F132, "")</f>
        <v>0.98970999999999998</v>
      </c>
      <c r="L133" s="56">
        <f>IF($F133&lt;&gt;"", [1]FX!G132, "")</f>
        <v>0.55501999999999996</v>
      </c>
    </row>
    <row r="134" spans="6:12" x14ac:dyDescent="0.2">
      <c r="F134" s="57">
        <f>IF([1]FX!A133&gt;1, [1]FX!A133, "")</f>
        <v>44196</v>
      </c>
      <c r="G134" s="56">
        <f>IF($F134&lt;&gt;"", [1]FX!B133, "")</f>
        <v>1</v>
      </c>
      <c r="H134" s="56">
        <f>IF($F134&lt;&gt;"", [1]FX!C133, "")</f>
        <v>0.76892899999999997</v>
      </c>
      <c r="I134" s="56">
        <f>IF($F134&lt;&gt;"", [1]FX!D133, "")</f>
        <v>0.62509000000000003</v>
      </c>
      <c r="J134" s="56">
        <f>IF($F134&lt;&gt;"", [1]FX!E133, "")</f>
        <v>5.0096590000000001</v>
      </c>
      <c r="K134" s="56">
        <f>IF($F134&lt;&gt;"", [1]FX!F133, "")</f>
        <v>1.0171699999999999</v>
      </c>
      <c r="L134" s="56">
        <f>IF($F134&lt;&gt;"", [1]FX!G133, "")</f>
        <v>0.56406999999999996</v>
      </c>
    </row>
    <row r="135" spans="6:12" x14ac:dyDescent="0.2">
      <c r="F135" s="57">
        <f>IF([1]FX!A134&gt;1, [1]FX!A134, "")</f>
        <v>44227</v>
      </c>
      <c r="G135" s="56">
        <f>IF($F135&lt;&gt;"", [1]FX!B134, "")</f>
        <v>1</v>
      </c>
      <c r="H135" s="56">
        <f>IF($F135&lt;&gt;"", [1]FX!C134, "")</f>
        <v>0.76697000000000004</v>
      </c>
      <c r="I135" s="56">
        <f>IF($F135&lt;&gt;"", [1]FX!D134, "")</f>
        <v>0.63278000000000001</v>
      </c>
      <c r="J135" s="56">
        <f>IF($F135&lt;&gt;"", [1]FX!E134, "")</f>
        <v>4.9395470000000001</v>
      </c>
      <c r="K135" s="56">
        <f>IF($F135&lt;&gt;"", [1]FX!F134, "")</f>
        <v>1.0189999999999999</v>
      </c>
      <c r="L135" s="56">
        <f>IF($F135&lt;&gt;"", [1]FX!G134, "")</f>
        <v>0.55878000000000005</v>
      </c>
    </row>
    <row r="136" spans="6:12" x14ac:dyDescent="0.2">
      <c r="F136" s="57">
        <f>IF([1]FX!A135&gt;1, [1]FX!A135, "")</f>
        <v>44255</v>
      </c>
      <c r="G136" s="56">
        <f>IF($F136&lt;&gt;"", [1]FX!B135, "")</f>
        <v>1</v>
      </c>
      <c r="H136" s="56">
        <f>IF($F136&lt;&gt;"", [1]FX!C135, "")</f>
        <v>0.78700000000000003</v>
      </c>
      <c r="I136" s="56">
        <f>IF($F136&lt;&gt;"", [1]FX!D135, "")</f>
        <v>0.64700999999999997</v>
      </c>
      <c r="J136" s="56">
        <f>IF($F136&lt;&gt;"", [1]FX!E135, "")</f>
        <v>5.0747799999999996</v>
      </c>
      <c r="K136" s="56">
        <f>IF($F136&lt;&gt;"", [1]FX!F135, "")</f>
        <v>1.04495</v>
      </c>
      <c r="L136" s="56">
        <f>IF($F136&lt;&gt;"", [1]FX!G135, "")</f>
        <v>0.56167</v>
      </c>
    </row>
    <row r="137" spans="6:12" x14ac:dyDescent="0.2">
      <c r="F137" s="57">
        <f>IF([1]FX!A136&gt;1, [1]FX!A136, "")</f>
        <v>44286</v>
      </c>
      <c r="G137" s="56">
        <f>IF($F137&lt;&gt;"", [1]FX!B136, "")</f>
        <v>1</v>
      </c>
      <c r="H137" s="56">
        <f>IF($F137&lt;&gt;"", [1]FX!C136, "")</f>
        <v>0.76088</v>
      </c>
      <c r="I137" s="56">
        <f>IF($F137&lt;&gt;"", [1]FX!D136, "")</f>
        <v>0.64895999999999998</v>
      </c>
      <c r="J137" s="56">
        <f>IF($F137&lt;&gt;"", [1]FX!E136, "")</f>
        <v>4.9914849999999999</v>
      </c>
      <c r="K137" s="56">
        <f>IF($F137&lt;&gt;"", [1]FX!F136, "")</f>
        <v>1.0246</v>
      </c>
      <c r="L137" s="56">
        <f>IF($F137&lt;&gt;"", [1]FX!G136, "")</f>
        <v>0.55345</v>
      </c>
    </row>
    <row r="138" spans="6:12" x14ac:dyDescent="0.2">
      <c r="F138" s="57">
        <f>IF([1]FX!A137&gt;1, [1]FX!A137, "")</f>
        <v>44316</v>
      </c>
      <c r="G138" s="56">
        <f>IF($F138&lt;&gt;"", [1]FX!B137, "")</f>
        <v>1</v>
      </c>
      <c r="H138" s="56">
        <f>IF($F138&lt;&gt;"", [1]FX!C137, "")</f>
        <v>0.77776199999999995</v>
      </c>
      <c r="I138" s="56">
        <f>IF($F138&lt;&gt;"", [1]FX!D137, "")</f>
        <v>0.64139000000000002</v>
      </c>
      <c r="J138" s="56">
        <f>IF($F138&lt;&gt;"", [1]FX!E137, "")</f>
        <v>5.0260389999999999</v>
      </c>
      <c r="K138" s="56">
        <f>IF($F138&lt;&gt;"", [1]FX!F137, "")</f>
        <v>1.03102</v>
      </c>
      <c r="L138" s="56">
        <f>IF($F138&lt;&gt;"", [1]FX!G137, "")</f>
        <v>0.55744000000000005</v>
      </c>
    </row>
    <row r="139" spans="6:12" x14ac:dyDescent="0.2">
      <c r="F139" s="57">
        <f>IF([1]FX!A138&gt;1, [1]FX!A138, "")</f>
        <v>44347</v>
      </c>
      <c r="G139" s="56">
        <f>IF($F139&lt;&gt;"", [1]FX!B138, "")</f>
        <v>1</v>
      </c>
      <c r="H139" s="56">
        <f>IF($F139&lt;&gt;"", [1]FX!C138, "")</f>
        <v>0.77100999999999997</v>
      </c>
      <c r="I139" s="56">
        <f>IF($F139&lt;&gt;"", [1]FX!D138, "")</f>
        <v>0.63229000000000002</v>
      </c>
      <c r="J139" s="56">
        <f>IF($F139&lt;&gt;"", [1]FX!E138, "")</f>
        <v>4.9061159999999999</v>
      </c>
      <c r="K139" s="56">
        <f>IF($F139&lt;&gt;"", [1]FX!F138, "")</f>
        <v>1.0199</v>
      </c>
      <c r="L139" s="56">
        <f>IF($F139&lt;&gt;"", [1]FX!G138, "")</f>
        <v>0.54349999999999998</v>
      </c>
    </row>
    <row r="140" spans="6:12" x14ac:dyDescent="0.2">
      <c r="F140" s="57">
        <f>IF([1]FX!A139&gt;1, [1]FX!A139, "")</f>
        <v>44377</v>
      </c>
      <c r="G140" s="56">
        <f>IF($F140&lt;&gt;"", [1]FX!B139, "")</f>
        <v>1</v>
      </c>
      <c r="H140" s="56">
        <f>IF($F140&lt;&gt;"", [1]FX!C139, "")</f>
        <v>0.75136000000000003</v>
      </c>
      <c r="I140" s="56">
        <f>IF($F140&lt;&gt;"", [1]FX!D139, "")</f>
        <v>0.63131999999999999</v>
      </c>
      <c r="J140" s="56">
        <f>IF($F140&lt;&gt;"", [1]FX!E139, "")</f>
        <v>4.8481829999999997</v>
      </c>
      <c r="K140" s="56">
        <f>IF($F140&lt;&gt;"", [1]FX!F139, "")</f>
        <v>1.0105299999999999</v>
      </c>
      <c r="L140" s="56">
        <f>IF($F140&lt;&gt;"", [1]FX!G139, "")</f>
        <v>0.54281999999999997</v>
      </c>
    </row>
    <row r="141" spans="6:12" x14ac:dyDescent="0.2">
      <c r="F141" s="57">
        <f>IF([1]FX!A140&gt;1, [1]FX!A140, "")</f>
        <v>44408</v>
      </c>
      <c r="G141" s="56">
        <f>IF($F141&lt;&gt;"", [1]FX!B140, "")</f>
        <v>1</v>
      </c>
      <c r="H141" s="56">
        <f>IF($F141&lt;&gt;"", [1]FX!C140, "")</f>
        <v>0.73960999999999999</v>
      </c>
      <c r="I141" s="56">
        <f>IF($F141&lt;&gt;"", [1]FX!D140, "")</f>
        <v>0.62195999999999996</v>
      </c>
      <c r="J141" s="56">
        <f>IF($F141&lt;&gt;"", [1]FX!E140, "")</f>
        <v>4.7713380000000001</v>
      </c>
      <c r="K141" s="56">
        <f>IF($F141&lt;&gt;"", [1]FX!F140, "")</f>
        <v>1.0005900000000001</v>
      </c>
      <c r="L141" s="56">
        <f>IF($F141&lt;&gt;"", [1]FX!G140, "")</f>
        <v>0.52959999999999996</v>
      </c>
    </row>
    <row r="142" spans="6:12" x14ac:dyDescent="0.2">
      <c r="F142" s="57">
        <f>IF([1]FX!A141&gt;1, [1]FX!A141, "")</f>
        <v>44439</v>
      </c>
      <c r="G142" s="56">
        <f>IF($F142&lt;&gt;"", [1]FX!B141, "")</f>
        <v>1</v>
      </c>
      <c r="H142" s="56">
        <f>IF($F142&lt;&gt;"", [1]FX!C141, "")</f>
        <v>0.72912299999999997</v>
      </c>
      <c r="I142" s="56">
        <f>IF($F142&lt;&gt;"", [1]FX!D141, "")</f>
        <v>0.61782000000000004</v>
      </c>
      <c r="J142" s="56">
        <f>IF($F142&lt;&gt;"", [1]FX!E141, "")</f>
        <v>4.7086959999999998</v>
      </c>
      <c r="K142" s="56">
        <f>IF($F142&lt;&gt;"", [1]FX!F141, "")</f>
        <v>0.98040000000000005</v>
      </c>
      <c r="L142" s="56">
        <f>IF($F142&lt;&gt;"", [1]FX!G141, "")</f>
        <v>0.52959999999999996</v>
      </c>
    </row>
    <row r="143" spans="6:12" x14ac:dyDescent="0.2">
      <c r="F143" s="57">
        <f>IF([1]FX!A142&gt;1, [1]FX!A142, "")</f>
        <v>44469</v>
      </c>
      <c r="G143" s="56">
        <f>IF($F143&lt;&gt;"", [1]FX!B142, "")</f>
        <v>1</v>
      </c>
      <c r="H143" s="56">
        <f>IF($F143&lt;&gt;"", [1]FX!C142, "")</f>
        <v>0.71799999999999997</v>
      </c>
      <c r="I143" s="56">
        <f>IF($F143&lt;&gt;"", [1]FX!D142, "")</f>
        <v>0.61880000000000002</v>
      </c>
      <c r="J143" s="56">
        <f>IF($F143&lt;&gt;"", [1]FX!E142, "")</f>
        <v>4.6392670000000003</v>
      </c>
      <c r="K143" s="56">
        <f>IF($F143&lt;&gt;"", [1]FX!F142, "")</f>
        <v>0.97736999999999996</v>
      </c>
      <c r="L143" s="56">
        <f>IF($F143&lt;&gt;"", [1]FX!G142, "")</f>
        <v>0.534605</v>
      </c>
    </row>
    <row r="144" spans="6:12" x14ac:dyDescent="0.2">
      <c r="F144" s="57">
        <f>IF([1]FX!A143&gt;1, [1]FX!A143, "")</f>
        <v>44500</v>
      </c>
      <c r="G144" s="56">
        <f>IF($F144&lt;&gt;"", [1]FX!B143, "")</f>
        <v>1</v>
      </c>
      <c r="H144" s="56">
        <f>IF($F144&lt;&gt;"", [1]FX!C143, "")</f>
        <v>0.75316000000000005</v>
      </c>
      <c r="I144" s="56">
        <f>IF($F144&lt;&gt;"", [1]FX!D143, "")</f>
        <v>0.64449999999999996</v>
      </c>
      <c r="J144" s="56">
        <f>IF($F144&lt;&gt;"", [1]FX!E143, "")</f>
        <v>4.8089890000000004</v>
      </c>
      <c r="K144" s="56">
        <f>IF($F144&lt;&gt;"", [1]FX!F143, "")</f>
        <v>1.0117</v>
      </c>
      <c r="L144" s="56">
        <f>IF($F144&lt;&gt;"", [1]FX!G143, "")</f>
        <v>0.54561899999999997</v>
      </c>
    </row>
    <row r="145" spans="6:12" x14ac:dyDescent="0.2">
      <c r="F145" s="57">
        <f>IF([1]FX!A144&gt;1, [1]FX!A144, "")</f>
        <v>44530</v>
      </c>
      <c r="G145" s="56">
        <f>IF($F145&lt;&gt;"", [1]FX!B144, "")</f>
        <v>1</v>
      </c>
      <c r="H145" s="56">
        <f>IF($F145&lt;&gt;"", [1]FX!C144, "")</f>
        <v>0.71457999999999999</v>
      </c>
      <c r="I145" s="56">
        <f>IF($F145&lt;&gt;"", [1]FX!D144, "")</f>
        <v>0.63271999999999995</v>
      </c>
      <c r="J145" s="56">
        <f>IF($F145&lt;&gt;"", [1]FX!E144, "")</f>
        <v>4.5585500000000003</v>
      </c>
      <c r="K145" s="56">
        <f>IF($F145&lt;&gt;"", [1]FX!F144, "")</f>
        <v>0.97770999999999997</v>
      </c>
      <c r="L145" s="56">
        <f>IF($F145&lt;&gt;"", [1]FX!G144, "")</f>
        <v>0.53654000000000002</v>
      </c>
    </row>
    <row r="146" spans="6:12" x14ac:dyDescent="0.2">
      <c r="F146" s="57">
        <f>IF([1]FX!A145&gt;1, [1]FX!A145, "")</f>
        <v>44561</v>
      </c>
      <c r="G146" s="56">
        <f>IF($F146&lt;&gt;"", [1]FX!B145, "")</f>
        <v>1</v>
      </c>
      <c r="H146" s="56">
        <f>IF($F146&lt;&gt;"", [1]FX!C145, "")</f>
        <v>0.72497999999999996</v>
      </c>
      <c r="I146" s="56">
        <f>IF($F146&lt;&gt;"", [1]FX!D145, "")</f>
        <v>0.64024999999999999</v>
      </c>
      <c r="J146" s="56">
        <f>IF($F146&lt;&gt;"", [1]FX!E145, "")</f>
        <v>4.6138870000000001</v>
      </c>
      <c r="K146" s="56">
        <f>IF($F146&lt;&gt;"", [1]FX!F145, "")</f>
        <v>0.97975000000000001</v>
      </c>
      <c r="L146" s="56">
        <f>IF($F146&lt;&gt;"", [1]FX!G145, "")</f>
        <v>0.53703000000000001</v>
      </c>
    </row>
    <row r="147" spans="6:12" x14ac:dyDescent="0.2">
      <c r="F147" s="57">
        <f>IF([1]FX!A146&gt;1, [1]FX!A146, "")</f>
        <v>44592</v>
      </c>
      <c r="G147" s="56">
        <f>IF($F147&lt;&gt;"", [1]FX!B146, "")</f>
        <v>1</v>
      </c>
      <c r="H147" s="56">
        <f>IF($F147&lt;&gt;"", [1]FX!C146, "")</f>
        <v>0.69979999999999998</v>
      </c>
      <c r="I147" s="56">
        <f>IF($F147&lt;&gt;"", [1]FX!D146, "")</f>
        <v>0.62729999999999997</v>
      </c>
      <c r="J147" s="56">
        <f>IF($F147&lt;&gt;"", [1]FX!E146, "")</f>
        <v>4.4218489999999999</v>
      </c>
      <c r="K147" s="56">
        <f>IF($F147&lt;&gt;"", [1]FX!F146, "")</f>
        <v>0.94857000000000002</v>
      </c>
      <c r="L147" s="56">
        <f>IF($F147&lt;&gt;"", [1]FX!G146, "")</f>
        <v>0.52195000000000003</v>
      </c>
    </row>
    <row r="148" spans="6:12" x14ac:dyDescent="0.2">
      <c r="F148" s="57">
        <f>IF([1]FX!A147&gt;1, [1]FX!A147, "")</f>
        <v>44620</v>
      </c>
      <c r="G148" s="56">
        <f>IF($F148&lt;&gt;"", [1]FX!B147, "")</f>
        <v>1</v>
      </c>
      <c r="H148" s="56">
        <f>IF($F148&lt;&gt;"", [1]FX!C147, "")</f>
        <v>0.71864899999999998</v>
      </c>
      <c r="I148" s="56">
        <f>IF($F148&lt;&gt;"", [1]FX!D147, "")</f>
        <v>0.64261000000000001</v>
      </c>
      <c r="J148" s="56">
        <f>IF($F148&lt;&gt;"", [1]FX!E147, "")</f>
        <v>4.5115429999999996</v>
      </c>
      <c r="K148" s="56">
        <f>IF($F148&lt;&gt;"", [1]FX!F147, "")</f>
        <v>0.97645999999999999</v>
      </c>
      <c r="L148" s="56">
        <f>IF($F148&lt;&gt;"", [1]FX!G147, "")</f>
        <v>0.53725999999999996</v>
      </c>
    </row>
    <row r="149" spans="6:12" x14ac:dyDescent="0.2">
      <c r="F149" s="57">
        <f>IF([1]FX!A148&gt;1, [1]FX!A148, "")</f>
        <v>44651</v>
      </c>
      <c r="G149" s="56">
        <f>IF($F149&lt;&gt;"", [1]FX!B148, "")</f>
        <v>1</v>
      </c>
      <c r="H149" s="56">
        <f>IF($F149&lt;&gt;"", [1]FX!C148, "")</f>
        <v>0.75029999999999997</v>
      </c>
      <c r="I149" s="56">
        <f>IF($F149&lt;&gt;"", [1]FX!D148, "")</f>
        <v>0.67203999999999997</v>
      </c>
      <c r="J149" s="56">
        <f>IF($F149&lt;&gt;"", [1]FX!E148, "")</f>
        <v>4.7526039999999998</v>
      </c>
      <c r="K149" s="56">
        <f>IF($F149&lt;&gt;"", [1]FX!F148, "")</f>
        <v>1.0145599999999999</v>
      </c>
      <c r="L149" s="56">
        <f>IF($F149&lt;&gt;"", [1]FX!G148, "")</f>
        <v>0.57079999999999997</v>
      </c>
    </row>
    <row r="150" spans="6:12" x14ac:dyDescent="0.2">
      <c r="F150" s="57">
        <f>IF([1]FX!A149&gt;1, [1]FX!A149, "")</f>
        <v>44681</v>
      </c>
      <c r="G150" s="56">
        <f>IF($F150&lt;&gt;"", [1]FX!B149, "")</f>
        <v>1</v>
      </c>
      <c r="H150" s="56">
        <f>IF($F150&lt;&gt;"", [1]FX!C149, "")</f>
        <v>0.71088399999999996</v>
      </c>
      <c r="I150" s="56">
        <f>IF($F150&lt;&gt;"", [1]FX!D149, "")</f>
        <v>0.67659999999999998</v>
      </c>
      <c r="J150" s="56">
        <f>IF($F150&lt;&gt;"", [1]FX!E149, "")</f>
        <v>4.6997220000000004</v>
      </c>
      <c r="K150" s="56">
        <f>IF($F150&lt;&gt;"", [1]FX!F149, "")</f>
        <v>0.98499999999999999</v>
      </c>
      <c r="L150" s="56">
        <f>IF($F150&lt;&gt;"", [1]FX!G149, "")</f>
        <v>0.57010000000000005</v>
      </c>
    </row>
    <row r="151" spans="6:12" x14ac:dyDescent="0.2">
      <c r="F151" s="57">
        <f>IF([1]FX!A150&gt;1, [1]FX!A150, "")</f>
        <v>44712</v>
      </c>
      <c r="G151" s="56">
        <f>IF($F151&lt;&gt;"", [1]FX!B150, "")</f>
        <v>1</v>
      </c>
      <c r="H151" s="56">
        <f>IF($F151&lt;&gt;"", [1]FX!C150, "")</f>
        <v>0.71952000000000005</v>
      </c>
      <c r="I151" s="56">
        <f>IF($F151&lt;&gt;"", [1]FX!D150, "")</f>
        <v>0.66783999999999999</v>
      </c>
      <c r="J151" s="56">
        <f>IF($F151&lt;&gt;"", [1]FX!E150, "")</f>
        <v>4.7862299999999998</v>
      </c>
      <c r="K151" s="56">
        <f>IF($F151&lt;&gt;"", [1]FX!F150, "")</f>
        <v>0.98348000000000002</v>
      </c>
      <c r="L151" s="56">
        <f>IF($F151&lt;&gt;"", [1]FX!G150, "")</f>
        <v>0.56889999999999996</v>
      </c>
    </row>
    <row r="152" spans="6:12" x14ac:dyDescent="0.2">
      <c r="F152" s="57">
        <f>IF([1]FX!A151&gt;1, [1]FX!A151, "")</f>
        <v>44742</v>
      </c>
      <c r="G152" s="56">
        <f>IF($F152&lt;&gt;"", [1]FX!B151, "")</f>
        <v>1</v>
      </c>
      <c r="H152" s="56">
        <f>IF($F152&lt;&gt;"", [1]FX!C151, "")</f>
        <v>0.68804699999999996</v>
      </c>
      <c r="I152" s="56">
        <f>IF($F152&lt;&gt;"", [1]FX!D151, "")</f>
        <v>0.65849000000000002</v>
      </c>
      <c r="J152" s="56">
        <f>IF($F152&lt;&gt;"", [1]FX!E151, "")</f>
        <v>4.59971</v>
      </c>
      <c r="K152" s="56">
        <f>IF($F152&lt;&gt;"", [1]FX!F151, "")</f>
        <v>0.95799999999999996</v>
      </c>
      <c r="L152" s="56">
        <f>IF($F152&lt;&gt;"", [1]FX!G151, "")</f>
        <v>0.56711</v>
      </c>
    </row>
    <row r="153" spans="6:12" x14ac:dyDescent="0.2">
      <c r="F153" s="57">
        <f>IF([1]FX!A152&gt;1, [1]FX!A152, "")</f>
        <v>44773</v>
      </c>
      <c r="G153" s="56">
        <f>IF($F153&lt;&gt;"", [1]FX!B152, "")</f>
        <v>1</v>
      </c>
      <c r="H153" s="56">
        <f>IF($F153&lt;&gt;"", [1]FX!C152, "")</f>
        <v>0.70008400000000004</v>
      </c>
      <c r="I153" s="56">
        <f>IF($F153&lt;&gt;"", [1]FX!D152, "")</f>
        <v>0.68654999999999999</v>
      </c>
      <c r="J153" s="56">
        <f>IF($F153&lt;&gt;"", [1]FX!E152, "")</f>
        <v>4.7146379999999999</v>
      </c>
      <c r="K153" s="56">
        <f>IF($F153&lt;&gt;"", [1]FX!F152, "")</f>
        <v>0.96531</v>
      </c>
      <c r="L153" s="56">
        <f>IF($F153&lt;&gt;"", [1]FX!G152, "")</f>
        <v>0.57481000000000004</v>
      </c>
    </row>
    <row r="154" spans="6:12" x14ac:dyDescent="0.2">
      <c r="F154" s="57">
        <f>IF([1]FX!A153&gt;1, [1]FX!A153, "")</f>
        <v>44804</v>
      </c>
      <c r="G154" s="56">
        <f>IF($F154&lt;&gt;"", [1]FX!B153, "")</f>
        <v>1</v>
      </c>
      <c r="H154" s="56">
        <f>IF($F154&lt;&gt;"", [1]FX!C153, "")</f>
        <v>0.68574000000000002</v>
      </c>
      <c r="I154" s="56">
        <f>IF($F154&lt;&gt;"", [1]FX!D153, "")</f>
        <v>0.68396999999999997</v>
      </c>
      <c r="J154" s="56">
        <f>IF($F154&lt;&gt;"", [1]FX!E153, "")</f>
        <v>4.7328150000000004</v>
      </c>
      <c r="K154" s="56">
        <f>IF($F154&lt;&gt;"", [1]FX!F153, "")</f>
        <v>0.95850999999999997</v>
      </c>
      <c r="L154" s="56">
        <f>IF($F154&lt;&gt;"", [1]FX!G153, "")</f>
        <v>0.58808000000000005</v>
      </c>
    </row>
    <row r="155" spans="6:12" x14ac:dyDescent="0.2">
      <c r="F155" s="57">
        <f>IF([1]FX!A154&gt;1, [1]FX!A154, "")</f>
        <v>44834</v>
      </c>
      <c r="G155" s="56">
        <f>IF($F155&lt;&gt;"", [1]FX!B154, "")</f>
        <v>1</v>
      </c>
      <c r="H155" s="56">
        <f>IF($F155&lt;&gt;"", [1]FX!C154, "")</f>
        <v>0.65129999999999999</v>
      </c>
      <c r="I155" s="56">
        <f>IF($F155&lt;&gt;"", [1]FX!D154, "")</f>
        <v>0.66218999999999995</v>
      </c>
      <c r="J155" s="56">
        <f>IF($F155&lt;&gt;"", [1]FX!E154, "")</f>
        <v>4.6351370000000003</v>
      </c>
      <c r="K155" s="56">
        <f>IF($F155&lt;&gt;"", [1]FX!F154, "")</f>
        <v>0.93100000000000005</v>
      </c>
      <c r="L155" s="56">
        <f>IF($F155&lt;&gt;"", [1]FX!G154, "")</f>
        <v>0.58260000000000001</v>
      </c>
    </row>
    <row r="156" spans="6:12" x14ac:dyDescent="0.2">
      <c r="F156" s="57">
        <f>IF([1]FX!A155&gt;1, [1]FX!A155, "")</f>
        <v>44865</v>
      </c>
      <c r="G156" s="56">
        <f>IF($F156&lt;&gt;"", [1]FX!B155, "")</f>
        <v>1</v>
      </c>
      <c r="H156" s="56">
        <f>IF($F156&lt;&gt;"", [1]FX!C155, "")</f>
        <v>0.64013100000000001</v>
      </c>
      <c r="I156" s="56">
        <f>IF($F156&lt;&gt;"", [1]FX!D155, "")</f>
        <v>0.64293999999999996</v>
      </c>
      <c r="J156" s="56">
        <f>IF($F156&lt;&gt;"", [1]FX!E155, "")</f>
        <v>4.6446420000000002</v>
      </c>
      <c r="K156" s="56">
        <f>IF($F156&lt;&gt;"", [1]FX!F155, "")</f>
        <v>0.90364</v>
      </c>
      <c r="L156" s="56">
        <f>IF($F156&lt;&gt;"", [1]FX!G155, "")</f>
        <v>0.55196000000000001</v>
      </c>
    </row>
    <row r="157" spans="6:12" x14ac:dyDescent="0.2">
      <c r="F157" s="57">
        <f>IF([1]FX!A156&gt;1, [1]FX!A156, "")</f>
        <v>44895</v>
      </c>
      <c r="G157" s="56">
        <f>IF($F157&lt;&gt;"", [1]FX!B156, "")</f>
        <v>1</v>
      </c>
      <c r="H157" s="56">
        <f>IF($F157&lt;&gt;"", [1]FX!C156, "")</f>
        <v>0.66840900000000003</v>
      </c>
      <c r="I157" s="56">
        <f>IF($F157&lt;&gt;"", [1]FX!D156, "")</f>
        <v>0.64732000000000001</v>
      </c>
      <c r="J157" s="56">
        <f>IF($F157&lt;&gt;"", [1]FX!E156, "")</f>
        <v>4.771541</v>
      </c>
      <c r="K157" s="56">
        <f>IF($F157&lt;&gt;"", [1]FX!F156, "")</f>
        <v>0.91912000000000005</v>
      </c>
      <c r="L157" s="56">
        <f>IF($F157&lt;&gt;"", [1]FX!G156, "")</f>
        <v>0.55940000000000001</v>
      </c>
    </row>
    <row r="158" spans="6:12" x14ac:dyDescent="0.2">
      <c r="F158" s="57">
        <f>IF([1]FX!A157&gt;1, [1]FX!A157, "")</f>
        <v>44926</v>
      </c>
      <c r="G158" s="56">
        <f>IF($F158&lt;&gt;"", [1]FX!B157, "")</f>
        <v>1</v>
      </c>
      <c r="H158" s="56">
        <f>IF($F158&lt;&gt;"", [1]FX!C157, "")</f>
        <v>0.67659999999999998</v>
      </c>
      <c r="I158" s="56">
        <f>IF($F158&lt;&gt;"", [1]FX!D157, "")</f>
        <v>0.63458999999999999</v>
      </c>
      <c r="J158" s="56">
        <f>IF($F158&lt;&gt;"", [1]FX!E157, "")</f>
        <v>4.7118120000000001</v>
      </c>
      <c r="K158" s="56">
        <f>IF($F158&lt;&gt;"", [1]FX!F157, "")</f>
        <v>0.90898999999999996</v>
      </c>
      <c r="L158" s="56">
        <f>IF($F158&lt;&gt;"", [1]FX!G157, "")</f>
        <v>0.56113000000000002</v>
      </c>
    </row>
    <row r="159" spans="6:12" x14ac:dyDescent="0.2">
      <c r="F159" s="57">
        <f>IF([1]FX!A158&gt;1, [1]FX!A158, "")</f>
        <v>44957</v>
      </c>
      <c r="G159" s="56">
        <f>IF($F159&lt;&gt;"", [1]FX!B158, "")</f>
        <v>1</v>
      </c>
      <c r="H159" s="56">
        <f>IF($F159&lt;&gt;"", [1]FX!C158, "")</f>
        <v>0.70581000000000005</v>
      </c>
      <c r="I159" s="56">
        <f>IF($F159&lt;&gt;"", [1]FX!D158, "")</f>
        <v>0.65029999999999999</v>
      </c>
      <c r="J159" s="56">
        <f>IF($F159&lt;&gt;"", [1]FX!E158, "")</f>
        <v>4.7567009999999996</v>
      </c>
      <c r="K159" s="56">
        <f>IF($F159&lt;&gt;"", [1]FX!F158, "")</f>
        <v>0.92781000000000002</v>
      </c>
      <c r="L159" s="56">
        <f>IF($F159&lt;&gt;"", [1]FX!G158, "")</f>
        <v>0.57142499999999996</v>
      </c>
    </row>
    <row r="160" spans="6:12" x14ac:dyDescent="0.2">
      <c r="F160" s="57">
        <f>IF([1]FX!A159&gt;1, [1]FX!A159, "")</f>
        <v>44985</v>
      </c>
      <c r="G160" s="56">
        <f>IF($F160&lt;&gt;"", [1]FX!B159, "")</f>
        <v>1</v>
      </c>
      <c r="H160" s="56">
        <f>IF($F160&lt;&gt;"", [1]FX!C159, "")</f>
        <v>0.67430000000000001</v>
      </c>
      <c r="I160" s="56">
        <f>IF($F160&lt;&gt;"", [1]FX!D159, "")</f>
        <v>0.63531000000000004</v>
      </c>
      <c r="J160" s="56">
        <f>IF($F160&lt;&gt;"", [1]FX!E159, "")</f>
        <v>4.6746400000000001</v>
      </c>
      <c r="K160" s="56">
        <f>IF($F160&lt;&gt;"", [1]FX!F159, "")</f>
        <v>0.90778999999999999</v>
      </c>
      <c r="L160" s="56">
        <f>IF($F160&lt;&gt;"", [1]FX!G159, "")</f>
        <v>0.55881000000000003</v>
      </c>
    </row>
    <row r="161" spans="6:12" x14ac:dyDescent="0.2">
      <c r="F161" s="57">
        <f>IF([1]FX!A160&gt;1, [1]FX!A160, "")</f>
        <v>45016</v>
      </c>
      <c r="G161" s="56">
        <f>IF($F161&lt;&gt;"", [1]FX!B160, "")</f>
        <v>1</v>
      </c>
      <c r="H161" s="56">
        <f>IF($F161&lt;&gt;"", [1]FX!C160, "")</f>
        <v>0.671682</v>
      </c>
      <c r="I161" s="56">
        <f>IF($F161&lt;&gt;"", [1]FX!D160, "")</f>
        <v>0.61570000000000003</v>
      </c>
      <c r="J161" s="56">
        <f>IF($F161&lt;&gt;"", [1]FX!E160, "")</f>
        <v>4.6074599999999997</v>
      </c>
      <c r="K161" s="56">
        <f>IF($F161&lt;&gt;"", [1]FX!F160, "")</f>
        <v>0.89173000000000002</v>
      </c>
      <c r="L161" s="56">
        <f>IF($F161&lt;&gt;"", [1]FX!G160, "")</f>
        <v>0.54210999999999998</v>
      </c>
    </row>
    <row r="162" spans="6:12" x14ac:dyDescent="0.2">
      <c r="F162" s="57">
        <f>IF([1]FX!A161&gt;1, [1]FX!A161, "")</f>
        <v>45046</v>
      </c>
      <c r="G162" s="56">
        <f>IF($F162&lt;&gt;"", [1]FX!B161, "")</f>
        <v>1</v>
      </c>
      <c r="H162" s="56">
        <f>IF($F162&lt;&gt;"", [1]FX!C161, "")</f>
        <v>0.66303999999999996</v>
      </c>
      <c r="I162" s="56">
        <f>IF($F162&lt;&gt;"", [1]FX!D161, "")</f>
        <v>0.60097</v>
      </c>
      <c r="J162" s="56">
        <f>IF($F162&lt;&gt;"", [1]FX!E161, "")</f>
        <v>4.5852110000000001</v>
      </c>
      <c r="K162" s="56">
        <f>IF($F162&lt;&gt;"", [1]FX!F161, "")</f>
        <v>0.88505999999999996</v>
      </c>
      <c r="L162" s="56">
        <f>IF($F162&lt;&gt;"", [1]FX!G161, "")</f>
        <v>0.53049999999999997</v>
      </c>
    </row>
    <row r="163" spans="6:12" x14ac:dyDescent="0.2">
      <c r="F163" s="57">
        <f>IF([1]FX!A162&gt;1, [1]FX!A162, "")</f>
        <v>45077</v>
      </c>
      <c r="G163" s="56">
        <f>IF($F163&lt;&gt;"", [1]FX!B162, "")</f>
        <v>1</v>
      </c>
      <c r="H163" s="56">
        <f>IF($F163&lt;&gt;"", [1]FX!C162, "")</f>
        <v>0.65178000000000003</v>
      </c>
      <c r="I163" s="56">
        <f>IF($F163&lt;&gt;"", [1]FX!D162, "")</f>
        <v>0.60719999999999996</v>
      </c>
      <c r="J163" s="56">
        <f>IF($F163&lt;&gt;"", [1]FX!E162, "")</f>
        <v>4.6093060000000001</v>
      </c>
      <c r="K163" s="56">
        <f>IF($F163&lt;&gt;"", [1]FX!F162, "")</f>
        <v>0.88031999999999999</v>
      </c>
      <c r="L163" s="56">
        <f>IF($F163&lt;&gt;"", [1]FX!G162, "")</f>
        <v>0.52507000000000004</v>
      </c>
    </row>
    <row r="164" spans="6:12" x14ac:dyDescent="0.2">
      <c r="F164" s="57">
        <f>IF([1]FX!A163&gt;1, [1]FX!A163, "")</f>
        <v>45107</v>
      </c>
      <c r="G164" s="56">
        <f>IF($F164&lt;&gt;"", [1]FX!B163, "")</f>
        <v>1</v>
      </c>
      <c r="H164" s="56">
        <f>IF($F164&lt;&gt;"", [1]FX!C163, "")</f>
        <v>0.66197099999999998</v>
      </c>
      <c r="I164" s="56">
        <f>IF($F164&lt;&gt;"", [1]FX!D163, "")</f>
        <v>0.60902999999999996</v>
      </c>
      <c r="J164" s="56">
        <f>IF($F164&lt;&gt;"", [1]FX!E163, "")</f>
        <v>4.7953770000000002</v>
      </c>
      <c r="K164" s="56">
        <f>IF($F164&lt;&gt;"", [1]FX!F163, "")</f>
        <v>0.89761999999999997</v>
      </c>
      <c r="L164" s="56">
        <f>IF($F164&lt;&gt;"", [1]FX!G163, "")</f>
        <v>0.52471000000000001</v>
      </c>
    </row>
    <row r="165" spans="6:12" x14ac:dyDescent="0.2">
      <c r="F165" s="57">
        <f>IF([1]FX!A164&gt;1, [1]FX!A164, "")</f>
        <v>45138</v>
      </c>
      <c r="G165" s="56">
        <f>IF($F165&lt;&gt;"", [1]FX!B164, "")</f>
        <v>1</v>
      </c>
      <c r="H165" s="56">
        <f>IF($F165&lt;&gt;"", [1]FX!C164, "")</f>
        <v>0.66608100000000003</v>
      </c>
      <c r="I165" s="56">
        <f>IF($F165&lt;&gt;"", [1]FX!D164, "")</f>
        <v>0.60414000000000001</v>
      </c>
      <c r="J165" s="56">
        <f>IF($F165&lt;&gt;"", [1]FX!E164, "")</f>
        <v>4.7098829999999996</v>
      </c>
      <c r="K165" s="56">
        <f>IF($F165&lt;&gt;"", [1]FX!F164, "")</f>
        <v>0.88666</v>
      </c>
      <c r="L165" s="56">
        <f>IF($F165&lt;&gt;"", [1]FX!G164, "")</f>
        <v>0.51815</v>
      </c>
    </row>
    <row r="166" spans="6:12" x14ac:dyDescent="0.2">
      <c r="F166" s="57">
        <f>IF([1]FX!A165&gt;1, [1]FX!A165, "")</f>
        <v>45169</v>
      </c>
      <c r="G166" s="56">
        <f>IF($F166&lt;&gt;"", [1]FX!B165, "")</f>
        <v>1</v>
      </c>
      <c r="H166" s="56">
        <f>IF($F166&lt;&gt;"", [1]FX!C165, "")</f>
        <v>0.64787799999999995</v>
      </c>
      <c r="I166" s="56">
        <f>IF($F166&lt;&gt;"", [1]FX!D165, "")</f>
        <v>0.59274000000000004</v>
      </c>
      <c r="J166" s="56">
        <f>IF($F166&lt;&gt;"", [1]FX!E165, "")</f>
        <v>4.6447050000000001</v>
      </c>
      <c r="K166" s="56">
        <f>IF($F166&lt;&gt;"", [1]FX!F165, "")</f>
        <v>0.87431999999999999</v>
      </c>
      <c r="L166" s="56">
        <f>IF($F166&lt;&gt;"", [1]FX!G165, "")</f>
        <v>0.50963000000000003</v>
      </c>
    </row>
    <row r="167" spans="6:12" x14ac:dyDescent="0.2">
      <c r="F167" s="57">
        <f>IF([1]FX!A166&gt;1, [1]FX!A166, "")</f>
        <v>45199</v>
      </c>
      <c r="G167" s="56">
        <f>IF($F167&lt;&gt;"", [1]FX!B166, "")</f>
        <v>1</v>
      </c>
      <c r="H167" s="56">
        <f>IF($F167&lt;&gt;"", [1]FX!C166, "")</f>
        <v>0.64279699999999995</v>
      </c>
      <c r="I167" s="56">
        <f>IF($F167&lt;&gt;"", [1]FX!D166, "")</f>
        <v>0.60838999999999999</v>
      </c>
      <c r="J167" s="56">
        <f>IF($F167&lt;&gt;"", [1]FX!E166, "")</f>
        <v>4.6017169999999998</v>
      </c>
      <c r="K167" s="56">
        <f>IF($F167&lt;&gt;"", [1]FX!F166, "")</f>
        <v>0.87778999999999996</v>
      </c>
      <c r="L167" s="56">
        <f>IF($F167&lt;&gt;"", [1]FX!G166, "")</f>
        <v>0.52653000000000005</v>
      </c>
    </row>
    <row r="168" spans="6:12" x14ac:dyDescent="0.2">
      <c r="F168" s="57">
        <f>IF([1]FX!A167&gt;1, [1]FX!A167, "")</f>
        <v>45230</v>
      </c>
      <c r="G168" s="56">
        <f>IF($F168&lt;&gt;"", [1]FX!B167, "")</f>
        <v>1</v>
      </c>
      <c r="H168" s="56">
        <f>IF($F168&lt;&gt;"", [1]FX!C167, "")</f>
        <v>0.6371</v>
      </c>
      <c r="I168" s="56">
        <f>IF($F168&lt;&gt;"", [1]FX!D167, "")</f>
        <v>0.5998</v>
      </c>
      <c r="J168" s="56">
        <f>IF($F168&lt;&gt;"", [1]FX!E167, "")</f>
        <v>4.5642500000000004</v>
      </c>
      <c r="K168" s="56">
        <f>IF($F168&lt;&gt;"", [1]FX!F167, "")</f>
        <v>0.86850000000000005</v>
      </c>
      <c r="L168" s="56">
        <f>IF($F168&lt;&gt;"", [1]FX!G167, "")</f>
        <v>0.52339999999999998</v>
      </c>
    </row>
    <row r="169" spans="6:12" x14ac:dyDescent="0.2">
      <c r="F169" s="57">
        <f>IF([1]FX!A168&gt;1, [1]FX!A168, "")</f>
        <v>45260</v>
      </c>
      <c r="G169" s="56">
        <f>IF($F169&lt;&gt;"", [1]FX!B168, "")</f>
        <v>1</v>
      </c>
      <c r="H169" s="56">
        <f>IF($F169&lt;&gt;"", [1]FX!C168, "")</f>
        <v>0.66190099999999996</v>
      </c>
      <c r="I169" s="56">
        <f>IF($F169&lt;&gt;"", [1]FX!D168, "")</f>
        <v>0.60299000000000003</v>
      </c>
      <c r="J169" s="56">
        <f>IF($F169&lt;&gt;"", [1]FX!E168, "")</f>
        <v>4.6851039999999999</v>
      </c>
      <c r="K169" s="56">
        <f>IF($F169&lt;&gt;"", [1]FX!F168, "")</f>
        <v>0.88166</v>
      </c>
      <c r="L169" s="56">
        <f>IF($F169&lt;&gt;"", [1]FX!G168, "")</f>
        <v>0.5212</v>
      </c>
    </row>
    <row r="170" spans="6:12" x14ac:dyDescent="0.2">
      <c r="F170" s="57">
        <f>IF([1]FX!A169&gt;1, [1]FX!A169, "")</f>
        <v>45291</v>
      </c>
      <c r="G170" s="56">
        <f>IF($F170&lt;&gt;"", [1]FX!B169, "")</f>
        <v>1</v>
      </c>
      <c r="H170" s="56">
        <f>IF($F170&lt;&gt;"", [1]FX!C169, "")</f>
        <v>0.68262999999999996</v>
      </c>
      <c r="I170" s="56">
        <f>IF($F170&lt;&gt;"", [1]FX!D169, "")</f>
        <v>0.61668000000000001</v>
      </c>
      <c r="J170" s="56">
        <f>IF($F170&lt;&gt;"", [1]FX!E169, "")</f>
        <v>4.8217939999999997</v>
      </c>
      <c r="K170" s="56">
        <f>IF($F170&lt;&gt;"", [1]FX!F169, "")</f>
        <v>0.90114000000000005</v>
      </c>
      <c r="L170" s="56">
        <f>IF($F170&lt;&gt;"", [1]FX!G169, "")</f>
        <v>0.53603000000000001</v>
      </c>
    </row>
    <row r="171" spans="6:12" x14ac:dyDescent="0.2">
      <c r="F171" s="57">
        <f>IF([1]FX!A170&gt;1, [1]FX!A170, "")</f>
        <v>45322</v>
      </c>
      <c r="G171" s="56">
        <f>IF($F171&lt;&gt;"", [1]FX!B170, "")</f>
        <v>1</v>
      </c>
      <c r="H171" s="56">
        <f>IF($F171&lt;&gt;"", [1]FX!C170, "")</f>
        <v>0.65947999999999996</v>
      </c>
      <c r="I171" s="56">
        <f>IF($F171&lt;&gt;"", [1]FX!D170, "")</f>
        <v>0.60814000000000001</v>
      </c>
      <c r="J171" s="56">
        <f>IF($F171&lt;&gt;"", [1]FX!E170, "")</f>
        <v>4.6785350000000001</v>
      </c>
      <c r="K171" s="56">
        <f>IF($F171&lt;&gt;"", [1]FX!F170, "")</f>
        <v>0.88314999999999999</v>
      </c>
      <c r="L171" s="56">
        <f>IF($F171&lt;&gt;"", [1]FX!G170, "")</f>
        <v>0.51941999999999999</v>
      </c>
    </row>
    <row r="172" spans="6:12" x14ac:dyDescent="0.2">
      <c r="F172" s="57">
        <f>IF([1]FX!A171&gt;1, [1]FX!A171, "")</f>
        <v>45351</v>
      </c>
      <c r="G172" s="56">
        <f>IF($F172&lt;&gt;"", [1]FX!B171, "")</f>
        <v>1</v>
      </c>
      <c r="H172" s="56">
        <f>IF($F172&lt;&gt;"", [1]FX!C171, "")</f>
        <v>0.64946999999999999</v>
      </c>
      <c r="I172" s="56">
        <f>IF($F172&lt;&gt;"", [1]FX!D171, "")</f>
        <v>0.59916999999999998</v>
      </c>
      <c r="J172" s="56">
        <f>IF($F172&lt;&gt;"", [1]FX!E171, "")</f>
        <v>4.6101450000000002</v>
      </c>
      <c r="K172" s="56">
        <f>IF($F172&lt;&gt;"", [1]FX!F171, "")</f>
        <v>0.87319999999999998</v>
      </c>
      <c r="L172" s="56">
        <f>IF($F172&lt;&gt;"", [1]FX!G171, "")</f>
        <v>0.51293</v>
      </c>
    </row>
    <row r="173" spans="6:12" x14ac:dyDescent="0.2">
      <c r="F173" s="57">
        <f>IF([1]FX!A172&gt;1, [1]FX!A172, "")</f>
        <v>45382</v>
      </c>
      <c r="G173" s="56">
        <f>IF($F173&lt;&gt;"", [1]FX!B172, "")</f>
        <v>1</v>
      </c>
      <c r="H173" s="56">
        <f>IF($F173&lt;&gt;"", [1]FX!C172, "")</f>
        <v>0.65167799999999998</v>
      </c>
      <c r="I173" s="56">
        <f>IF($F173&lt;&gt;"", [1]FX!D172, "")</f>
        <v>0.60370000000000001</v>
      </c>
      <c r="J173" s="56">
        <f>IF($F173&lt;&gt;"", [1]FX!E172, "")</f>
        <v>4.6251920000000002</v>
      </c>
      <c r="K173" s="56">
        <f>IF($F173&lt;&gt;"", [1]FX!F172, "")</f>
        <v>0.87909999999999999</v>
      </c>
      <c r="L173" s="56">
        <f>IF($F173&lt;&gt;"", [1]FX!G172, "")</f>
        <v>0.51600000000000001</v>
      </c>
    </row>
    <row r="174" spans="6:12" x14ac:dyDescent="0.2">
      <c r="F174" s="57">
        <f>IF([1]FX!A173&gt;1, [1]FX!A173, "")</f>
        <v>45412</v>
      </c>
      <c r="G174" s="56">
        <f>IF($F174&lt;&gt;"", [1]FX!B173, "")</f>
        <v>1</v>
      </c>
      <c r="H174" s="56">
        <f>IF($F174&lt;&gt;"", [1]FX!C173, "")</f>
        <v>0.65619000000000005</v>
      </c>
      <c r="I174" s="56">
        <f>IF($F174&lt;&gt;"", [1]FX!D173, "")</f>
        <v>0.61231999999999998</v>
      </c>
      <c r="J174" s="56">
        <f>IF($F174&lt;&gt;"", [1]FX!E173, "")</f>
        <v>4.6458199999999996</v>
      </c>
      <c r="K174" s="56">
        <f>IF($F174&lt;&gt;"", [1]FX!F173, "")</f>
        <v>0.89231000000000005</v>
      </c>
      <c r="L174" s="56">
        <f>IF($F174&lt;&gt;"", [1]FX!G173, "")</f>
        <v>0.52241000000000004</v>
      </c>
    </row>
    <row r="175" spans="6:12" x14ac:dyDescent="0.2">
      <c r="F175" s="57">
        <f>IF([1]FX!A174&gt;1, [1]FX!A174, "")</f>
        <v>45443</v>
      </c>
      <c r="G175" s="56">
        <f>IF($F175&lt;&gt;"", [1]FX!B174, "")</f>
        <v>1</v>
      </c>
      <c r="H175" s="56">
        <f>IF($F175&lt;&gt;"", [1]FX!C174, "")</f>
        <v>0.66303000000000001</v>
      </c>
      <c r="I175" s="56">
        <f>IF($F175&lt;&gt;"", [1]FX!D174, "")</f>
        <v>0.61207</v>
      </c>
      <c r="J175" s="56">
        <f>IF($F175&lt;&gt;"", [1]FX!E174, "")</f>
        <v>4.6965089999999998</v>
      </c>
      <c r="K175" s="56">
        <f>IF($F175&lt;&gt;"", [1]FX!F174, "")</f>
        <v>0.89510000000000001</v>
      </c>
      <c r="L175" s="56">
        <f>IF($F175&lt;&gt;"", [1]FX!G174, "")</f>
        <v>0.52081999999999995</v>
      </c>
    </row>
    <row r="176" spans="6:12" x14ac:dyDescent="0.2">
      <c r="F176" s="57">
        <f>IF([1]FX!A175&gt;1, [1]FX!A175, "")</f>
        <v>45473</v>
      </c>
      <c r="G176" s="56">
        <f>IF($F176&lt;&gt;"", [1]FX!B175, "")</f>
        <v>1</v>
      </c>
      <c r="H176" s="56">
        <f>IF($F176&lt;&gt;"", [1]FX!C175, "")</f>
        <v>0.66505999999999998</v>
      </c>
      <c r="I176" s="56">
        <f>IF($F176&lt;&gt;"", [1]FX!D175, "")</f>
        <v>0.62104000000000004</v>
      </c>
      <c r="J176" s="56">
        <f>IF($F176&lt;&gt;"", [1]FX!E175, "")</f>
        <v>4.8319609999999997</v>
      </c>
      <c r="K176" s="56">
        <f>IF($F176&lt;&gt;"", [1]FX!F175, "")</f>
        <v>0.90259999999999996</v>
      </c>
      <c r="L176" s="56">
        <f>IF($F176&lt;&gt;"", [1]FX!G175, "")</f>
        <v>0.52590000000000003</v>
      </c>
    </row>
    <row r="177" spans="6:12" x14ac:dyDescent="0.2">
      <c r="F177" s="57">
        <f>IF([1]FX!A176&gt;1, [1]FX!A176, "")</f>
        <v>45504</v>
      </c>
      <c r="G177" s="56">
        <f>IF($F177&lt;&gt;"", [1]FX!B176, "")</f>
        <v>1</v>
      </c>
      <c r="H177" s="56">
        <f>IF($F177&lt;&gt;"", [1]FX!C176, "")</f>
        <v>0.65415000000000001</v>
      </c>
      <c r="I177" s="56">
        <f>IF($F177&lt;&gt;"", [1]FX!D176, "")</f>
        <v>0.60475000000000001</v>
      </c>
      <c r="J177" s="56">
        <f>IF($F177&lt;&gt;"", [1]FX!E176, "")</f>
        <v>4.7434070000000004</v>
      </c>
      <c r="K177" s="56">
        <f>IF($F177&lt;&gt;"", [1]FX!F176, "")</f>
        <v>0.87719999999999998</v>
      </c>
      <c r="L177" s="56">
        <f>IF($F177&lt;&gt;"", [1]FX!G176, "")</f>
        <v>0.50929999999999997</v>
      </c>
    </row>
    <row r="178" spans="6:12" x14ac:dyDescent="0.2">
      <c r="F178" s="57">
        <f>IF([1]FX!A177&gt;1, [1]FX!A177, "")</f>
        <v>45535</v>
      </c>
      <c r="G178" s="56">
        <f>IF($F178&lt;&gt;"", [1]FX!B177, "")</f>
        <v>1</v>
      </c>
      <c r="H178" s="56">
        <f>IF($F178&lt;&gt;"", [1]FX!C177, "")</f>
        <v>0.67959999999999998</v>
      </c>
      <c r="I178" s="56">
        <f>IF($F178&lt;&gt;"", [1]FX!D177, "")</f>
        <v>0.61329999999999996</v>
      </c>
      <c r="J178" s="56">
        <f>IF($F178&lt;&gt;"", [1]FX!E177, "")</f>
        <v>4.8219000000000003</v>
      </c>
      <c r="K178" s="56">
        <f>IF($F178&lt;&gt;"", [1]FX!F177, "")</f>
        <v>0.8851</v>
      </c>
      <c r="L178" s="56">
        <f>IF($F178&lt;&gt;"", [1]FX!G177, "")</f>
        <v>0.5161</v>
      </c>
    </row>
    <row r="179" spans="6:12" x14ac:dyDescent="0.2">
      <c r="F179" s="57">
        <f>IF([1]FX!A178&gt;1, [1]FX!A178, "")</f>
        <v>45565</v>
      </c>
      <c r="G179" s="56">
        <f>IF($F179&lt;&gt;"", [1]FX!B178, "")</f>
        <v>1</v>
      </c>
      <c r="H179" s="56">
        <f>IF($F179&lt;&gt;"", [1]FX!C178, "")</f>
        <v>0.69189999999999996</v>
      </c>
      <c r="I179" s="56">
        <f>IF($F179&lt;&gt;"", [1]FX!D178, "")</f>
        <v>0.61939999999999995</v>
      </c>
      <c r="J179" s="56">
        <f>IF($F179&lt;&gt;"", [1]FX!E178, "")</f>
        <v>4.8503999999999996</v>
      </c>
      <c r="K179" s="56">
        <f>IF($F179&lt;&gt;"", [1]FX!F178, "")</f>
        <v>0.88570000000000004</v>
      </c>
      <c r="L179" s="56">
        <f>IF($F179&lt;&gt;"", [1]FX!G178, "")</f>
        <v>0.51690000000000003</v>
      </c>
    </row>
    <row r="180" spans="6:12" x14ac:dyDescent="0.2">
      <c r="F180" s="57">
        <f>IF([1]FX!A179&gt;1, [1]FX!A179, "")</f>
        <v>45596</v>
      </c>
      <c r="G180" s="56">
        <f>IF($F180&lt;&gt;"", [1]FX!B179, "")</f>
        <v>1</v>
      </c>
      <c r="H180" s="56">
        <f>IF($F180&lt;&gt;"", [1]FX!C179, "")</f>
        <v>0.6573</v>
      </c>
      <c r="I180" s="56">
        <f>IF($F180&lt;&gt;"", [1]FX!D179, "")</f>
        <v>0.60529999999999995</v>
      </c>
      <c r="J180" s="56">
        <f>IF($F180&lt;&gt;"", [1]FX!E179, "")</f>
        <v>4.6540999999999997</v>
      </c>
      <c r="K180" s="56">
        <f>IF($F180&lt;&gt;"", [1]FX!F179, "")</f>
        <v>0.86890000000000001</v>
      </c>
      <c r="L180" s="56">
        <f>IF($F180&lt;&gt;"", [1]FX!G179, "")</f>
        <v>0.50719999999999998</v>
      </c>
    </row>
    <row r="181" spans="6:12" x14ac:dyDescent="0.2">
      <c r="F181" s="57">
        <f>IF([1]FX!A180&gt;1, [1]FX!A180, "")</f>
        <v>45626</v>
      </c>
      <c r="G181" s="56">
        <f>IF($F181&lt;&gt;"", [1]FX!B180, "")</f>
        <v>1</v>
      </c>
      <c r="H181" s="56">
        <f>IF($F181&lt;&gt;"", [1]FX!C180, "")</f>
        <v>0.65069999999999995</v>
      </c>
      <c r="I181" s="56">
        <f>IF($F181&lt;&gt;"", [1]FX!D180, "")</f>
        <v>0.61609999999999998</v>
      </c>
      <c r="J181" s="56">
        <f>IF($F181&lt;&gt;"", [1]FX!E180, "")</f>
        <v>4.7130999999999998</v>
      </c>
      <c r="K181" s="56">
        <f>IF($F181&lt;&gt;"", [1]FX!F180, "")</f>
        <v>0.87219999999999998</v>
      </c>
      <c r="L181" s="56">
        <f>IF($F181&lt;&gt;"", [1]FX!G180, "")</f>
        <v>0.51239999999999997</v>
      </c>
    </row>
    <row r="182" spans="6:12" x14ac:dyDescent="0.2">
      <c r="F182" s="57">
        <f>IF([1]FX!A181&gt;1, [1]FX!A181, "")</f>
        <v>45657</v>
      </c>
      <c r="G182" s="56">
        <f>IF($F182&lt;&gt;"", [1]FX!B181, "")</f>
        <v>1</v>
      </c>
      <c r="H182" s="56">
        <f>IF($F182&lt;&gt;"", [1]FX!C181, "")</f>
        <v>0.622</v>
      </c>
      <c r="I182" s="56">
        <f>IF($F182&lt;&gt;"", [1]FX!D181, "")</f>
        <v>0.59750000000000003</v>
      </c>
      <c r="J182" s="56">
        <f>IF($F182&lt;&gt;"", [1]FX!E181, "")</f>
        <v>4.5385999999999997</v>
      </c>
      <c r="K182" s="56">
        <f>IF($F182&lt;&gt;"", [1]FX!F181, "")</f>
        <v>0.84470000000000001</v>
      </c>
      <c r="L182" s="56">
        <f>IF($F182&lt;&gt;"", [1]FX!G181, "")</f>
        <v>0.4955</v>
      </c>
    </row>
    <row r="183" spans="6:12" x14ac:dyDescent="0.2">
      <c r="F183" s="57">
        <f>IF([1]FX!A182&gt;1, [1]FX!A182, "")</f>
        <v>45688</v>
      </c>
      <c r="G183" s="56">
        <f>IF($F183&lt;&gt;"", [1]FX!B182, "")</f>
        <v>1</v>
      </c>
      <c r="H183" s="56">
        <f>IF($F183&lt;&gt;"", [1]FX!C182, "")</f>
        <v>0.62150000000000005</v>
      </c>
      <c r="I183" s="56">
        <f>IF($F183&lt;&gt;"", [1]FX!D182, "")</f>
        <v>0.59770000000000001</v>
      </c>
      <c r="J183" s="56">
        <f>IF($F183&lt;&gt;"", [1]FX!E182, "")</f>
        <v>4.4630000000000001</v>
      </c>
      <c r="K183" s="56">
        <f>IF($F183&lt;&gt;"", [1]FX!F182, "")</f>
        <v>0.84</v>
      </c>
      <c r="L183" s="56">
        <f>IF($F183&lt;&gt;"", [1]FX!G182, "")</f>
        <v>0.50019999999999998</v>
      </c>
    </row>
    <row r="184" spans="6:12" x14ac:dyDescent="0.2">
      <c r="F184" s="57">
        <f>IF([1]FX!A183&gt;1, [1]FX!A183, "")</f>
        <v>45716</v>
      </c>
      <c r="G184" s="56">
        <f>IF($F184&lt;&gt;"", [1]FX!B183, "")</f>
        <v>1</v>
      </c>
      <c r="H184" s="56">
        <f>IF($F184&lt;&gt;"", [1]FX!C183, "")</f>
        <v>0.62319999999999998</v>
      </c>
      <c r="I184" s="56">
        <f>IF($F184&lt;&gt;"", [1]FX!D183, "")</f>
        <v>0.59950000000000003</v>
      </c>
      <c r="J184" s="56">
        <f>IF($F184&lt;&gt;"", [1]FX!E183, "")</f>
        <v>4.5403000000000002</v>
      </c>
      <c r="K184" s="56">
        <f>IF($F184&lt;&gt;"", [1]FX!F183, "")</f>
        <v>0.84019999999999995</v>
      </c>
      <c r="L184" s="56">
        <f>IF($F184&lt;&gt;"", [1]FX!G183, "")</f>
        <v>0.49459999999999998</v>
      </c>
    </row>
    <row r="185" spans="6:12" x14ac:dyDescent="0.2">
      <c r="F185" s="57">
        <f>IF([1]FX!A184&gt;1, [1]FX!A184, "")</f>
        <v>45747</v>
      </c>
      <c r="G185" s="56">
        <f>IF($F185&lt;&gt;"", [1]FX!B184, "")</f>
        <v>1</v>
      </c>
      <c r="H185" s="56">
        <f>IF($F185&lt;&gt;"", [1]FX!C184, "")</f>
        <v>0.62819999999999998</v>
      </c>
      <c r="I185" s="56">
        <f>IF($F185&lt;&gt;"", [1]FX!D184, "")</f>
        <v>0.58040000000000003</v>
      </c>
      <c r="J185" s="56">
        <f>IF($F185&lt;&gt;"", [1]FX!E184, "")</f>
        <v>4.5625</v>
      </c>
      <c r="K185" s="56">
        <f>IF($F185&lt;&gt;"", [1]FX!F184, "")</f>
        <v>0.84499999999999997</v>
      </c>
      <c r="L185" s="56">
        <f>IF($F185&lt;&gt;"", [1]FX!G184, "")</f>
        <v>0.48549999999999999</v>
      </c>
    </row>
    <row r="186" spans="6:12" x14ac:dyDescent="0.2">
      <c r="F186" s="57">
        <f>IF([1]FX!A185&gt;1, [1]FX!A185, "")</f>
        <v>45777</v>
      </c>
      <c r="G186" s="56">
        <f>IF($F186&lt;&gt;"", [1]FX!B185, "")</f>
        <v>1</v>
      </c>
      <c r="H186" s="56">
        <f>IF($F186&lt;&gt;"", [1]FX!C185, "")</f>
        <v>0.63870000000000005</v>
      </c>
      <c r="I186" s="56">
        <f>IF($F186&lt;&gt;"", [1]FX!D185, "")</f>
        <v>0.56059999999999999</v>
      </c>
      <c r="J186" s="56">
        <f>IF($F186&lt;&gt;"", [1]FX!E185, "")</f>
        <v>4.6412000000000004</v>
      </c>
      <c r="K186" s="56">
        <f>IF($F186&lt;&gt;"", [1]FX!F185, "")</f>
        <v>0.83530000000000004</v>
      </c>
      <c r="L186" s="56">
        <f>IF($F186&lt;&gt;"", [1]FX!G185, "")</f>
        <v>0.47610000000000002</v>
      </c>
    </row>
    <row r="187" spans="6:12" x14ac:dyDescent="0.2">
      <c r="F187" s="57">
        <f>IF([1]FX!A186&gt;1, [1]FX!A186, "")</f>
        <v>45808</v>
      </c>
      <c r="G187" s="56">
        <f>IF($F187&lt;&gt;"", [1]FX!B186, "")</f>
        <v>1</v>
      </c>
      <c r="H187" s="56">
        <f>IF($F187&lt;&gt;"", [1]FX!C186, "")</f>
        <v>0.64459999999999995</v>
      </c>
      <c r="I187" s="56">
        <f>IF($F187&lt;&gt;"", [1]FX!D186, "")</f>
        <v>0.56640000000000001</v>
      </c>
      <c r="J187" s="56">
        <f>IF($F187&lt;&gt;"", [1]FX!E186, "")</f>
        <v>4.6433</v>
      </c>
      <c r="K187" s="56">
        <f>IF($F187&lt;&gt;"", [1]FX!F186, "")</f>
        <v>0.82899999999999996</v>
      </c>
      <c r="L187" s="56">
        <f>IF($F187&lt;&gt;"", [1]FX!G186, "")</f>
        <v>0.47739999999999999</v>
      </c>
    </row>
    <row r="188" spans="6:12" x14ac:dyDescent="0.2">
      <c r="F188" s="57" t="str">
        <f>IF([1]FX!A187&gt;1, [1]FX!A187, "")</f>
        <v/>
      </c>
      <c r="G188" s="56" t="str">
        <f>IF($F188&lt;&gt;"", [1]FX!B187, "")</f>
        <v/>
      </c>
      <c r="H188" s="56" t="str">
        <f>IF($F188&lt;&gt;"", [1]FX!C187, "")</f>
        <v/>
      </c>
      <c r="I188" s="56" t="str">
        <f>IF($F188&lt;&gt;"", [1]FX!D187, "")</f>
        <v/>
      </c>
      <c r="J188" s="56" t="str">
        <f>IF($F188&lt;&gt;"", [1]FX!E187, "")</f>
        <v/>
      </c>
      <c r="K188" s="56" t="str">
        <f>IF($F188&lt;&gt;"", [1]FX!F187, "")</f>
        <v/>
      </c>
      <c r="L188" s="56" t="str">
        <f>IF($F188&lt;&gt;"", [1]FX!G187, "")</f>
        <v/>
      </c>
    </row>
    <row r="189" spans="6:12" x14ac:dyDescent="0.2">
      <c r="F189" s="57" t="str">
        <f>IF([1]FX!A188&gt;1, [1]FX!A188, "")</f>
        <v/>
      </c>
      <c r="G189" s="56" t="str">
        <f>IF($F189&lt;&gt;"", [1]FX!B188, "")</f>
        <v/>
      </c>
      <c r="H189" s="56" t="str">
        <f>IF($F189&lt;&gt;"", [1]FX!C188, "")</f>
        <v/>
      </c>
      <c r="I189" s="56" t="str">
        <f>IF($F189&lt;&gt;"", [1]FX!D188, "")</f>
        <v/>
      </c>
      <c r="J189" s="56" t="str">
        <f>IF($F189&lt;&gt;"", [1]FX!E188, "")</f>
        <v/>
      </c>
      <c r="K189" s="56" t="str">
        <f>IF($F189&lt;&gt;"", [1]FX!F188, "")</f>
        <v/>
      </c>
      <c r="L189" s="56" t="str">
        <f>IF($F189&lt;&gt;"", [1]FX!G188, "")</f>
        <v/>
      </c>
    </row>
    <row r="190" spans="6:12" x14ac:dyDescent="0.2">
      <c r="F190" s="57" t="str">
        <f>IF([1]FX!A189&gt;1, [1]FX!A189, "")</f>
        <v/>
      </c>
      <c r="G190" s="56" t="str">
        <f>IF($F190&lt;&gt;"", [1]FX!B189, "")</f>
        <v/>
      </c>
      <c r="H190" s="56" t="str">
        <f>IF($F190&lt;&gt;"", [1]FX!C189, "")</f>
        <v/>
      </c>
      <c r="I190" s="56" t="str">
        <f>IF($F190&lt;&gt;"", [1]FX!D189, "")</f>
        <v/>
      </c>
      <c r="J190" s="56" t="str">
        <f>IF($F190&lt;&gt;"", [1]FX!E189, "")</f>
        <v/>
      </c>
      <c r="K190" s="56" t="str">
        <f>IF($F190&lt;&gt;"", [1]FX!F189, "")</f>
        <v/>
      </c>
      <c r="L190" s="56" t="str">
        <f>IF($F190&lt;&gt;"", [1]FX!G189, "")</f>
        <v/>
      </c>
    </row>
    <row r="191" spans="6:12" x14ac:dyDescent="0.2">
      <c r="F191" s="57" t="str">
        <f>IF([1]FX!A190&gt;1, [1]FX!A190, "")</f>
        <v/>
      </c>
      <c r="G191" s="56" t="str">
        <f>IF($F191&lt;&gt;"", [1]FX!B190, "")</f>
        <v/>
      </c>
      <c r="H191" s="56" t="str">
        <f>IF($F191&lt;&gt;"", [1]FX!C190, "")</f>
        <v/>
      </c>
      <c r="I191" s="56" t="str">
        <f>IF($F191&lt;&gt;"", [1]FX!D190, "")</f>
        <v/>
      </c>
      <c r="J191" s="56" t="str">
        <f>IF($F191&lt;&gt;"", [1]FX!E190, "")</f>
        <v/>
      </c>
      <c r="K191" s="56" t="str">
        <f>IF($F191&lt;&gt;"", [1]FX!F190, "")</f>
        <v/>
      </c>
      <c r="L191" s="56" t="str">
        <f>IF($F191&lt;&gt;"", [1]FX!G190, "")</f>
        <v/>
      </c>
    </row>
    <row r="192" spans="6:12" x14ac:dyDescent="0.2">
      <c r="F192" s="57" t="str">
        <f>IF([1]FX!A191&gt;1, [1]FX!A191, "")</f>
        <v/>
      </c>
      <c r="G192" s="56" t="str">
        <f>IF($F192&lt;&gt;"", [1]FX!B191, "")</f>
        <v/>
      </c>
      <c r="H192" s="56" t="str">
        <f>IF($F192&lt;&gt;"", [1]FX!C191, "")</f>
        <v/>
      </c>
      <c r="I192" s="56" t="str">
        <f>IF($F192&lt;&gt;"", [1]FX!D191, "")</f>
        <v/>
      </c>
      <c r="J192" s="56" t="str">
        <f>IF($F192&lt;&gt;"", [1]FX!E191, "")</f>
        <v/>
      </c>
      <c r="K192" s="56" t="str">
        <f>IF($F192&lt;&gt;"", [1]FX!F191, "")</f>
        <v/>
      </c>
      <c r="L192" s="56" t="str">
        <f>IF($F192&lt;&gt;"", [1]FX!G191, "")</f>
        <v/>
      </c>
    </row>
    <row r="193" spans="6:12" x14ac:dyDescent="0.2">
      <c r="F193" s="57" t="str">
        <f>IF([1]FX!A192&gt;1, [1]FX!A192, "")</f>
        <v/>
      </c>
      <c r="G193" s="56" t="str">
        <f>IF($F193&lt;&gt;"", [1]FX!B192, "")</f>
        <v/>
      </c>
      <c r="H193" s="56" t="str">
        <f>IF($F193&lt;&gt;"", [1]FX!C192, "")</f>
        <v/>
      </c>
      <c r="I193" s="56" t="str">
        <f>IF($F193&lt;&gt;"", [1]FX!D192, "")</f>
        <v/>
      </c>
      <c r="J193" s="56" t="str">
        <f>IF($F193&lt;&gt;"", [1]FX!E192, "")</f>
        <v/>
      </c>
      <c r="K193" s="56" t="str">
        <f>IF($F193&lt;&gt;"", [1]FX!F192, "")</f>
        <v/>
      </c>
      <c r="L193" s="56" t="str">
        <f>IF($F193&lt;&gt;"", [1]FX!G192, "")</f>
        <v/>
      </c>
    </row>
    <row r="194" spans="6:12" x14ac:dyDescent="0.2">
      <c r="F194" s="57" t="str">
        <f>IF([1]FX!A193&gt;1, [1]FX!A193, "")</f>
        <v/>
      </c>
      <c r="G194" s="56" t="str">
        <f>IF($F194&lt;&gt;"", [1]FX!B193, "")</f>
        <v/>
      </c>
      <c r="H194" s="56" t="str">
        <f>IF($F194&lt;&gt;"", [1]FX!C193, "")</f>
        <v/>
      </c>
      <c r="I194" s="56" t="str">
        <f>IF($F194&lt;&gt;"", [1]FX!D193, "")</f>
        <v/>
      </c>
      <c r="J194" s="56" t="str">
        <f>IF($F194&lt;&gt;"", [1]FX!E193, "")</f>
        <v/>
      </c>
      <c r="K194" s="56" t="str">
        <f>IF($F194&lt;&gt;"", [1]FX!F193, "")</f>
        <v/>
      </c>
      <c r="L194" s="56" t="str">
        <f>IF($F194&lt;&gt;"", [1]FX!G193, "")</f>
        <v/>
      </c>
    </row>
    <row r="195" spans="6:12" x14ac:dyDescent="0.2">
      <c r="F195" s="57" t="str">
        <f>IF([1]FX!A194&gt;1, [1]FX!A194, "")</f>
        <v/>
      </c>
      <c r="G195" s="56" t="str">
        <f>IF($F195&lt;&gt;"", [1]FX!B194, "")</f>
        <v/>
      </c>
      <c r="H195" s="56" t="str">
        <f>IF($F195&lt;&gt;"", [1]FX!C194, "")</f>
        <v/>
      </c>
      <c r="I195" s="56" t="str">
        <f>IF($F195&lt;&gt;"", [1]FX!D194, "")</f>
        <v/>
      </c>
      <c r="J195" s="56" t="str">
        <f>IF($F195&lt;&gt;"", [1]FX!E194, "")</f>
        <v/>
      </c>
      <c r="K195" s="56" t="str">
        <f>IF($F195&lt;&gt;"", [1]FX!F194, "")</f>
        <v/>
      </c>
      <c r="L195" s="56" t="str">
        <f>IF($F195&lt;&gt;"", [1]FX!G194, "")</f>
        <v/>
      </c>
    </row>
    <row r="196" spans="6:12" x14ac:dyDescent="0.2">
      <c r="F196" s="57" t="str">
        <f>IF([1]FX!A195&gt;1, [1]FX!A195, "")</f>
        <v/>
      </c>
      <c r="G196" s="56" t="str">
        <f>IF($F196&lt;&gt;"", [1]FX!B195, "")</f>
        <v/>
      </c>
      <c r="H196" s="56" t="str">
        <f>IF($F196&lt;&gt;"", [1]FX!C195, "")</f>
        <v/>
      </c>
      <c r="I196" s="56" t="str">
        <f>IF($F196&lt;&gt;"", [1]FX!D195, "")</f>
        <v/>
      </c>
      <c r="J196" s="56" t="str">
        <f>IF($F196&lt;&gt;"", [1]FX!E195, "")</f>
        <v/>
      </c>
      <c r="K196" s="56" t="str">
        <f>IF($F196&lt;&gt;"", [1]FX!F195, "")</f>
        <v/>
      </c>
      <c r="L196" s="56" t="str">
        <f>IF($F196&lt;&gt;"", [1]FX!G195, "")</f>
        <v/>
      </c>
    </row>
    <row r="197" spans="6:12" x14ac:dyDescent="0.2">
      <c r="F197" s="57" t="str">
        <f>IF([1]FX!A196&gt;1, [1]FX!A196, "")</f>
        <v/>
      </c>
      <c r="G197" s="56" t="str">
        <f>IF($F197&lt;&gt;"", [1]FX!B196, "")</f>
        <v/>
      </c>
      <c r="H197" s="56" t="str">
        <f>IF($F197&lt;&gt;"", [1]FX!C196, "")</f>
        <v/>
      </c>
      <c r="I197" s="56" t="str">
        <f>IF($F197&lt;&gt;"", [1]FX!D196, "")</f>
        <v/>
      </c>
      <c r="J197" s="56" t="str">
        <f>IF($F197&lt;&gt;"", [1]FX!E196, "")</f>
        <v/>
      </c>
      <c r="K197" s="56" t="str">
        <f>IF($F197&lt;&gt;"", [1]FX!F196, "")</f>
        <v/>
      </c>
      <c r="L197" s="56" t="str">
        <f>IF($F197&lt;&gt;"", [1]FX!G196, "")</f>
        <v/>
      </c>
    </row>
    <row r="198" spans="6:12" x14ac:dyDescent="0.2">
      <c r="F198" s="57" t="str">
        <f>IF([1]FX!A197&gt;1, [1]FX!A197, "")</f>
        <v/>
      </c>
      <c r="G198" s="56" t="str">
        <f>IF($F198&lt;&gt;"", [1]FX!B197, "")</f>
        <v/>
      </c>
      <c r="H198" s="56" t="str">
        <f>IF($F198&lt;&gt;"", [1]FX!C197, "")</f>
        <v/>
      </c>
      <c r="I198" s="56" t="str">
        <f>IF($F198&lt;&gt;"", [1]FX!D197, "")</f>
        <v/>
      </c>
      <c r="J198" s="56" t="str">
        <f>IF($F198&lt;&gt;"", [1]FX!E197, "")</f>
        <v/>
      </c>
      <c r="K198" s="56" t="str">
        <f>IF($F198&lt;&gt;"", [1]FX!F197, "")</f>
        <v/>
      </c>
      <c r="L198" s="56" t="str">
        <f>IF($F198&lt;&gt;"", [1]FX!G197, "")</f>
        <v/>
      </c>
    </row>
    <row r="199" spans="6:12" x14ac:dyDescent="0.2">
      <c r="F199" s="57" t="str">
        <f>IF([1]FX!A198&gt;1, [1]FX!A198, "")</f>
        <v/>
      </c>
      <c r="G199" s="56" t="str">
        <f>IF($F199&lt;&gt;"", [1]FX!B198, "")</f>
        <v/>
      </c>
      <c r="H199" s="56" t="str">
        <f>IF($F199&lt;&gt;"", [1]FX!C198, "")</f>
        <v/>
      </c>
      <c r="I199" s="56" t="str">
        <f>IF($F199&lt;&gt;"", [1]FX!D198, "")</f>
        <v/>
      </c>
      <c r="J199" s="56" t="str">
        <f>IF($F199&lt;&gt;"", [1]FX!E198, "")</f>
        <v/>
      </c>
      <c r="K199" s="56" t="str">
        <f>IF($F199&lt;&gt;"", [1]FX!F198, "")</f>
        <v/>
      </c>
      <c r="L199" s="56" t="str">
        <f>IF($F199&lt;&gt;"", [1]FX!G198, "")</f>
        <v/>
      </c>
    </row>
    <row r="200" spans="6:12" x14ac:dyDescent="0.2">
      <c r="F200" s="57" t="str">
        <f>IF([1]FX!A199&gt;1, [1]FX!A199, "")</f>
        <v/>
      </c>
      <c r="G200" s="56" t="str">
        <f>IF($F200&lt;&gt;"", [1]FX!B199, "")</f>
        <v/>
      </c>
      <c r="H200" s="56" t="str">
        <f>IF($F200&lt;&gt;"", [1]FX!C199, "")</f>
        <v/>
      </c>
      <c r="I200" s="56" t="str">
        <f>IF($F200&lt;&gt;"", [1]FX!D199, "")</f>
        <v/>
      </c>
      <c r="J200" s="56" t="str">
        <f>IF($F200&lt;&gt;"", [1]FX!E199, "")</f>
        <v/>
      </c>
      <c r="K200" s="56" t="str">
        <f>IF($F200&lt;&gt;"", [1]FX!F199, "")</f>
        <v/>
      </c>
      <c r="L200" s="56" t="str">
        <f>IF($F200&lt;&gt;"", [1]FX!G199, "")</f>
        <v/>
      </c>
    </row>
    <row r="201" spans="6:12" x14ac:dyDescent="0.2">
      <c r="F201" s="57" t="str">
        <f>IF([1]FX!A200&gt;1, [1]FX!A200, "")</f>
        <v/>
      </c>
      <c r="G201" s="56" t="str">
        <f>IF($F201&lt;&gt;"", [1]FX!B200, "")</f>
        <v/>
      </c>
      <c r="H201" s="56" t="str">
        <f>IF($F201&lt;&gt;"", [1]FX!C200, "")</f>
        <v/>
      </c>
      <c r="I201" s="56" t="str">
        <f>IF($F201&lt;&gt;"", [1]FX!D200, "")</f>
        <v/>
      </c>
      <c r="J201" s="56" t="str">
        <f>IF($F201&lt;&gt;"", [1]FX!E200, "")</f>
        <v/>
      </c>
      <c r="K201" s="56" t="str">
        <f>IF($F201&lt;&gt;"", [1]FX!F200, "")</f>
        <v/>
      </c>
      <c r="L201" s="56" t="str">
        <f>IF($F201&lt;&gt;"", [1]FX!G200, "")</f>
        <v/>
      </c>
    </row>
    <row r="202" spans="6:12" x14ac:dyDescent="0.2">
      <c r="F202" s="57" t="str">
        <f>IF([1]FX!A201&gt;1, [1]FX!A201, "")</f>
        <v/>
      </c>
      <c r="G202" s="56" t="str">
        <f>IF($F202&lt;&gt;"", [1]FX!B201, "")</f>
        <v/>
      </c>
      <c r="H202" s="56" t="str">
        <f>IF($F202&lt;&gt;"", [1]FX!C201, "")</f>
        <v/>
      </c>
      <c r="I202" s="56" t="str">
        <f>IF($F202&lt;&gt;"", [1]FX!D201, "")</f>
        <v/>
      </c>
      <c r="J202" s="56" t="str">
        <f>IF($F202&lt;&gt;"", [1]FX!E201, "")</f>
        <v/>
      </c>
      <c r="K202" s="56" t="str">
        <f>IF($F202&lt;&gt;"", [1]FX!F201, "")</f>
        <v/>
      </c>
      <c r="L202" s="56" t="str">
        <f>IF($F202&lt;&gt;"", [1]FX!G201, "")</f>
        <v/>
      </c>
    </row>
    <row r="203" spans="6:12" x14ac:dyDescent="0.2">
      <c r="F203" s="57" t="str">
        <f>IF([1]FX!A202&gt;1, [1]FX!A202, "")</f>
        <v/>
      </c>
      <c r="G203" s="56" t="str">
        <f>IF($F203&lt;&gt;"", [1]FX!B202, "")</f>
        <v/>
      </c>
      <c r="H203" s="56" t="str">
        <f>IF($F203&lt;&gt;"", [1]FX!C202, "")</f>
        <v/>
      </c>
      <c r="I203" s="56" t="str">
        <f>IF($F203&lt;&gt;"", [1]FX!D202, "")</f>
        <v/>
      </c>
      <c r="J203" s="56" t="str">
        <f>IF($F203&lt;&gt;"", [1]FX!E202, "")</f>
        <v/>
      </c>
      <c r="K203" s="56" t="str">
        <f>IF($F203&lt;&gt;"", [1]FX!F202, "")</f>
        <v/>
      </c>
      <c r="L203" s="56" t="str">
        <f>IF($F203&lt;&gt;"", [1]FX!G202, "")</f>
        <v/>
      </c>
    </row>
    <row r="204" spans="6:12" x14ac:dyDescent="0.2">
      <c r="F204" s="57" t="str">
        <f>IF([1]FX!A203&gt;1, [1]FX!A203, "")</f>
        <v/>
      </c>
      <c r="G204" s="56" t="str">
        <f>IF($F204&lt;&gt;"", [1]FX!B203, "")</f>
        <v/>
      </c>
      <c r="H204" s="56" t="str">
        <f>IF($F204&lt;&gt;"", [1]FX!C203, "")</f>
        <v/>
      </c>
      <c r="I204" s="56" t="str">
        <f>IF($F204&lt;&gt;"", [1]FX!D203, "")</f>
        <v/>
      </c>
      <c r="J204" s="56" t="str">
        <f>IF($F204&lt;&gt;"", [1]FX!E203, "")</f>
        <v/>
      </c>
      <c r="K204" s="56" t="str">
        <f>IF($F204&lt;&gt;"", [1]FX!F203, "")</f>
        <v/>
      </c>
      <c r="L204" s="56" t="str">
        <f>IF($F204&lt;&gt;"", [1]FX!G203, "")</f>
        <v/>
      </c>
    </row>
    <row r="205" spans="6:12" x14ac:dyDescent="0.2">
      <c r="F205" s="57" t="str">
        <f>IF([1]FX!A204&gt;1, [1]FX!A204, "")</f>
        <v/>
      </c>
      <c r="G205" s="56" t="str">
        <f>IF($F205&lt;&gt;"", [1]FX!B204, "")</f>
        <v/>
      </c>
      <c r="H205" s="56" t="str">
        <f>IF($F205&lt;&gt;"", [1]FX!C204, "")</f>
        <v/>
      </c>
      <c r="I205" s="56" t="str">
        <f>IF($F205&lt;&gt;"", [1]FX!D204, "")</f>
        <v/>
      </c>
      <c r="J205" s="56" t="str">
        <f>IF($F205&lt;&gt;"", [1]FX!E204, "")</f>
        <v/>
      </c>
      <c r="K205" s="56" t="str">
        <f>IF($F205&lt;&gt;"", [1]FX!F204, "")</f>
        <v/>
      </c>
      <c r="L205" s="56" t="str">
        <f>IF($F205&lt;&gt;"", [1]FX!G204, "")</f>
        <v/>
      </c>
    </row>
    <row r="206" spans="6:12" x14ac:dyDescent="0.2">
      <c r="F206" s="57" t="str">
        <f>IF([1]FX!A205&gt;1, [1]FX!A205, "")</f>
        <v/>
      </c>
      <c r="G206" s="56" t="str">
        <f>IF($F206&lt;&gt;"", [1]FX!B205, "")</f>
        <v/>
      </c>
      <c r="H206" s="56" t="str">
        <f>IF($F206&lt;&gt;"", [1]FX!C205, "")</f>
        <v/>
      </c>
      <c r="I206" s="56" t="str">
        <f>IF($F206&lt;&gt;"", [1]FX!D205, "")</f>
        <v/>
      </c>
      <c r="J206" s="56" t="str">
        <f>IF($F206&lt;&gt;"", [1]FX!E205, "")</f>
        <v/>
      </c>
      <c r="K206" s="56" t="str">
        <f>IF($F206&lt;&gt;"", [1]FX!F205, "")</f>
        <v/>
      </c>
      <c r="L206" s="56" t="str">
        <f>IF($F206&lt;&gt;"", [1]FX!G205, "")</f>
        <v/>
      </c>
    </row>
    <row r="207" spans="6:12" x14ac:dyDescent="0.2">
      <c r="F207" s="57" t="str">
        <f>IF([1]FX!A206&gt;1, [1]FX!A206, "")</f>
        <v/>
      </c>
      <c r="G207" s="56" t="str">
        <f>IF($F207&lt;&gt;"", [1]FX!B206, "")</f>
        <v/>
      </c>
      <c r="H207" s="56" t="str">
        <f>IF($F207&lt;&gt;"", [1]FX!C206, "")</f>
        <v/>
      </c>
      <c r="I207" s="56" t="str">
        <f>IF($F207&lt;&gt;"", [1]FX!D206, "")</f>
        <v/>
      </c>
      <c r="J207" s="56" t="str">
        <f>IF($F207&lt;&gt;"", [1]FX!E206, "")</f>
        <v/>
      </c>
      <c r="K207" s="56" t="str">
        <f>IF($F207&lt;&gt;"", [1]FX!F206, "")</f>
        <v/>
      </c>
      <c r="L207" s="56" t="str">
        <f>IF($F207&lt;&gt;"", [1]FX!G206, "")</f>
        <v/>
      </c>
    </row>
    <row r="208" spans="6:12" x14ac:dyDescent="0.2">
      <c r="F208" s="57" t="str">
        <f>IF([1]FX!A207&gt;1, [1]FX!A207, "")</f>
        <v/>
      </c>
      <c r="G208" s="56" t="str">
        <f>IF($F208&lt;&gt;"", [1]FX!B207, "")</f>
        <v/>
      </c>
      <c r="H208" s="56" t="str">
        <f>IF($F208&lt;&gt;"", [1]FX!C207, "")</f>
        <v/>
      </c>
      <c r="I208" s="56" t="str">
        <f>IF($F208&lt;&gt;"", [1]FX!D207, "")</f>
        <v/>
      </c>
      <c r="J208" s="56" t="str">
        <f>IF($F208&lt;&gt;"", [1]FX!E207, "")</f>
        <v/>
      </c>
      <c r="K208" s="56" t="str">
        <f>IF($F208&lt;&gt;"", [1]FX!F207, "")</f>
        <v/>
      </c>
      <c r="L208" s="56" t="str">
        <f>IF($F208&lt;&gt;"", [1]FX!G207, "")</f>
        <v/>
      </c>
    </row>
    <row r="209" spans="6:12" x14ac:dyDescent="0.2">
      <c r="F209" s="57" t="str">
        <f>IF([1]FX!A208&gt;1, [1]FX!A208, "")</f>
        <v/>
      </c>
      <c r="G209" s="56" t="str">
        <f>IF($F209&lt;&gt;"", [1]FX!B208, "")</f>
        <v/>
      </c>
      <c r="H209" s="56" t="str">
        <f>IF($F209&lt;&gt;"", [1]FX!C208, "")</f>
        <v/>
      </c>
      <c r="I209" s="56" t="str">
        <f>IF($F209&lt;&gt;"", [1]FX!D208, "")</f>
        <v/>
      </c>
      <c r="J209" s="56" t="str">
        <f>IF($F209&lt;&gt;"", [1]FX!E208, "")</f>
        <v/>
      </c>
      <c r="K209" s="56" t="str">
        <f>IF($F209&lt;&gt;"", [1]FX!F208, "")</f>
        <v/>
      </c>
      <c r="L209" s="56" t="str">
        <f>IF($F209&lt;&gt;"", [1]FX!G208, "")</f>
        <v/>
      </c>
    </row>
    <row r="210" spans="6:12" x14ac:dyDescent="0.2">
      <c r="F210" s="57" t="str">
        <f>IF([1]FX!A209&gt;1, [1]FX!A209, "")</f>
        <v/>
      </c>
      <c r="G210" s="56" t="str">
        <f>IF($F210&lt;&gt;"", [1]FX!B209, "")</f>
        <v/>
      </c>
      <c r="H210" s="56" t="str">
        <f>IF($F210&lt;&gt;"", [1]FX!C209, "")</f>
        <v/>
      </c>
      <c r="I210" s="56" t="str">
        <f>IF($F210&lt;&gt;"", [1]FX!D209, "")</f>
        <v/>
      </c>
      <c r="J210" s="56" t="str">
        <f>IF($F210&lt;&gt;"", [1]FX!E209, "")</f>
        <v/>
      </c>
      <c r="K210" s="56" t="str">
        <f>IF($F210&lt;&gt;"", [1]FX!F209, "")</f>
        <v/>
      </c>
      <c r="L210" s="56" t="str">
        <f>IF($F210&lt;&gt;"", [1]FX!G209, "")</f>
        <v/>
      </c>
    </row>
    <row r="211" spans="6:12" x14ac:dyDescent="0.2">
      <c r="F211" s="57" t="str">
        <f>IF([1]FX!A210&gt;1, [1]FX!A210, "")</f>
        <v/>
      </c>
      <c r="G211" s="56" t="str">
        <f>IF($F211&lt;&gt;"", [1]FX!B210, "")</f>
        <v/>
      </c>
      <c r="H211" s="56" t="str">
        <f>IF($F211&lt;&gt;"", [1]FX!C210, "")</f>
        <v/>
      </c>
      <c r="I211" s="56" t="str">
        <f>IF($F211&lt;&gt;"", [1]FX!D210, "")</f>
        <v/>
      </c>
      <c r="J211" s="56" t="str">
        <f>IF($F211&lt;&gt;"", [1]FX!E210, "")</f>
        <v/>
      </c>
      <c r="K211" s="56" t="str">
        <f>IF($F211&lt;&gt;"", [1]FX!F210, "")</f>
        <v/>
      </c>
      <c r="L211" s="56" t="str">
        <f>IF($F211&lt;&gt;"", [1]FX!G210, "")</f>
        <v/>
      </c>
    </row>
    <row r="212" spans="6:12" x14ac:dyDescent="0.2">
      <c r="F212" s="57" t="str">
        <f>IF([1]FX!A211&gt;1, [1]FX!A211, "")</f>
        <v/>
      </c>
      <c r="G212" s="56" t="str">
        <f>IF($F212&lt;&gt;"", [1]FX!B211, "")</f>
        <v/>
      </c>
      <c r="H212" s="56" t="str">
        <f>IF($F212&lt;&gt;"", [1]FX!C211, "")</f>
        <v/>
      </c>
      <c r="I212" s="56" t="str">
        <f>IF($F212&lt;&gt;"", [1]FX!D211, "")</f>
        <v/>
      </c>
      <c r="J212" s="56" t="str">
        <f>IF($F212&lt;&gt;"", [1]FX!E211, "")</f>
        <v/>
      </c>
      <c r="K212" s="56" t="str">
        <f>IF($F212&lt;&gt;"", [1]FX!F211, "")</f>
        <v/>
      </c>
      <c r="L212" s="56" t="str">
        <f>IF($F212&lt;&gt;"", [1]FX!G211, "")</f>
        <v/>
      </c>
    </row>
    <row r="213" spans="6:12" x14ac:dyDescent="0.2">
      <c r="F213" s="57" t="str">
        <f>IF([1]FX!A212&gt;1, [1]FX!A212, "")</f>
        <v/>
      </c>
      <c r="G213" s="56" t="str">
        <f>IF($F213&lt;&gt;"", [1]FX!B212, "")</f>
        <v/>
      </c>
      <c r="H213" s="56" t="str">
        <f>IF($F213&lt;&gt;"", [1]FX!C212, "")</f>
        <v/>
      </c>
      <c r="I213" s="56" t="str">
        <f>IF($F213&lt;&gt;"", [1]FX!D212, "")</f>
        <v/>
      </c>
      <c r="J213" s="56" t="str">
        <f>IF($F213&lt;&gt;"", [1]FX!E212, "")</f>
        <v/>
      </c>
      <c r="K213" s="56" t="str">
        <f>IF($F213&lt;&gt;"", [1]FX!F212, "")</f>
        <v/>
      </c>
      <c r="L213" s="56" t="str">
        <f>IF($F213&lt;&gt;"", [1]FX!G212, "")</f>
        <v/>
      </c>
    </row>
    <row r="214" spans="6:12" x14ac:dyDescent="0.2">
      <c r="F214" s="57" t="str">
        <f>IF([1]FX!A213&gt;1, [1]FX!A213, "")</f>
        <v/>
      </c>
      <c r="G214" s="56" t="str">
        <f>IF($F214&lt;&gt;"", [1]FX!B213, "")</f>
        <v/>
      </c>
      <c r="H214" s="56" t="str">
        <f>IF($F214&lt;&gt;"", [1]FX!C213, "")</f>
        <v/>
      </c>
      <c r="I214" s="56" t="str">
        <f>IF($F214&lt;&gt;"", [1]FX!D213, "")</f>
        <v/>
      </c>
      <c r="J214" s="56" t="str">
        <f>IF($F214&lt;&gt;"", [1]FX!E213, "")</f>
        <v/>
      </c>
      <c r="K214" s="56" t="str">
        <f>IF($F214&lt;&gt;"", [1]FX!F213, "")</f>
        <v/>
      </c>
      <c r="L214" s="56" t="str">
        <f>IF($F214&lt;&gt;"", [1]FX!G213, "")</f>
        <v/>
      </c>
    </row>
    <row r="215" spans="6:12" x14ac:dyDescent="0.2">
      <c r="F215" s="57" t="str">
        <f>IF([1]FX!A214&gt;1, [1]FX!A214, "")</f>
        <v/>
      </c>
      <c r="G215" s="56" t="str">
        <f>IF($F215&lt;&gt;"", [1]FX!B214, "")</f>
        <v/>
      </c>
      <c r="H215" s="56" t="str">
        <f>IF($F215&lt;&gt;"", [1]FX!C214, "")</f>
        <v/>
      </c>
      <c r="I215" s="56" t="str">
        <f>IF($F215&lt;&gt;"", [1]FX!D214, "")</f>
        <v/>
      </c>
      <c r="J215" s="56" t="str">
        <f>IF($F215&lt;&gt;"", [1]FX!E214, "")</f>
        <v/>
      </c>
      <c r="K215" s="56" t="str">
        <f>IF($F215&lt;&gt;"", [1]FX!F214, "")</f>
        <v/>
      </c>
      <c r="L215" s="56" t="str">
        <f>IF($F215&lt;&gt;"", [1]FX!G214, "")</f>
        <v/>
      </c>
    </row>
    <row r="216" spans="6:12" x14ac:dyDescent="0.2">
      <c r="F216" s="57" t="str">
        <f>IF([1]FX!A215&gt;1, [1]FX!A215, "")</f>
        <v/>
      </c>
      <c r="G216" s="56" t="str">
        <f>IF($F216&lt;&gt;"", [1]FX!B215, "")</f>
        <v/>
      </c>
      <c r="H216" s="56" t="str">
        <f>IF($F216&lt;&gt;"", [1]FX!C215, "")</f>
        <v/>
      </c>
      <c r="I216" s="56" t="str">
        <f>IF($F216&lt;&gt;"", [1]FX!D215, "")</f>
        <v/>
      </c>
      <c r="J216" s="56" t="str">
        <f>IF($F216&lt;&gt;"", [1]FX!E215, "")</f>
        <v/>
      </c>
      <c r="K216" s="56" t="str">
        <f>IF($F216&lt;&gt;"", [1]FX!F215, "")</f>
        <v/>
      </c>
      <c r="L216" s="56" t="str">
        <f>IF($F216&lt;&gt;"", [1]FX!G215, "")</f>
        <v/>
      </c>
    </row>
    <row r="217" spans="6:12" x14ac:dyDescent="0.2">
      <c r="F217" s="57" t="str">
        <f>IF([1]FX!A216&gt;1, [1]FX!A216, "")</f>
        <v/>
      </c>
      <c r="G217" s="56" t="str">
        <f>IF($F217&lt;&gt;"", [1]FX!B216, "")</f>
        <v/>
      </c>
      <c r="H217" s="56" t="str">
        <f>IF($F217&lt;&gt;"", [1]FX!C216, "")</f>
        <v/>
      </c>
      <c r="I217" s="56" t="str">
        <f>IF($F217&lt;&gt;"", [1]FX!D216, "")</f>
        <v/>
      </c>
      <c r="J217" s="56" t="str">
        <f>IF($F217&lt;&gt;"", [1]FX!E216, "")</f>
        <v/>
      </c>
      <c r="K217" s="56" t="str">
        <f>IF($F217&lt;&gt;"", [1]FX!F216, "")</f>
        <v/>
      </c>
      <c r="L217" s="56" t="str">
        <f>IF($F217&lt;&gt;"", [1]FX!G216, "")</f>
        <v/>
      </c>
    </row>
    <row r="218" spans="6:12" x14ac:dyDescent="0.2">
      <c r="F218" s="57" t="str">
        <f>IF([1]FX!A217&gt;1, [1]FX!A217, "")</f>
        <v/>
      </c>
      <c r="G218" s="56" t="str">
        <f>IF($F218&lt;&gt;"", [1]FX!B217, "")</f>
        <v/>
      </c>
      <c r="H218" s="56" t="str">
        <f>IF($F218&lt;&gt;"", [1]FX!C217, "")</f>
        <v/>
      </c>
      <c r="I218" s="56" t="str">
        <f>IF($F218&lt;&gt;"", [1]FX!D217, "")</f>
        <v/>
      </c>
      <c r="J218" s="56" t="str">
        <f>IF($F218&lt;&gt;"", [1]FX!E217, "")</f>
        <v/>
      </c>
      <c r="K218" s="56" t="str">
        <f>IF($F218&lt;&gt;"", [1]FX!F217, "")</f>
        <v/>
      </c>
      <c r="L218" s="56" t="str">
        <f>IF($F218&lt;&gt;"", [1]FX!G217, "")</f>
        <v/>
      </c>
    </row>
    <row r="219" spans="6:12" x14ac:dyDescent="0.2">
      <c r="F219" s="57" t="str">
        <f>IF([1]FX!A218&gt;1, [1]FX!A218, "")</f>
        <v/>
      </c>
      <c r="G219" s="56" t="str">
        <f>IF($F219&lt;&gt;"", [1]FX!B218, "")</f>
        <v/>
      </c>
      <c r="H219" s="56" t="str">
        <f>IF($F219&lt;&gt;"", [1]FX!C218, "")</f>
        <v/>
      </c>
      <c r="I219" s="56" t="str">
        <f>IF($F219&lt;&gt;"", [1]FX!D218, "")</f>
        <v/>
      </c>
      <c r="J219" s="56" t="str">
        <f>IF($F219&lt;&gt;"", [1]FX!E218, "")</f>
        <v/>
      </c>
      <c r="K219" s="56" t="str">
        <f>IF($F219&lt;&gt;"", [1]FX!F218, "")</f>
        <v/>
      </c>
      <c r="L219" s="56" t="str">
        <f>IF($F219&lt;&gt;"", [1]FX!G218, "")</f>
        <v/>
      </c>
    </row>
    <row r="220" spans="6:12" x14ac:dyDescent="0.2">
      <c r="F220" s="57" t="str">
        <f>IF([1]FX!A219&gt;1, [1]FX!A219, "")</f>
        <v/>
      </c>
      <c r="G220" s="56" t="str">
        <f>IF($F220&lt;&gt;"", [1]FX!B219, "")</f>
        <v/>
      </c>
      <c r="H220" s="56" t="str">
        <f>IF($F220&lt;&gt;"", [1]FX!C219, "")</f>
        <v/>
      </c>
      <c r="I220" s="56" t="str">
        <f>IF($F220&lt;&gt;"", [1]FX!D219, "")</f>
        <v/>
      </c>
      <c r="J220" s="56" t="str">
        <f>IF($F220&lt;&gt;"", [1]FX!E219, "")</f>
        <v/>
      </c>
      <c r="K220" s="56" t="str">
        <f>IF($F220&lt;&gt;"", [1]FX!F219, "")</f>
        <v/>
      </c>
      <c r="L220" s="56" t="str">
        <f>IF($F220&lt;&gt;"", [1]FX!G219, "")</f>
        <v/>
      </c>
    </row>
    <row r="221" spans="6:12" x14ac:dyDescent="0.2">
      <c r="F221" s="57" t="str">
        <f>IF([1]FX!A220&gt;1, [1]FX!A220, "")</f>
        <v/>
      </c>
      <c r="G221" s="56" t="str">
        <f>IF($F221&lt;&gt;"", [1]FX!B220, "")</f>
        <v/>
      </c>
      <c r="H221" s="56" t="str">
        <f>IF($F221&lt;&gt;"", [1]FX!C220, "")</f>
        <v/>
      </c>
      <c r="I221" s="56" t="str">
        <f>IF($F221&lt;&gt;"", [1]FX!D220, "")</f>
        <v/>
      </c>
      <c r="J221" s="56" t="str">
        <f>IF($F221&lt;&gt;"", [1]FX!E220, "")</f>
        <v/>
      </c>
      <c r="K221" s="56" t="str">
        <f>IF($F221&lt;&gt;"", [1]FX!F220, "")</f>
        <v/>
      </c>
      <c r="L221" s="56" t="str">
        <f>IF($F221&lt;&gt;"", [1]FX!G220, "")</f>
        <v/>
      </c>
    </row>
    <row r="222" spans="6:12" x14ac:dyDescent="0.2">
      <c r="F222" s="57" t="str">
        <f>IF([1]FX!A221&gt;1, [1]FX!A221, "")</f>
        <v/>
      </c>
      <c r="G222" s="56" t="str">
        <f>IF($F222&lt;&gt;"", [1]FX!B221, "")</f>
        <v/>
      </c>
      <c r="H222" s="56" t="str">
        <f>IF($F222&lt;&gt;"", [1]FX!C221, "")</f>
        <v/>
      </c>
      <c r="I222" s="56" t="str">
        <f>IF($F222&lt;&gt;"", [1]FX!D221, "")</f>
        <v/>
      </c>
      <c r="J222" s="56" t="str">
        <f>IF($F222&lt;&gt;"", [1]FX!E221, "")</f>
        <v/>
      </c>
      <c r="K222" s="56" t="str">
        <f>IF($F222&lt;&gt;"", [1]FX!F221, "")</f>
        <v/>
      </c>
      <c r="L222" s="56" t="str">
        <f>IF($F222&lt;&gt;"", [1]FX!G221, "")</f>
        <v/>
      </c>
    </row>
    <row r="223" spans="6:12" x14ac:dyDescent="0.2">
      <c r="F223" s="57" t="str">
        <f>IF([1]FX!A222&gt;1, [1]FX!A222, "")</f>
        <v/>
      </c>
      <c r="G223" s="56" t="str">
        <f>IF($F223&lt;&gt;"", [1]FX!B222, "")</f>
        <v/>
      </c>
      <c r="H223" s="56" t="str">
        <f>IF($F223&lt;&gt;"", [1]FX!C222, "")</f>
        <v/>
      </c>
      <c r="I223" s="56" t="str">
        <f>IF($F223&lt;&gt;"", [1]FX!D222, "")</f>
        <v/>
      </c>
      <c r="J223" s="56" t="str">
        <f>IF($F223&lt;&gt;"", [1]FX!E222, "")</f>
        <v/>
      </c>
      <c r="K223" s="56" t="str">
        <f>IF($F223&lt;&gt;"", [1]FX!F222, "")</f>
        <v/>
      </c>
      <c r="L223" s="56" t="str">
        <f>IF($F223&lt;&gt;"", [1]FX!G222, "")</f>
        <v/>
      </c>
    </row>
    <row r="224" spans="6:12" x14ac:dyDescent="0.2">
      <c r="F224" s="57" t="str">
        <f>IF([1]FX!A223&gt;1, [1]FX!A223, "")</f>
        <v/>
      </c>
      <c r="G224" s="56" t="str">
        <f>IF($F224&lt;&gt;"", [1]FX!B223, "")</f>
        <v/>
      </c>
      <c r="H224" s="56" t="str">
        <f>IF($F224&lt;&gt;"", [1]FX!C223, "")</f>
        <v/>
      </c>
      <c r="I224" s="56" t="str">
        <f>IF($F224&lt;&gt;"", [1]FX!D223, "")</f>
        <v/>
      </c>
      <c r="J224" s="56" t="str">
        <f>IF($F224&lt;&gt;"", [1]FX!E223, "")</f>
        <v/>
      </c>
      <c r="K224" s="56" t="str">
        <f>IF($F224&lt;&gt;"", [1]FX!F223, "")</f>
        <v/>
      </c>
      <c r="L224" s="56" t="str">
        <f>IF($F224&lt;&gt;"", [1]FX!G223, "")</f>
        <v/>
      </c>
    </row>
    <row r="225" spans="6:12" x14ac:dyDescent="0.2">
      <c r="F225" s="57" t="str">
        <f>IF([1]FX!A224&gt;1, [1]FX!A224, "")</f>
        <v/>
      </c>
      <c r="G225" s="56" t="str">
        <f>IF($F225&lt;&gt;"", [1]FX!B224, "")</f>
        <v/>
      </c>
      <c r="H225" s="56" t="str">
        <f>IF($F225&lt;&gt;"", [1]FX!C224, "")</f>
        <v/>
      </c>
      <c r="I225" s="56" t="str">
        <f>IF($F225&lt;&gt;"", [1]FX!D224, "")</f>
        <v/>
      </c>
      <c r="J225" s="56" t="str">
        <f>IF($F225&lt;&gt;"", [1]FX!E224, "")</f>
        <v/>
      </c>
      <c r="K225" s="56" t="str">
        <f>IF($F225&lt;&gt;"", [1]FX!F224, "")</f>
        <v/>
      </c>
      <c r="L225" s="56" t="str">
        <f>IF($F225&lt;&gt;"", [1]FX!G224, "")</f>
        <v/>
      </c>
    </row>
    <row r="226" spans="6:12" x14ac:dyDescent="0.2">
      <c r="F226" s="57" t="str">
        <f>IF([1]FX!A225&gt;1, [1]FX!A225, "")</f>
        <v/>
      </c>
      <c r="G226" s="56" t="str">
        <f>IF($F226&lt;&gt;"", [1]FX!B225, "")</f>
        <v/>
      </c>
      <c r="H226" s="56" t="str">
        <f>IF($F226&lt;&gt;"", [1]FX!C225, "")</f>
        <v/>
      </c>
      <c r="I226" s="56" t="str">
        <f>IF($F226&lt;&gt;"", [1]FX!D225, "")</f>
        <v/>
      </c>
      <c r="J226" s="56" t="str">
        <f>IF($F226&lt;&gt;"", [1]FX!E225, "")</f>
        <v/>
      </c>
      <c r="K226" s="56" t="str">
        <f>IF($F226&lt;&gt;"", [1]FX!F225, "")</f>
        <v/>
      </c>
      <c r="L226" s="56" t="str">
        <f>IF($F226&lt;&gt;"", [1]FX!G225, "")</f>
        <v/>
      </c>
    </row>
    <row r="227" spans="6:12" x14ac:dyDescent="0.2">
      <c r="F227" s="57" t="str">
        <f>IF([1]FX!A226&gt;1, [1]FX!A226, "")</f>
        <v/>
      </c>
      <c r="G227" s="56" t="str">
        <f>IF($F227&lt;&gt;"", [1]FX!B226, "")</f>
        <v/>
      </c>
      <c r="H227" s="56" t="str">
        <f>IF($F227&lt;&gt;"", [1]FX!C226, "")</f>
        <v/>
      </c>
      <c r="I227" s="56" t="str">
        <f>IF($F227&lt;&gt;"", [1]FX!D226, "")</f>
        <v/>
      </c>
      <c r="J227" s="56" t="str">
        <f>IF($F227&lt;&gt;"", [1]FX!E226, "")</f>
        <v/>
      </c>
      <c r="K227" s="56" t="str">
        <f>IF($F227&lt;&gt;"", [1]FX!F226, "")</f>
        <v/>
      </c>
      <c r="L227" s="56" t="str">
        <f>IF($F227&lt;&gt;"", [1]FX!G226, "")</f>
        <v/>
      </c>
    </row>
    <row r="228" spans="6:12" x14ac:dyDescent="0.2">
      <c r="F228" s="57" t="str">
        <f>IF([1]FX!A227&gt;1, [1]FX!A227, "")</f>
        <v/>
      </c>
      <c r="G228" s="56" t="str">
        <f>IF($F228&lt;&gt;"", [1]FX!B227, "")</f>
        <v/>
      </c>
      <c r="H228" s="56" t="str">
        <f>IF($F228&lt;&gt;"", [1]FX!C227, "")</f>
        <v/>
      </c>
      <c r="I228" s="56" t="str">
        <f>IF($F228&lt;&gt;"", [1]FX!D227, "")</f>
        <v/>
      </c>
      <c r="J228" s="56" t="str">
        <f>IF($F228&lt;&gt;"", [1]FX!E227, "")</f>
        <v/>
      </c>
      <c r="K228" s="56" t="str">
        <f>IF($F228&lt;&gt;"", [1]FX!F227, "")</f>
        <v/>
      </c>
      <c r="L228" s="56" t="str">
        <f>IF($F228&lt;&gt;"", [1]FX!G227, "")</f>
        <v/>
      </c>
    </row>
    <row r="229" spans="6:12" x14ac:dyDescent="0.2">
      <c r="F229" s="57" t="str">
        <f>IF([1]FX!A228&gt;1, [1]FX!A228, "")</f>
        <v/>
      </c>
      <c r="G229" s="56" t="str">
        <f>IF($F229&lt;&gt;"", [1]FX!B228, "")</f>
        <v/>
      </c>
      <c r="H229" s="56" t="str">
        <f>IF($F229&lt;&gt;"", [1]FX!C228, "")</f>
        <v/>
      </c>
      <c r="I229" s="56" t="str">
        <f>IF($F229&lt;&gt;"", [1]FX!D228, "")</f>
        <v/>
      </c>
      <c r="J229" s="56" t="str">
        <f>IF($F229&lt;&gt;"", [1]FX!E228, "")</f>
        <v/>
      </c>
      <c r="K229" s="56" t="str">
        <f>IF($F229&lt;&gt;"", [1]FX!F228, "")</f>
        <v/>
      </c>
      <c r="L229" s="56" t="str">
        <f>IF($F229&lt;&gt;"", [1]FX!G228, "")</f>
        <v/>
      </c>
    </row>
    <row r="230" spans="6:12" x14ac:dyDescent="0.2">
      <c r="F230" s="57" t="str">
        <f>IF([1]FX!A229&gt;1, [1]FX!A229, "")</f>
        <v/>
      </c>
      <c r="G230" s="56" t="str">
        <f>IF($F230&lt;&gt;"", [1]FX!B229, "")</f>
        <v/>
      </c>
      <c r="H230" s="56" t="str">
        <f>IF($F230&lt;&gt;"", [1]FX!C229, "")</f>
        <v/>
      </c>
      <c r="I230" s="56" t="str">
        <f>IF($F230&lt;&gt;"", [1]FX!D229, "")</f>
        <v/>
      </c>
      <c r="J230" s="56" t="str">
        <f>IF($F230&lt;&gt;"", [1]FX!E229, "")</f>
        <v/>
      </c>
      <c r="K230" s="56" t="str">
        <f>IF($F230&lt;&gt;"", [1]FX!F229, "")</f>
        <v/>
      </c>
      <c r="L230" s="56" t="str">
        <f>IF($F230&lt;&gt;"", [1]FX!G229, "")</f>
        <v/>
      </c>
    </row>
    <row r="231" spans="6:12" x14ac:dyDescent="0.2">
      <c r="F231" s="57" t="str">
        <f>IF([1]FX!A230&gt;1, [1]FX!A230, "")</f>
        <v/>
      </c>
      <c r="G231" s="56" t="str">
        <f>IF($F231&lt;&gt;"", [1]FX!B230, "")</f>
        <v/>
      </c>
      <c r="H231" s="56" t="str">
        <f>IF($F231&lt;&gt;"", [1]FX!C230, "")</f>
        <v/>
      </c>
      <c r="I231" s="56" t="str">
        <f>IF($F231&lt;&gt;"", [1]FX!D230, "")</f>
        <v/>
      </c>
      <c r="J231" s="56" t="str">
        <f>IF($F231&lt;&gt;"", [1]FX!E230, "")</f>
        <v/>
      </c>
      <c r="K231" s="56" t="str">
        <f>IF($F231&lt;&gt;"", [1]FX!F230, "")</f>
        <v/>
      </c>
      <c r="L231" s="56" t="str">
        <f>IF($F231&lt;&gt;"", [1]FX!G230, "")</f>
        <v/>
      </c>
    </row>
    <row r="232" spans="6:12" x14ac:dyDescent="0.2">
      <c r="F232" s="57" t="str">
        <f>IF([1]FX!A231&gt;1, [1]FX!A231, "")</f>
        <v/>
      </c>
      <c r="G232" s="56" t="str">
        <f>IF($F232&lt;&gt;"", [1]FX!B231, "")</f>
        <v/>
      </c>
      <c r="H232" s="56" t="str">
        <f>IF($F232&lt;&gt;"", [1]FX!C231, "")</f>
        <v/>
      </c>
      <c r="I232" s="56" t="str">
        <f>IF($F232&lt;&gt;"", [1]FX!D231, "")</f>
        <v/>
      </c>
      <c r="J232" s="56" t="str">
        <f>IF($F232&lt;&gt;"", [1]FX!E231, "")</f>
        <v/>
      </c>
      <c r="K232" s="56" t="str">
        <f>IF($F232&lt;&gt;"", [1]FX!F231, "")</f>
        <v/>
      </c>
      <c r="L232" s="56" t="str">
        <f>IF($F232&lt;&gt;"", [1]FX!G231, "")</f>
        <v/>
      </c>
    </row>
    <row r="233" spans="6:12" x14ac:dyDescent="0.2">
      <c r="F233" s="57" t="str">
        <f>IF([1]FX!A232&gt;1, [1]FX!A232, "")</f>
        <v/>
      </c>
      <c r="G233" s="56" t="str">
        <f>IF($F233&lt;&gt;"", [1]FX!B232, "")</f>
        <v/>
      </c>
      <c r="H233" s="56" t="str">
        <f>IF($F233&lt;&gt;"", [1]FX!C232, "")</f>
        <v/>
      </c>
      <c r="I233" s="56" t="str">
        <f>IF($F233&lt;&gt;"", [1]FX!D232, "")</f>
        <v/>
      </c>
      <c r="J233" s="56" t="str">
        <f>IF($F233&lt;&gt;"", [1]FX!E232, "")</f>
        <v/>
      </c>
      <c r="K233" s="56" t="str">
        <f>IF($F233&lt;&gt;"", [1]FX!F232, "")</f>
        <v/>
      </c>
      <c r="L233" s="56" t="str">
        <f>IF($F233&lt;&gt;"", [1]FX!G232, "")</f>
        <v/>
      </c>
    </row>
    <row r="234" spans="6:12" x14ac:dyDescent="0.2">
      <c r="F234" s="57" t="str">
        <f>IF([1]FX!A233&gt;1, [1]FX!A233, "")</f>
        <v/>
      </c>
      <c r="G234" s="56" t="str">
        <f>IF($F234&lt;&gt;"", [1]FX!B233, "")</f>
        <v/>
      </c>
      <c r="H234" s="56" t="str">
        <f>IF($F234&lt;&gt;"", [1]FX!C233, "")</f>
        <v/>
      </c>
      <c r="I234" s="56" t="str">
        <f>IF($F234&lt;&gt;"", [1]FX!D233, "")</f>
        <v/>
      </c>
      <c r="J234" s="56" t="str">
        <f>IF($F234&lt;&gt;"", [1]FX!E233, "")</f>
        <v/>
      </c>
      <c r="K234" s="56" t="str">
        <f>IF($F234&lt;&gt;"", [1]FX!F233, "")</f>
        <v/>
      </c>
      <c r="L234" s="56" t="str">
        <f>IF($F234&lt;&gt;"", [1]FX!G233, "")</f>
        <v/>
      </c>
    </row>
    <row r="235" spans="6:12" x14ac:dyDescent="0.2">
      <c r="F235" s="57" t="str">
        <f>IF([1]FX!A234&gt;1, [1]FX!A234, "")</f>
        <v/>
      </c>
      <c r="G235" s="56" t="str">
        <f>IF($F235&lt;&gt;"", [1]FX!B234, "")</f>
        <v/>
      </c>
      <c r="H235" s="56" t="str">
        <f>IF($F235&lt;&gt;"", [1]FX!C234, "")</f>
        <v/>
      </c>
      <c r="I235" s="56" t="str">
        <f>IF($F235&lt;&gt;"", [1]FX!D234, "")</f>
        <v/>
      </c>
      <c r="J235" s="56" t="str">
        <f>IF($F235&lt;&gt;"", [1]FX!E234, "")</f>
        <v/>
      </c>
      <c r="K235" s="56" t="str">
        <f>IF($F235&lt;&gt;"", [1]FX!F234, "")</f>
        <v/>
      </c>
      <c r="L235" s="56" t="str">
        <f>IF($F235&lt;&gt;"", [1]FX!G234, "")</f>
        <v/>
      </c>
    </row>
    <row r="236" spans="6:12" x14ac:dyDescent="0.2">
      <c r="F236" s="57" t="str">
        <f>IF([1]FX!A235&gt;1, [1]FX!A235, "")</f>
        <v/>
      </c>
      <c r="G236" s="56" t="str">
        <f>IF($F236&lt;&gt;"", [1]FX!B235, "")</f>
        <v/>
      </c>
      <c r="H236" s="56" t="str">
        <f>IF($F236&lt;&gt;"", [1]FX!C235, "")</f>
        <v/>
      </c>
      <c r="I236" s="56" t="str">
        <f>IF($F236&lt;&gt;"", [1]FX!D235, "")</f>
        <v/>
      </c>
      <c r="J236" s="56" t="str">
        <f>IF($F236&lt;&gt;"", [1]FX!E235, "")</f>
        <v/>
      </c>
      <c r="K236" s="56" t="str">
        <f>IF($F236&lt;&gt;"", [1]FX!F235, "")</f>
        <v/>
      </c>
      <c r="L236" s="56" t="str">
        <f>IF($F236&lt;&gt;"", [1]FX!G235, "")</f>
        <v/>
      </c>
    </row>
    <row r="237" spans="6:12" x14ac:dyDescent="0.2">
      <c r="F237" s="57" t="str">
        <f>IF([1]FX!A236&gt;1, [1]FX!A236, "")</f>
        <v/>
      </c>
      <c r="G237" s="56" t="str">
        <f>IF($F237&lt;&gt;"", [1]FX!B236, "")</f>
        <v/>
      </c>
      <c r="H237" s="56" t="str">
        <f>IF($F237&lt;&gt;"", [1]FX!C236, "")</f>
        <v/>
      </c>
      <c r="I237" s="56" t="str">
        <f>IF($F237&lt;&gt;"", [1]FX!D236, "")</f>
        <v/>
      </c>
      <c r="J237" s="56" t="str">
        <f>IF($F237&lt;&gt;"", [1]FX!E236, "")</f>
        <v/>
      </c>
      <c r="K237" s="56" t="str">
        <f>IF($F237&lt;&gt;"", [1]FX!F236, "")</f>
        <v/>
      </c>
      <c r="L237" s="56" t="str">
        <f>IF($F237&lt;&gt;"", [1]FX!G236, "")</f>
        <v/>
      </c>
    </row>
    <row r="238" spans="6:12" x14ac:dyDescent="0.2">
      <c r="F238" s="57" t="str">
        <f>IF([1]FX!A237&gt;1, [1]FX!A237, "")</f>
        <v/>
      </c>
      <c r="G238" s="56" t="str">
        <f>IF($F238&lt;&gt;"", [1]FX!B237, "")</f>
        <v/>
      </c>
      <c r="H238" s="56" t="str">
        <f>IF($F238&lt;&gt;"", [1]FX!C237, "")</f>
        <v/>
      </c>
      <c r="I238" s="56" t="str">
        <f>IF($F238&lt;&gt;"", [1]FX!D237, "")</f>
        <v/>
      </c>
      <c r="J238" s="56" t="str">
        <f>IF($F238&lt;&gt;"", [1]FX!E237, "")</f>
        <v/>
      </c>
      <c r="K238" s="56" t="str">
        <f>IF($F238&lt;&gt;"", [1]FX!F237, "")</f>
        <v/>
      </c>
      <c r="L238" s="56" t="str">
        <f>IF($F238&lt;&gt;"", [1]FX!G237, "")</f>
        <v/>
      </c>
    </row>
    <row r="239" spans="6:12" x14ac:dyDescent="0.2">
      <c r="F239" s="57" t="str">
        <f>IF([1]FX!A238&gt;1, [1]FX!A238, "")</f>
        <v/>
      </c>
      <c r="G239" s="56" t="str">
        <f>IF($F239&lt;&gt;"", [1]FX!B238, "")</f>
        <v/>
      </c>
      <c r="H239" s="56" t="str">
        <f>IF($F239&lt;&gt;"", [1]FX!C238, "")</f>
        <v/>
      </c>
      <c r="I239" s="56" t="str">
        <f>IF($F239&lt;&gt;"", [1]FX!D238, "")</f>
        <v/>
      </c>
      <c r="J239" s="56" t="str">
        <f>IF($F239&lt;&gt;"", [1]FX!E238, "")</f>
        <v/>
      </c>
      <c r="K239" s="56" t="str">
        <f>IF($F239&lt;&gt;"", [1]FX!F238, "")</f>
        <v/>
      </c>
      <c r="L239" s="56" t="str">
        <f>IF($F239&lt;&gt;"", [1]FX!G238, "")</f>
        <v/>
      </c>
    </row>
    <row r="240" spans="6:12" x14ac:dyDescent="0.2">
      <c r="F240" s="57" t="str">
        <f>IF([1]FX!A239&gt;1, [1]FX!A239, "")</f>
        <v/>
      </c>
      <c r="G240" s="56" t="str">
        <f>IF($F240&lt;&gt;"", [1]FX!B239, "")</f>
        <v/>
      </c>
      <c r="H240" s="56" t="str">
        <f>IF($F240&lt;&gt;"", [1]FX!C239, "")</f>
        <v/>
      </c>
      <c r="I240" s="56" t="str">
        <f>IF($F240&lt;&gt;"", [1]FX!D239, "")</f>
        <v/>
      </c>
      <c r="J240" s="56" t="str">
        <f>IF($F240&lt;&gt;"", [1]FX!E239, "")</f>
        <v/>
      </c>
      <c r="K240" s="56" t="str">
        <f>IF($F240&lt;&gt;"", [1]FX!F239, "")</f>
        <v/>
      </c>
      <c r="L240" s="56" t="str">
        <f>IF($F240&lt;&gt;"", [1]FX!G239, "")</f>
        <v/>
      </c>
    </row>
    <row r="241" spans="6:12" x14ac:dyDescent="0.2">
      <c r="F241" s="57" t="str">
        <f>IF([1]FX!A240&gt;1, [1]FX!A240, "")</f>
        <v/>
      </c>
      <c r="G241" s="56" t="str">
        <f>IF($F241&lt;&gt;"", [1]FX!B240, "")</f>
        <v/>
      </c>
      <c r="H241" s="56" t="str">
        <f>IF($F241&lt;&gt;"", [1]FX!C240, "")</f>
        <v/>
      </c>
      <c r="I241" s="56" t="str">
        <f>IF($F241&lt;&gt;"", [1]FX!D240, "")</f>
        <v/>
      </c>
      <c r="J241" s="56" t="str">
        <f>IF($F241&lt;&gt;"", [1]FX!E240, "")</f>
        <v/>
      </c>
      <c r="K241" s="56" t="str">
        <f>IF($F241&lt;&gt;"", [1]FX!F240, "")</f>
        <v/>
      </c>
      <c r="L241" s="56" t="str">
        <f>IF($F241&lt;&gt;"", [1]FX!G240, "")</f>
        <v/>
      </c>
    </row>
    <row r="242" spans="6:12" x14ac:dyDescent="0.2">
      <c r="F242" s="57" t="str">
        <f>IF([1]FX!A241&gt;1, [1]FX!A241, "")</f>
        <v/>
      </c>
      <c r="G242" s="56" t="str">
        <f>IF($F242&lt;&gt;"", [1]FX!B241, "")</f>
        <v/>
      </c>
      <c r="H242" s="56" t="str">
        <f>IF($F242&lt;&gt;"", [1]FX!C241, "")</f>
        <v/>
      </c>
      <c r="I242" s="56" t="str">
        <f>IF($F242&lt;&gt;"", [1]FX!D241, "")</f>
        <v/>
      </c>
      <c r="J242" s="56" t="str">
        <f>IF($F242&lt;&gt;"", [1]FX!E241, "")</f>
        <v/>
      </c>
      <c r="K242" s="56" t="str">
        <f>IF($F242&lt;&gt;"", [1]FX!F241, "")</f>
        <v/>
      </c>
      <c r="L242" s="56" t="str">
        <f>IF($F242&lt;&gt;"", [1]FX!G241, "")</f>
        <v/>
      </c>
    </row>
    <row r="243" spans="6:12" x14ac:dyDescent="0.2">
      <c r="F243" s="57" t="str">
        <f>IF([1]FX!A242&gt;1, [1]FX!A242, "")</f>
        <v/>
      </c>
      <c r="G243" s="56" t="str">
        <f>IF($F243&lt;&gt;"", [1]FX!B242, "")</f>
        <v/>
      </c>
      <c r="H243" s="56" t="str">
        <f>IF($F243&lt;&gt;"", [1]FX!C242, "")</f>
        <v/>
      </c>
      <c r="I243" s="56" t="str">
        <f>IF($F243&lt;&gt;"", [1]FX!D242, "")</f>
        <v/>
      </c>
      <c r="J243" s="56" t="str">
        <f>IF($F243&lt;&gt;"", [1]FX!E242, "")</f>
        <v/>
      </c>
      <c r="K243" s="56" t="str">
        <f>IF($F243&lt;&gt;"", [1]FX!F242, "")</f>
        <v/>
      </c>
      <c r="L243" s="56" t="str">
        <f>IF($F243&lt;&gt;"", [1]FX!G242, "")</f>
        <v/>
      </c>
    </row>
    <row r="244" spans="6:12" x14ac:dyDescent="0.2">
      <c r="F244" s="57" t="str">
        <f>IF([1]FX!A243&gt;1, [1]FX!A243, "")</f>
        <v/>
      </c>
      <c r="G244" s="56" t="str">
        <f>IF($F244&lt;&gt;"", [1]FX!B243, "")</f>
        <v/>
      </c>
      <c r="H244" s="56" t="str">
        <f>IF($F244&lt;&gt;"", [1]FX!C243, "")</f>
        <v/>
      </c>
      <c r="I244" s="56" t="str">
        <f>IF($F244&lt;&gt;"", [1]FX!D243, "")</f>
        <v/>
      </c>
      <c r="J244" s="56" t="str">
        <f>IF($F244&lt;&gt;"", [1]FX!E243, "")</f>
        <v/>
      </c>
      <c r="K244" s="56" t="str">
        <f>IF($F244&lt;&gt;"", [1]FX!F243, "")</f>
        <v/>
      </c>
      <c r="L244" s="56" t="str">
        <f>IF($F244&lt;&gt;"", [1]FX!G243, "")</f>
        <v/>
      </c>
    </row>
    <row r="245" spans="6:12" x14ac:dyDescent="0.2">
      <c r="F245" s="57" t="str">
        <f>IF([1]FX!A244&gt;1, [1]FX!A244, "")</f>
        <v/>
      </c>
      <c r="G245" s="56" t="str">
        <f>IF($F245&lt;&gt;"", [1]FX!B244, "")</f>
        <v/>
      </c>
      <c r="H245" s="56" t="str">
        <f>IF($F245&lt;&gt;"", [1]FX!C244, "")</f>
        <v/>
      </c>
      <c r="I245" s="56" t="str">
        <f>IF($F245&lt;&gt;"", [1]FX!D244, "")</f>
        <v/>
      </c>
      <c r="J245" s="56" t="str">
        <f>IF($F245&lt;&gt;"", [1]FX!E244, "")</f>
        <v/>
      </c>
      <c r="K245" s="56" t="str">
        <f>IF($F245&lt;&gt;"", [1]FX!F244, "")</f>
        <v/>
      </c>
      <c r="L245" s="56" t="str">
        <f>IF($F245&lt;&gt;"", [1]FX!G244, "")</f>
        <v/>
      </c>
    </row>
    <row r="246" spans="6:12" x14ac:dyDescent="0.2">
      <c r="F246" s="57" t="str">
        <f>IF([1]FX!A245&gt;1, [1]FX!A245, "")</f>
        <v/>
      </c>
      <c r="G246" s="56" t="str">
        <f>IF($F246&lt;&gt;"", [1]FX!B245, "")</f>
        <v/>
      </c>
      <c r="H246" s="56" t="str">
        <f>IF($F246&lt;&gt;"", [1]FX!C245, "")</f>
        <v/>
      </c>
      <c r="I246" s="56" t="str">
        <f>IF($F246&lt;&gt;"", [1]FX!D245, "")</f>
        <v/>
      </c>
      <c r="J246" s="56" t="str">
        <f>IF($F246&lt;&gt;"", [1]FX!E245, "")</f>
        <v/>
      </c>
      <c r="K246" s="56" t="str">
        <f>IF($F246&lt;&gt;"", [1]FX!F245, "")</f>
        <v/>
      </c>
      <c r="L246" s="56" t="str">
        <f>IF($F246&lt;&gt;"", [1]FX!G245, "")</f>
        <v/>
      </c>
    </row>
    <row r="247" spans="6:12" x14ac:dyDescent="0.2">
      <c r="F247" s="57" t="str">
        <f>IF([1]FX!A246&gt;1, [1]FX!A246, "")</f>
        <v/>
      </c>
      <c r="G247" s="56" t="str">
        <f>IF($F247&lt;&gt;"", [1]FX!B246, "")</f>
        <v/>
      </c>
      <c r="H247" s="56" t="str">
        <f>IF($F247&lt;&gt;"", [1]FX!C246, "")</f>
        <v/>
      </c>
      <c r="I247" s="56" t="str">
        <f>IF($F247&lt;&gt;"", [1]FX!D246, "")</f>
        <v/>
      </c>
      <c r="J247" s="56" t="str">
        <f>IF($F247&lt;&gt;"", [1]FX!E246, "")</f>
        <v/>
      </c>
      <c r="K247" s="56" t="str">
        <f>IF($F247&lt;&gt;"", [1]FX!F246, "")</f>
        <v/>
      </c>
      <c r="L247" s="56" t="str">
        <f>IF($F247&lt;&gt;"", [1]FX!G246, "")</f>
        <v/>
      </c>
    </row>
    <row r="248" spans="6:12" x14ac:dyDescent="0.2">
      <c r="F248" s="57" t="str">
        <f>IF([1]FX!A247&gt;1, [1]FX!A247, "")</f>
        <v/>
      </c>
      <c r="G248" s="56" t="str">
        <f>IF($F248&lt;&gt;"", [1]FX!B247, "")</f>
        <v/>
      </c>
      <c r="H248" s="56" t="str">
        <f>IF($F248&lt;&gt;"", [1]FX!C247, "")</f>
        <v/>
      </c>
      <c r="I248" s="56" t="str">
        <f>IF($F248&lt;&gt;"", [1]FX!D247, "")</f>
        <v/>
      </c>
      <c r="J248" s="56" t="str">
        <f>IF($F248&lt;&gt;"", [1]FX!E247, "")</f>
        <v/>
      </c>
      <c r="K248" s="56" t="str">
        <f>IF($F248&lt;&gt;"", [1]FX!F247, "")</f>
        <v/>
      </c>
      <c r="L248" s="56" t="str">
        <f>IF($F248&lt;&gt;"", [1]FX!G247, "")</f>
        <v/>
      </c>
    </row>
    <row r="249" spans="6:12" x14ac:dyDescent="0.2">
      <c r="F249" s="57" t="str">
        <f>IF([1]FX!A248&gt;1, [1]FX!A248, "")</f>
        <v/>
      </c>
      <c r="G249" s="56" t="str">
        <f>IF($F249&lt;&gt;"", [1]FX!B248, "")</f>
        <v/>
      </c>
      <c r="H249" s="56" t="str">
        <f>IF($F249&lt;&gt;"", [1]FX!C248, "")</f>
        <v/>
      </c>
      <c r="I249" s="56" t="str">
        <f>IF($F249&lt;&gt;"", [1]FX!D248, "")</f>
        <v/>
      </c>
      <c r="J249" s="56" t="str">
        <f>IF($F249&lt;&gt;"", [1]FX!E248, "")</f>
        <v/>
      </c>
      <c r="K249" s="56" t="str">
        <f>IF($F249&lt;&gt;"", [1]FX!F248, "")</f>
        <v/>
      </c>
      <c r="L249" s="56" t="str">
        <f>IF($F249&lt;&gt;"", [1]FX!G248, "")</f>
        <v/>
      </c>
    </row>
    <row r="250" spans="6:12" x14ac:dyDescent="0.2">
      <c r="F250" s="57" t="str">
        <f>IF([1]FX!A249&gt;1, [1]FX!A249, "")</f>
        <v/>
      </c>
      <c r="G250" s="56" t="str">
        <f>IF($F250&lt;&gt;"", [1]FX!B249, "")</f>
        <v/>
      </c>
      <c r="H250" s="56" t="str">
        <f>IF($F250&lt;&gt;"", [1]FX!C249, "")</f>
        <v/>
      </c>
      <c r="I250" s="56" t="str">
        <f>IF($F250&lt;&gt;"", [1]FX!D249, "")</f>
        <v/>
      </c>
      <c r="J250" s="56" t="str">
        <f>IF($F250&lt;&gt;"", [1]FX!E249, "")</f>
        <v/>
      </c>
      <c r="K250" s="56" t="str">
        <f>IF($F250&lt;&gt;"", [1]FX!F249, "")</f>
        <v/>
      </c>
      <c r="L250" s="56" t="str">
        <f>IF($F250&lt;&gt;"", [1]FX!G249, "")</f>
        <v/>
      </c>
    </row>
    <row r="251" spans="6:12" x14ac:dyDescent="0.2">
      <c r="F251" s="57" t="str">
        <f>IF([1]FX!A250&gt;1, [1]FX!A250, "")</f>
        <v/>
      </c>
      <c r="G251" s="56" t="str">
        <f>IF($F251&lt;&gt;"", [1]FX!B250, "")</f>
        <v/>
      </c>
      <c r="H251" s="56" t="str">
        <f>IF($F251&lt;&gt;"", [1]FX!C250, "")</f>
        <v/>
      </c>
      <c r="I251" s="56" t="str">
        <f>IF($F251&lt;&gt;"", [1]FX!D250, "")</f>
        <v/>
      </c>
      <c r="J251" s="56" t="str">
        <f>IF($F251&lt;&gt;"", [1]FX!E250, "")</f>
        <v/>
      </c>
      <c r="K251" s="56" t="str">
        <f>IF($F251&lt;&gt;"", [1]FX!F250, "")</f>
        <v/>
      </c>
      <c r="L251" s="56" t="str">
        <f>IF($F251&lt;&gt;"", [1]FX!G250, "")</f>
        <v/>
      </c>
    </row>
    <row r="252" spans="6:12" x14ac:dyDescent="0.2">
      <c r="F252" s="57" t="str">
        <f>IF([1]FX!A251&gt;1, [1]FX!A251, "")</f>
        <v/>
      </c>
      <c r="G252" s="56" t="str">
        <f>IF($F252&lt;&gt;"", [1]FX!B251, "")</f>
        <v/>
      </c>
      <c r="H252" s="56" t="str">
        <f>IF($F252&lt;&gt;"", [1]FX!C251, "")</f>
        <v/>
      </c>
      <c r="I252" s="56" t="str">
        <f>IF($F252&lt;&gt;"", [1]FX!D251, "")</f>
        <v/>
      </c>
      <c r="J252" s="56" t="str">
        <f>IF($F252&lt;&gt;"", [1]FX!E251, "")</f>
        <v/>
      </c>
      <c r="K252" s="56" t="str">
        <f>IF($F252&lt;&gt;"", [1]FX!F251, "")</f>
        <v/>
      </c>
      <c r="L252" s="56" t="str">
        <f>IF($F252&lt;&gt;"", [1]FX!G251, "")</f>
        <v/>
      </c>
    </row>
    <row r="253" spans="6:12" x14ac:dyDescent="0.2">
      <c r="F253" s="57" t="str">
        <f>IF([1]FX!A252&gt;1, [1]FX!A252, "")</f>
        <v/>
      </c>
      <c r="G253" s="56" t="str">
        <f>IF($F253&lt;&gt;"", [1]FX!B252, "")</f>
        <v/>
      </c>
      <c r="H253" s="56" t="str">
        <f>IF($F253&lt;&gt;"", [1]FX!C252, "")</f>
        <v/>
      </c>
      <c r="I253" s="56" t="str">
        <f>IF($F253&lt;&gt;"", [1]FX!D252, "")</f>
        <v/>
      </c>
      <c r="J253" s="56" t="str">
        <f>IF($F253&lt;&gt;"", [1]FX!E252, "")</f>
        <v/>
      </c>
      <c r="K253" s="56" t="str">
        <f>IF($F253&lt;&gt;"", [1]FX!F252, "")</f>
        <v/>
      </c>
      <c r="L253" s="56" t="str">
        <f>IF($F253&lt;&gt;"", [1]FX!G252, "")</f>
        <v/>
      </c>
    </row>
    <row r="254" spans="6:12" x14ac:dyDescent="0.2">
      <c r="F254" s="57" t="str">
        <f>IF([1]FX!A253&gt;1, [1]FX!A253, "")</f>
        <v/>
      </c>
      <c r="G254" s="56" t="str">
        <f>IF($F254&lt;&gt;"", [1]FX!B253, "")</f>
        <v/>
      </c>
      <c r="H254" s="56" t="str">
        <f>IF($F254&lt;&gt;"", [1]FX!C253, "")</f>
        <v/>
      </c>
      <c r="I254" s="56" t="str">
        <f>IF($F254&lt;&gt;"", [1]FX!D253, "")</f>
        <v/>
      </c>
      <c r="J254" s="56" t="str">
        <f>IF($F254&lt;&gt;"", [1]FX!E253, "")</f>
        <v/>
      </c>
      <c r="K254" s="56" t="str">
        <f>IF($F254&lt;&gt;"", [1]FX!F253, "")</f>
        <v/>
      </c>
      <c r="L254" s="56" t="str">
        <f>IF($F254&lt;&gt;"", [1]FX!G253, "")</f>
        <v/>
      </c>
    </row>
    <row r="255" spans="6:12" x14ac:dyDescent="0.2">
      <c r="F255" s="57" t="str">
        <f>IF([1]FX!A254&gt;1, [1]FX!A254, "")</f>
        <v/>
      </c>
      <c r="G255" s="56" t="str">
        <f>IF($F255&lt;&gt;"", [1]FX!B254, "")</f>
        <v/>
      </c>
      <c r="H255" s="56" t="str">
        <f>IF($F255&lt;&gt;"", [1]FX!C254, "")</f>
        <v/>
      </c>
      <c r="I255" s="56" t="str">
        <f>IF($F255&lt;&gt;"", [1]FX!D254, "")</f>
        <v/>
      </c>
      <c r="J255" s="56" t="str">
        <f>IF($F255&lt;&gt;"", [1]FX!E254, "")</f>
        <v/>
      </c>
      <c r="K255" s="56" t="str">
        <f>IF($F255&lt;&gt;"", [1]FX!F254, "")</f>
        <v/>
      </c>
      <c r="L255" s="56" t="str">
        <f>IF($F255&lt;&gt;"", [1]FX!G254, "")</f>
        <v/>
      </c>
    </row>
    <row r="256" spans="6:12" x14ac:dyDescent="0.2">
      <c r="F256" s="57" t="str">
        <f>IF([1]FX!A255&gt;1, [1]FX!A255, "")</f>
        <v/>
      </c>
      <c r="G256" s="56" t="str">
        <f>IF($F256&lt;&gt;"", [1]FX!B255, "")</f>
        <v/>
      </c>
      <c r="H256" s="56" t="str">
        <f>IF($F256&lt;&gt;"", [1]FX!C255, "")</f>
        <v/>
      </c>
      <c r="I256" s="56" t="str">
        <f>IF($F256&lt;&gt;"", [1]FX!D255, "")</f>
        <v/>
      </c>
      <c r="J256" s="56" t="str">
        <f>IF($F256&lt;&gt;"", [1]FX!E255, "")</f>
        <v/>
      </c>
      <c r="K256" s="56" t="str">
        <f>IF($F256&lt;&gt;"", [1]FX!F255, "")</f>
        <v/>
      </c>
      <c r="L256" s="56" t="str">
        <f>IF($F256&lt;&gt;"", [1]FX!G255, "")</f>
        <v/>
      </c>
    </row>
    <row r="257" spans="6:12" x14ac:dyDescent="0.2">
      <c r="F257" s="57" t="str">
        <f>IF([1]FX!A256&gt;1, [1]FX!A256, "")</f>
        <v/>
      </c>
      <c r="G257" s="56" t="str">
        <f>IF($F257&lt;&gt;"", [1]FX!B256, "")</f>
        <v/>
      </c>
      <c r="H257" s="56" t="str">
        <f>IF($F257&lt;&gt;"", [1]FX!C256, "")</f>
        <v/>
      </c>
      <c r="I257" s="56" t="str">
        <f>IF($F257&lt;&gt;"", [1]FX!D256, "")</f>
        <v/>
      </c>
      <c r="J257" s="56" t="str">
        <f>IF($F257&lt;&gt;"", [1]FX!E256, "")</f>
        <v/>
      </c>
      <c r="K257" s="56" t="str">
        <f>IF($F257&lt;&gt;"", [1]FX!F256, "")</f>
        <v/>
      </c>
      <c r="L257" s="56" t="str">
        <f>IF($F257&lt;&gt;"", [1]FX!G256, "")</f>
        <v/>
      </c>
    </row>
    <row r="258" spans="6:12" x14ac:dyDescent="0.2">
      <c r="F258" s="57" t="str">
        <f>IF([1]FX!A257&gt;1, [1]FX!A257, "")</f>
        <v/>
      </c>
      <c r="G258" s="56" t="str">
        <f>IF($F258&lt;&gt;"", [1]FX!B257, "")</f>
        <v/>
      </c>
      <c r="H258" s="56" t="str">
        <f>IF($F258&lt;&gt;"", [1]FX!C257, "")</f>
        <v/>
      </c>
      <c r="I258" s="56" t="str">
        <f>IF($F258&lt;&gt;"", [1]FX!D257, "")</f>
        <v/>
      </c>
      <c r="J258" s="56" t="str">
        <f>IF($F258&lt;&gt;"", [1]FX!E257, "")</f>
        <v/>
      </c>
      <c r="K258" s="56" t="str">
        <f>IF($F258&lt;&gt;"", [1]FX!F257, "")</f>
        <v/>
      </c>
      <c r="L258" s="56" t="str">
        <f>IF($F258&lt;&gt;"", [1]FX!G257, "")</f>
        <v/>
      </c>
    </row>
    <row r="259" spans="6:12" x14ac:dyDescent="0.2">
      <c r="F259" s="57" t="str">
        <f>IF([1]FX!A258&gt;1, [1]FX!A258, "")</f>
        <v/>
      </c>
      <c r="G259" s="56" t="str">
        <f>IF($F259&lt;&gt;"", [1]FX!B258, "")</f>
        <v/>
      </c>
      <c r="H259" s="56" t="str">
        <f>IF($F259&lt;&gt;"", [1]FX!C258, "")</f>
        <v/>
      </c>
      <c r="I259" s="56" t="str">
        <f>IF($F259&lt;&gt;"", [1]FX!D258, "")</f>
        <v/>
      </c>
      <c r="J259" s="56" t="str">
        <f>IF($F259&lt;&gt;"", [1]FX!E258, "")</f>
        <v/>
      </c>
      <c r="K259" s="56" t="str">
        <f>IF($F259&lt;&gt;"", [1]FX!F258, "")</f>
        <v/>
      </c>
      <c r="L259" s="56" t="str">
        <f>IF($F259&lt;&gt;"", [1]FX!G258, "")</f>
        <v/>
      </c>
    </row>
    <row r="260" spans="6:12" x14ac:dyDescent="0.2">
      <c r="F260" s="57" t="str">
        <f>IF([1]FX!A259&gt;1, [1]FX!A259, "")</f>
        <v/>
      </c>
      <c r="G260" s="56" t="str">
        <f>IF($F260&lt;&gt;"", [1]FX!B259, "")</f>
        <v/>
      </c>
      <c r="H260" s="56" t="str">
        <f>IF($F260&lt;&gt;"", [1]FX!C259, "")</f>
        <v/>
      </c>
      <c r="I260" s="56" t="str">
        <f>IF($F260&lt;&gt;"", [1]FX!D259, "")</f>
        <v/>
      </c>
      <c r="J260" s="56" t="str">
        <f>IF($F260&lt;&gt;"", [1]FX!E259, "")</f>
        <v/>
      </c>
      <c r="K260" s="56" t="str">
        <f>IF($F260&lt;&gt;"", [1]FX!F259, "")</f>
        <v/>
      </c>
      <c r="L260" s="56" t="str">
        <f>IF($F260&lt;&gt;"", [1]FX!G259, "")</f>
        <v/>
      </c>
    </row>
    <row r="261" spans="6:12" x14ac:dyDescent="0.2">
      <c r="F261" s="57" t="str">
        <f>IF([1]FX!A260&gt;1, [1]FX!A260, "")</f>
        <v/>
      </c>
      <c r="G261" s="56" t="str">
        <f>IF($F261&lt;&gt;"", [1]FX!B260, "")</f>
        <v/>
      </c>
      <c r="H261" s="56" t="str">
        <f>IF($F261&lt;&gt;"", [1]FX!C260, "")</f>
        <v/>
      </c>
      <c r="I261" s="56" t="str">
        <f>IF($F261&lt;&gt;"", [1]FX!D260, "")</f>
        <v/>
      </c>
      <c r="J261" s="56" t="str">
        <f>IF($F261&lt;&gt;"", [1]FX!E260, "")</f>
        <v/>
      </c>
      <c r="K261" s="56" t="str">
        <f>IF($F261&lt;&gt;"", [1]FX!F260, "")</f>
        <v/>
      </c>
      <c r="L261" s="56" t="str">
        <f>IF($F261&lt;&gt;"", [1]FX!G260, "")</f>
        <v/>
      </c>
    </row>
    <row r="262" spans="6:12" x14ac:dyDescent="0.2">
      <c r="F262" s="57" t="str">
        <f>IF([1]FX!A261&gt;1, [1]FX!A261, "")</f>
        <v/>
      </c>
      <c r="G262" s="56" t="str">
        <f>IF($F262&lt;&gt;"", [1]FX!B261, "")</f>
        <v/>
      </c>
      <c r="H262" s="56" t="str">
        <f>IF($F262&lt;&gt;"", [1]FX!C261, "")</f>
        <v/>
      </c>
      <c r="I262" s="56" t="str">
        <f>IF($F262&lt;&gt;"", [1]FX!D261, "")</f>
        <v/>
      </c>
      <c r="J262" s="56" t="str">
        <f>IF($F262&lt;&gt;"", [1]FX!E261, "")</f>
        <v/>
      </c>
      <c r="K262" s="56" t="str">
        <f>IF($F262&lt;&gt;"", [1]FX!F261, "")</f>
        <v/>
      </c>
      <c r="L262" s="56" t="str">
        <f>IF($F262&lt;&gt;"", [1]FX!G261, "")</f>
        <v/>
      </c>
    </row>
    <row r="263" spans="6:12" x14ac:dyDescent="0.2">
      <c r="F263" s="57" t="str">
        <f>IF([1]FX!A262&gt;1, [1]FX!A262, "")</f>
        <v/>
      </c>
      <c r="G263" s="56" t="str">
        <f>IF($F263&lt;&gt;"", [1]FX!B262, "")</f>
        <v/>
      </c>
      <c r="H263" s="56" t="str">
        <f>IF($F263&lt;&gt;"", [1]FX!C262, "")</f>
        <v/>
      </c>
      <c r="I263" s="56" t="str">
        <f>IF($F263&lt;&gt;"", [1]FX!D262, "")</f>
        <v/>
      </c>
      <c r="J263" s="56" t="str">
        <f>IF($F263&lt;&gt;"", [1]FX!E262, "")</f>
        <v/>
      </c>
      <c r="K263" s="56" t="str">
        <f>IF($F263&lt;&gt;"", [1]FX!F262, "")</f>
        <v/>
      </c>
      <c r="L263" s="56" t="str">
        <f>IF($F263&lt;&gt;"", [1]FX!G262, "")</f>
        <v/>
      </c>
    </row>
    <row r="264" spans="6:12" x14ac:dyDescent="0.2">
      <c r="F264" s="57" t="str">
        <f>IF([1]FX!A263&gt;1, [1]FX!A263, "")</f>
        <v/>
      </c>
      <c r="G264" s="56" t="str">
        <f>IF($F264&lt;&gt;"", [1]FX!B263, "")</f>
        <v/>
      </c>
      <c r="H264" s="56" t="str">
        <f>IF($F264&lt;&gt;"", [1]FX!C263, "")</f>
        <v/>
      </c>
      <c r="I264" s="56" t="str">
        <f>IF($F264&lt;&gt;"", [1]FX!D263, "")</f>
        <v/>
      </c>
      <c r="J264" s="56" t="str">
        <f>IF($F264&lt;&gt;"", [1]FX!E263, "")</f>
        <v/>
      </c>
      <c r="K264" s="56" t="str">
        <f>IF($F264&lt;&gt;"", [1]FX!F263, "")</f>
        <v/>
      </c>
      <c r="L264" s="56" t="str">
        <f>IF($F264&lt;&gt;"", [1]FX!G263, "")</f>
        <v/>
      </c>
    </row>
    <row r="265" spans="6:12" x14ac:dyDescent="0.2">
      <c r="F265" s="57" t="str">
        <f>IF([1]FX!A264&gt;1, [1]FX!A264, "")</f>
        <v/>
      </c>
      <c r="G265" s="56" t="str">
        <f>IF($F265&lt;&gt;"", [1]FX!B264, "")</f>
        <v/>
      </c>
      <c r="H265" s="56" t="str">
        <f>IF($F265&lt;&gt;"", [1]FX!C264, "")</f>
        <v/>
      </c>
      <c r="I265" s="56" t="str">
        <f>IF($F265&lt;&gt;"", [1]FX!D264, "")</f>
        <v/>
      </c>
      <c r="J265" s="56" t="str">
        <f>IF($F265&lt;&gt;"", [1]FX!E264, "")</f>
        <v/>
      </c>
      <c r="K265" s="56" t="str">
        <f>IF($F265&lt;&gt;"", [1]FX!F264, "")</f>
        <v/>
      </c>
      <c r="L265" s="56" t="str">
        <f>IF($F265&lt;&gt;"", [1]FX!G264, "")</f>
        <v/>
      </c>
    </row>
    <row r="266" spans="6:12" x14ac:dyDescent="0.2">
      <c r="F266" s="57" t="str">
        <f>IF([1]FX!A265&gt;1, [1]FX!A265, "")</f>
        <v/>
      </c>
      <c r="G266" s="56" t="str">
        <f>IF($F266&lt;&gt;"", [1]FX!B265, "")</f>
        <v/>
      </c>
      <c r="H266" s="56" t="str">
        <f>IF($F266&lt;&gt;"", [1]FX!C265, "")</f>
        <v/>
      </c>
      <c r="I266" s="56" t="str">
        <f>IF($F266&lt;&gt;"", [1]FX!D265, "")</f>
        <v/>
      </c>
      <c r="J266" s="56" t="str">
        <f>IF($F266&lt;&gt;"", [1]FX!E265, "")</f>
        <v/>
      </c>
      <c r="K266" s="56" t="str">
        <f>IF($F266&lt;&gt;"", [1]FX!F265, "")</f>
        <v/>
      </c>
      <c r="L266" s="56" t="str">
        <f>IF($F266&lt;&gt;"", [1]FX!G265, "")</f>
        <v/>
      </c>
    </row>
    <row r="267" spans="6:12" x14ac:dyDescent="0.2">
      <c r="F267" s="57" t="str">
        <f>IF([1]FX!A266&gt;1, [1]FX!A266, "")</f>
        <v/>
      </c>
      <c r="G267" s="56" t="str">
        <f>IF($F267&lt;&gt;"", [1]FX!B266, "")</f>
        <v/>
      </c>
      <c r="H267" s="56" t="str">
        <f>IF($F267&lt;&gt;"", [1]FX!C266, "")</f>
        <v/>
      </c>
      <c r="I267" s="56" t="str">
        <f>IF($F267&lt;&gt;"", [1]FX!D266, "")</f>
        <v/>
      </c>
      <c r="J267" s="56" t="str">
        <f>IF($F267&lt;&gt;"", [1]FX!E266, "")</f>
        <v/>
      </c>
      <c r="K267" s="56" t="str">
        <f>IF($F267&lt;&gt;"", [1]FX!F266, "")</f>
        <v/>
      </c>
      <c r="L267" s="56" t="str">
        <f>IF($F267&lt;&gt;"", [1]FX!G266, "")</f>
        <v/>
      </c>
    </row>
    <row r="268" spans="6:12" x14ac:dyDescent="0.2">
      <c r="F268" s="57" t="str">
        <f>IF([1]FX!A267&gt;1, [1]FX!A267, "")</f>
        <v/>
      </c>
      <c r="G268" s="56" t="str">
        <f>IF($F268&lt;&gt;"", [1]FX!B267, "")</f>
        <v/>
      </c>
      <c r="H268" s="56" t="str">
        <f>IF($F268&lt;&gt;"", [1]FX!C267, "")</f>
        <v/>
      </c>
      <c r="I268" s="56" t="str">
        <f>IF($F268&lt;&gt;"", [1]FX!D267, "")</f>
        <v/>
      </c>
      <c r="J268" s="56" t="str">
        <f>IF($F268&lt;&gt;"", [1]FX!E267, "")</f>
        <v/>
      </c>
      <c r="K268" s="56" t="str">
        <f>IF($F268&lt;&gt;"", [1]FX!F267, "")</f>
        <v/>
      </c>
      <c r="L268" s="56" t="str">
        <f>IF($F268&lt;&gt;"", [1]FX!G267, "")</f>
        <v/>
      </c>
    </row>
    <row r="269" spans="6:12" x14ac:dyDescent="0.2">
      <c r="F269" s="57" t="str">
        <f>IF([1]FX!A268&gt;1, [1]FX!A268, "")</f>
        <v/>
      </c>
      <c r="G269" s="56" t="str">
        <f>IF($F269&lt;&gt;"", [1]FX!B268, "")</f>
        <v/>
      </c>
      <c r="H269" s="56" t="str">
        <f>IF($F269&lt;&gt;"", [1]FX!C268, "")</f>
        <v/>
      </c>
      <c r="I269" s="56" t="str">
        <f>IF($F269&lt;&gt;"", [1]FX!D268, "")</f>
        <v/>
      </c>
      <c r="J269" s="56" t="str">
        <f>IF($F269&lt;&gt;"", [1]FX!E268, "")</f>
        <v/>
      </c>
      <c r="K269" s="56" t="str">
        <f>IF($F269&lt;&gt;"", [1]FX!F268, "")</f>
        <v/>
      </c>
      <c r="L269" s="56" t="str">
        <f>IF($F269&lt;&gt;"", [1]FX!G268, "")</f>
        <v/>
      </c>
    </row>
    <row r="270" spans="6:12" x14ac:dyDescent="0.2">
      <c r="F270" s="57" t="str">
        <f>IF([1]FX!A269&gt;1, [1]FX!A269, "")</f>
        <v/>
      </c>
      <c r="G270" s="56" t="str">
        <f>IF($F270&lt;&gt;"", [1]FX!B269, "")</f>
        <v/>
      </c>
      <c r="H270" s="56" t="str">
        <f>IF($F270&lt;&gt;"", [1]FX!C269, "")</f>
        <v/>
      </c>
      <c r="I270" s="56" t="str">
        <f>IF($F270&lt;&gt;"", [1]FX!D269, "")</f>
        <v/>
      </c>
      <c r="J270" s="56" t="str">
        <f>IF($F270&lt;&gt;"", [1]FX!E269, "")</f>
        <v/>
      </c>
      <c r="K270" s="56" t="str">
        <f>IF($F270&lt;&gt;"", [1]FX!F269, "")</f>
        <v/>
      </c>
      <c r="L270" s="56" t="str">
        <f>IF($F270&lt;&gt;"", [1]FX!G269, "")</f>
        <v/>
      </c>
    </row>
    <row r="271" spans="6:12" x14ac:dyDescent="0.2">
      <c r="F271" s="57" t="str">
        <f>IF([1]FX!A270&gt;1, [1]FX!A270, "")</f>
        <v/>
      </c>
      <c r="G271" s="56" t="str">
        <f>IF($F271&lt;&gt;"", [1]FX!B270, "")</f>
        <v/>
      </c>
      <c r="H271" s="56" t="str">
        <f>IF($F271&lt;&gt;"", [1]FX!C270, "")</f>
        <v/>
      </c>
      <c r="I271" s="56" t="str">
        <f>IF($F271&lt;&gt;"", [1]FX!D270, "")</f>
        <v/>
      </c>
      <c r="J271" s="56" t="str">
        <f>IF($F271&lt;&gt;"", [1]FX!E270, "")</f>
        <v/>
      </c>
      <c r="K271" s="56" t="str">
        <f>IF($F271&lt;&gt;"", [1]FX!F270, "")</f>
        <v/>
      </c>
      <c r="L271" s="56" t="str">
        <f>IF($F271&lt;&gt;"", [1]FX!G270, "")</f>
        <v/>
      </c>
    </row>
    <row r="272" spans="6:12" x14ac:dyDescent="0.2">
      <c r="F272" s="57" t="str">
        <f>IF([1]FX!A271&gt;1, [1]FX!A271, "")</f>
        <v/>
      </c>
      <c r="G272" s="56" t="str">
        <f>IF($F272&lt;&gt;"", [1]FX!B271, "")</f>
        <v/>
      </c>
      <c r="H272" s="56" t="str">
        <f>IF($F272&lt;&gt;"", [1]FX!C271, "")</f>
        <v/>
      </c>
      <c r="I272" s="56" t="str">
        <f>IF($F272&lt;&gt;"", [1]FX!D271, "")</f>
        <v/>
      </c>
      <c r="J272" s="56" t="str">
        <f>IF($F272&lt;&gt;"", [1]FX!E271, "")</f>
        <v/>
      </c>
      <c r="K272" s="56" t="str">
        <f>IF($F272&lt;&gt;"", [1]FX!F271, "")</f>
        <v/>
      </c>
      <c r="L272" s="56" t="str">
        <f>IF($F272&lt;&gt;"", [1]FX!G271, "")</f>
        <v/>
      </c>
    </row>
    <row r="273" spans="6:12" x14ac:dyDescent="0.2">
      <c r="F273" s="57" t="str">
        <f>IF([1]FX!A272&gt;1, [1]FX!A272, "")</f>
        <v/>
      </c>
      <c r="G273" s="56" t="str">
        <f>IF($F273&lt;&gt;"", [1]FX!B272, "")</f>
        <v/>
      </c>
      <c r="H273" s="56" t="str">
        <f>IF($F273&lt;&gt;"", [1]FX!C272, "")</f>
        <v/>
      </c>
      <c r="I273" s="56" t="str">
        <f>IF($F273&lt;&gt;"", [1]FX!D272, "")</f>
        <v/>
      </c>
      <c r="J273" s="56" t="str">
        <f>IF($F273&lt;&gt;"", [1]FX!E272, "")</f>
        <v/>
      </c>
      <c r="K273" s="56" t="str">
        <f>IF($F273&lt;&gt;"", [1]FX!F272, "")</f>
        <v/>
      </c>
      <c r="L273" s="56" t="str">
        <f>IF($F273&lt;&gt;"", [1]FX!G272, "")</f>
        <v/>
      </c>
    </row>
    <row r="274" spans="6:12" x14ac:dyDescent="0.2">
      <c r="F274" s="57" t="str">
        <f>IF([1]FX!A273&gt;1, [1]FX!A273, "")</f>
        <v/>
      </c>
      <c r="G274" s="56" t="str">
        <f>IF($F274&lt;&gt;"", [1]FX!B273, "")</f>
        <v/>
      </c>
      <c r="H274" s="56" t="str">
        <f>IF($F274&lt;&gt;"", [1]FX!C273, "")</f>
        <v/>
      </c>
      <c r="I274" s="56" t="str">
        <f>IF($F274&lt;&gt;"", [1]FX!D273, "")</f>
        <v/>
      </c>
      <c r="J274" s="56" t="str">
        <f>IF($F274&lt;&gt;"", [1]FX!E273, "")</f>
        <v/>
      </c>
      <c r="K274" s="56" t="str">
        <f>IF($F274&lt;&gt;"", [1]FX!F273, "")</f>
        <v/>
      </c>
      <c r="L274" s="56" t="str">
        <f>IF($F274&lt;&gt;"", [1]FX!G273, "")</f>
        <v/>
      </c>
    </row>
    <row r="275" spans="6:12" x14ac:dyDescent="0.2">
      <c r="F275" s="57" t="str">
        <f>IF([1]FX!A274&gt;1, [1]FX!A274, "")</f>
        <v/>
      </c>
      <c r="G275" s="56" t="str">
        <f>IF($F275&lt;&gt;"", [1]FX!B274, "")</f>
        <v/>
      </c>
      <c r="H275" s="56" t="str">
        <f>IF($F275&lt;&gt;"", [1]FX!C274, "")</f>
        <v/>
      </c>
      <c r="I275" s="56" t="str">
        <f>IF($F275&lt;&gt;"", [1]FX!D274, "")</f>
        <v/>
      </c>
      <c r="J275" s="56" t="str">
        <f>IF($F275&lt;&gt;"", [1]FX!E274, "")</f>
        <v/>
      </c>
      <c r="K275" s="56" t="str">
        <f>IF($F275&lt;&gt;"", [1]FX!F274, "")</f>
        <v/>
      </c>
      <c r="L275" s="56" t="str">
        <f>IF($F275&lt;&gt;"", [1]FX!G274, "")</f>
        <v/>
      </c>
    </row>
    <row r="276" spans="6:12" x14ac:dyDescent="0.2">
      <c r="F276" s="57" t="str">
        <f>IF([1]FX!A275&gt;1, [1]FX!A275, "")</f>
        <v/>
      </c>
      <c r="G276" s="56" t="str">
        <f>IF($F276&lt;&gt;"", [1]FX!B275, "")</f>
        <v/>
      </c>
      <c r="H276" s="56" t="str">
        <f>IF($F276&lt;&gt;"", [1]FX!C275, "")</f>
        <v/>
      </c>
      <c r="I276" s="56" t="str">
        <f>IF($F276&lt;&gt;"", [1]FX!D275, "")</f>
        <v/>
      </c>
      <c r="J276" s="56" t="str">
        <f>IF($F276&lt;&gt;"", [1]FX!E275, "")</f>
        <v/>
      </c>
      <c r="K276" s="56" t="str">
        <f>IF($F276&lt;&gt;"", [1]FX!F275, "")</f>
        <v/>
      </c>
      <c r="L276" s="56" t="str">
        <f>IF($F276&lt;&gt;"", [1]FX!G275, "")</f>
        <v/>
      </c>
    </row>
    <row r="277" spans="6:12" x14ac:dyDescent="0.2">
      <c r="F277" s="57" t="str">
        <f>IF([1]FX!A276&gt;1, [1]FX!A276, "")</f>
        <v/>
      </c>
      <c r="G277" s="56" t="str">
        <f>IF($F277&lt;&gt;"", [1]FX!B276, "")</f>
        <v/>
      </c>
      <c r="H277" s="56" t="str">
        <f>IF($F277&lt;&gt;"", [1]FX!C276, "")</f>
        <v/>
      </c>
      <c r="I277" s="56" t="str">
        <f>IF($F277&lt;&gt;"", [1]FX!D276, "")</f>
        <v/>
      </c>
      <c r="J277" s="56" t="str">
        <f>IF($F277&lt;&gt;"", [1]FX!E276, "")</f>
        <v/>
      </c>
      <c r="K277" s="56" t="str">
        <f>IF($F277&lt;&gt;"", [1]FX!F276, "")</f>
        <v/>
      </c>
      <c r="L277" s="56" t="str">
        <f>IF($F277&lt;&gt;"", [1]FX!G276, "")</f>
        <v/>
      </c>
    </row>
    <row r="278" spans="6:12" x14ac:dyDescent="0.2">
      <c r="F278" s="57" t="str">
        <f>IF([1]FX!A277&gt;1, [1]FX!A277, "")</f>
        <v/>
      </c>
      <c r="G278" s="56" t="str">
        <f>IF($F278&lt;&gt;"", [1]FX!B277, "")</f>
        <v/>
      </c>
      <c r="H278" s="56" t="str">
        <f>IF($F278&lt;&gt;"", [1]FX!C277, "")</f>
        <v/>
      </c>
      <c r="I278" s="56" t="str">
        <f>IF($F278&lt;&gt;"", [1]FX!D277, "")</f>
        <v/>
      </c>
      <c r="J278" s="56" t="str">
        <f>IF($F278&lt;&gt;"", [1]FX!E277, "")</f>
        <v/>
      </c>
      <c r="K278" s="56" t="str">
        <f>IF($F278&lt;&gt;"", [1]FX!F277, "")</f>
        <v/>
      </c>
      <c r="L278" s="56" t="str">
        <f>IF($F278&lt;&gt;"", [1]FX!G277, "")</f>
        <v/>
      </c>
    </row>
    <row r="279" spans="6:12" x14ac:dyDescent="0.2">
      <c r="F279" s="57" t="str">
        <f>IF([1]FX!A278&gt;1, [1]FX!A278, "")</f>
        <v/>
      </c>
      <c r="G279" s="56" t="str">
        <f>IF($F279&lt;&gt;"", [1]FX!B278, "")</f>
        <v/>
      </c>
      <c r="H279" s="56" t="str">
        <f>IF($F279&lt;&gt;"", [1]FX!C278, "")</f>
        <v/>
      </c>
      <c r="I279" s="56" t="str">
        <f>IF($F279&lt;&gt;"", [1]FX!D278, "")</f>
        <v/>
      </c>
      <c r="J279" s="56" t="str">
        <f>IF($F279&lt;&gt;"", [1]FX!E278, "")</f>
        <v/>
      </c>
      <c r="K279" s="56" t="str">
        <f>IF($F279&lt;&gt;"", [1]FX!F278, "")</f>
        <v/>
      </c>
      <c r="L279" s="56" t="str">
        <f>IF($F279&lt;&gt;"", [1]FX!G278, "")</f>
        <v/>
      </c>
    </row>
    <row r="280" spans="6:12" x14ac:dyDescent="0.2">
      <c r="F280" s="57" t="str">
        <f>IF([1]FX!A279&gt;1, [1]FX!A279, "")</f>
        <v/>
      </c>
      <c r="G280" s="56" t="str">
        <f>IF($F280&lt;&gt;"", [1]FX!B279, "")</f>
        <v/>
      </c>
      <c r="H280" s="56" t="str">
        <f>IF($F280&lt;&gt;"", [1]FX!C279, "")</f>
        <v/>
      </c>
      <c r="I280" s="56" t="str">
        <f>IF($F280&lt;&gt;"", [1]FX!D279, "")</f>
        <v/>
      </c>
      <c r="J280" s="56" t="str">
        <f>IF($F280&lt;&gt;"", [1]FX!E279, "")</f>
        <v/>
      </c>
      <c r="K280" s="56" t="str">
        <f>IF($F280&lt;&gt;"", [1]FX!F279, "")</f>
        <v/>
      </c>
      <c r="L280" s="56" t="str">
        <f>IF($F280&lt;&gt;"", [1]FX!G279, "")</f>
        <v/>
      </c>
    </row>
    <row r="281" spans="6:12" x14ac:dyDescent="0.2">
      <c r="F281" s="57" t="str">
        <f>IF([1]FX!A280&gt;1, [1]FX!A280, "")</f>
        <v/>
      </c>
      <c r="G281" s="56" t="str">
        <f>IF($F281&lt;&gt;"", [1]FX!B280, "")</f>
        <v/>
      </c>
      <c r="H281" s="56" t="str">
        <f>IF($F281&lt;&gt;"", [1]FX!C280, "")</f>
        <v/>
      </c>
      <c r="I281" s="56" t="str">
        <f>IF($F281&lt;&gt;"", [1]FX!D280, "")</f>
        <v/>
      </c>
      <c r="J281" s="56" t="str">
        <f>IF($F281&lt;&gt;"", [1]FX!E280, "")</f>
        <v/>
      </c>
      <c r="K281" s="56" t="str">
        <f>IF($F281&lt;&gt;"", [1]FX!F280, "")</f>
        <v/>
      </c>
      <c r="L281" s="56" t="str">
        <f>IF($F281&lt;&gt;"", [1]FX!G280, "")</f>
        <v/>
      </c>
    </row>
    <row r="282" spans="6:12" x14ac:dyDescent="0.2">
      <c r="F282" s="57" t="str">
        <f>IF([1]FX!A281&gt;1, [1]FX!A281, "")</f>
        <v/>
      </c>
      <c r="G282" s="56" t="str">
        <f>IF($F282&lt;&gt;"", [1]FX!B281, "")</f>
        <v/>
      </c>
      <c r="H282" s="56" t="str">
        <f>IF($F282&lt;&gt;"", [1]FX!C281, "")</f>
        <v/>
      </c>
      <c r="I282" s="56" t="str">
        <f>IF($F282&lt;&gt;"", [1]FX!D281, "")</f>
        <v/>
      </c>
      <c r="J282" s="56" t="str">
        <f>IF($F282&lt;&gt;"", [1]FX!E281, "")</f>
        <v/>
      </c>
      <c r="K282" s="56" t="str">
        <f>IF($F282&lt;&gt;"", [1]FX!F281, "")</f>
        <v/>
      </c>
      <c r="L282" s="56" t="str">
        <f>IF($F282&lt;&gt;"", [1]FX!G281, "")</f>
        <v/>
      </c>
    </row>
    <row r="283" spans="6:12" x14ac:dyDescent="0.2">
      <c r="F283" s="57" t="str">
        <f>IF([1]FX!A282&gt;1, [1]FX!A282, "")</f>
        <v/>
      </c>
      <c r="G283" s="56" t="str">
        <f>IF($F283&lt;&gt;"", [1]FX!B282, "")</f>
        <v/>
      </c>
      <c r="H283" s="56" t="str">
        <f>IF($F283&lt;&gt;"", [1]FX!C282, "")</f>
        <v/>
      </c>
      <c r="I283" s="56" t="str">
        <f>IF($F283&lt;&gt;"", [1]FX!D282, "")</f>
        <v/>
      </c>
      <c r="J283" s="56" t="str">
        <f>IF($F283&lt;&gt;"", [1]FX!E282, "")</f>
        <v/>
      </c>
      <c r="K283" s="56" t="str">
        <f>IF($F283&lt;&gt;"", [1]FX!F282, "")</f>
        <v/>
      </c>
      <c r="L283" s="56" t="str">
        <f>IF($F283&lt;&gt;"", [1]FX!G282, "")</f>
        <v/>
      </c>
    </row>
    <row r="284" spans="6:12" x14ac:dyDescent="0.2">
      <c r="F284" s="57" t="str">
        <f>IF([1]FX!A283&gt;1, [1]FX!A283, "")</f>
        <v/>
      </c>
      <c r="G284" s="56" t="str">
        <f>IF($F284&lt;&gt;"", [1]FX!B283, "")</f>
        <v/>
      </c>
      <c r="H284" s="56" t="str">
        <f>IF($F284&lt;&gt;"", [1]FX!C283, "")</f>
        <v/>
      </c>
      <c r="I284" s="56" t="str">
        <f>IF($F284&lt;&gt;"", [1]FX!D283, "")</f>
        <v/>
      </c>
      <c r="J284" s="56" t="str">
        <f>IF($F284&lt;&gt;"", [1]FX!E283, "")</f>
        <v/>
      </c>
      <c r="K284" s="56" t="str">
        <f>IF($F284&lt;&gt;"", [1]FX!F283, "")</f>
        <v/>
      </c>
      <c r="L284" s="56" t="str">
        <f>IF($F284&lt;&gt;"", [1]FX!G283, "")</f>
        <v/>
      </c>
    </row>
    <row r="285" spans="6:12" x14ac:dyDescent="0.2">
      <c r="F285" s="57" t="str">
        <f>IF([1]FX!A284&gt;1, [1]FX!A284, "")</f>
        <v/>
      </c>
      <c r="G285" s="56" t="str">
        <f>IF($F285&lt;&gt;"", [1]FX!B284, "")</f>
        <v/>
      </c>
      <c r="H285" s="56" t="str">
        <f>IF($F285&lt;&gt;"", [1]FX!C284, "")</f>
        <v/>
      </c>
      <c r="I285" s="56" t="str">
        <f>IF($F285&lt;&gt;"", [1]FX!D284, "")</f>
        <v/>
      </c>
      <c r="J285" s="56" t="str">
        <f>IF($F285&lt;&gt;"", [1]FX!E284, "")</f>
        <v/>
      </c>
      <c r="K285" s="56" t="str">
        <f>IF($F285&lt;&gt;"", [1]FX!F284, "")</f>
        <v/>
      </c>
      <c r="L285" s="56" t="str">
        <f>IF($F285&lt;&gt;"", [1]FX!G284, "")</f>
        <v/>
      </c>
    </row>
    <row r="286" spans="6:12" x14ac:dyDescent="0.2">
      <c r="F286" s="57" t="str">
        <f>IF([1]FX!A285&gt;1, [1]FX!A285, "")</f>
        <v/>
      </c>
      <c r="G286" s="56" t="str">
        <f>IF($F286&lt;&gt;"", [1]FX!B285, "")</f>
        <v/>
      </c>
      <c r="H286" s="56" t="str">
        <f>IF($F286&lt;&gt;"", [1]FX!C285, "")</f>
        <v/>
      </c>
      <c r="I286" s="56" t="str">
        <f>IF($F286&lt;&gt;"", [1]FX!D285, "")</f>
        <v/>
      </c>
      <c r="J286" s="56" t="str">
        <f>IF($F286&lt;&gt;"", [1]FX!E285, "")</f>
        <v/>
      </c>
      <c r="K286" s="56" t="str">
        <f>IF($F286&lt;&gt;"", [1]FX!F285, "")</f>
        <v/>
      </c>
      <c r="L286" s="56" t="str">
        <f>IF($F286&lt;&gt;"", [1]FX!G285, "")</f>
        <v/>
      </c>
    </row>
    <row r="287" spans="6:12" x14ac:dyDescent="0.2">
      <c r="F287" s="57" t="str">
        <f>IF([1]FX!A286&gt;1, [1]FX!A286, "")</f>
        <v/>
      </c>
      <c r="G287" s="56" t="str">
        <f>IF($F287&lt;&gt;"", [1]FX!B286, "")</f>
        <v/>
      </c>
      <c r="H287" s="56" t="str">
        <f>IF($F287&lt;&gt;"", [1]FX!C286, "")</f>
        <v/>
      </c>
      <c r="I287" s="56" t="str">
        <f>IF($F287&lt;&gt;"", [1]FX!D286, "")</f>
        <v/>
      </c>
      <c r="J287" s="56" t="str">
        <f>IF($F287&lt;&gt;"", [1]FX!E286, "")</f>
        <v/>
      </c>
      <c r="K287" s="56" t="str">
        <f>IF($F287&lt;&gt;"", [1]FX!F286, "")</f>
        <v/>
      </c>
      <c r="L287" s="56" t="str">
        <f>IF($F287&lt;&gt;"", [1]FX!G286, "")</f>
        <v/>
      </c>
    </row>
    <row r="288" spans="6:12" x14ac:dyDescent="0.2">
      <c r="F288" s="57" t="str">
        <f>IF([1]FX!A287&gt;1, [1]FX!A287, "")</f>
        <v/>
      </c>
      <c r="G288" s="56" t="str">
        <f>IF($F288&lt;&gt;"", [1]FX!B287, "")</f>
        <v/>
      </c>
      <c r="H288" s="56" t="str">
        <f>IF($F288&lt;&gt;"", [1]FX!C287, "")</f>
        <v/>
      </c>
      <c r="I288" s="56" t="str">
        <f>IF($F288&lt;&gt;"", [1]FX!D287, "")</f>
        <v/>
      </c>
      <c r="J288" s="56" t="str">
        <f>IF($F288&lt;&gt;"", [1]FX!E287, "")</f>
        <v/>
      </c>
      <c r="K288" s="56" t="str">
        <f>IF($F288&lt;&gt;"", [1]FX!F287, "")</f>
        <v/>
      </c>
      <c r="L288" s="56" t="str">
        <f>IF($F288&lt;&gt;"", [1]FX!G287, "")</f>
        <v/>
      </c>
    </row>
    <row r="289" spans="6:12" x14ac:dyDescent="0.2">
      <c r="F289" s="57" t="str">
        <f>IF([1]FX!A288&gt;1, [1]FX!A288, "")</f>
        <v/>
      </c>
      <c r="G289" s="56" t="str">
        <f>IF($F289&lt;&gt;"", [1]FX!B288, "")</f>
        <v/>
      </c>
      <c r="H289" s="56" t="str">
        <f>IF($F289&lt;&gt;"", [1]FX!C288, "")</f>
        <v/>
      </c>
      <c r="I289" s="56" t="str">
        <f>IF($F289&lt;&gt;"", [1]FX!D288, "")</f>
        <v/>
      </c>
      <c r="J289" s="56" t="str">
        <f>IF($F289&lt;&gt;"", [1]FX!E288, "")</f>
        <v/>
      </c>
      <c r="K289" s="56" t="str">
        <f>IF($F289&lt;&gt;"", [1]FX!F288, "")</f>
        <v/>
      </c>
      <c r="L289" s="56" t="str">
        <f>IF($F289&lt;&gt;"", [1]FX!G288, "")</f>
        <v/>
      </c>
    </row>
    <row r="290" spans="6:12" x14ac:dyDescent="0.2">
      <c r="F290" s="57" t="str">
        <f>IF([1]FX!A289&gt;1, [1]FX!A289, "")</f>
        <v/>
      </c>
      <c r="G290" s="56" t="str">
        <f>IF($F290&lt;&gt;"", [1]FX!B289, "")</f>
        <v/>
      </c>
      <c r="H290" s="56" t="str">
        <f>IF($F290&lt;&gt;"", [1]FX!C289, "")</f>
        <v/>
      </c>
      <c r="I290" s="56" t="str">
        <f>IF($F290&lt;&gt;"", [1]FX!D289, "")</f>
        <v/>
      </c>
      <c r="J290" s="56" t="str">
        <f>IF($F290&lt;&gt;"", [1]FX!E289, "")</f>
        <v/>
      </c>
      <c r="K290" s="56" t="str">
        <f>IF($F290&lt;&gt;"", [1]FX!F289, "")</f>
        <v/>
      </c>
      <c r="L290" s="56" t="str">
        <f>IF($F290&lt;&gt;"", [1]FX!G289, "")</f>
        <v/>
      </c>
    </row>
    <row r="291" spans="6:12" x14ac:dyDescent="0.2">
      <c r="F291" s="57" t="str">
        <f>IF([1]FX!A290&gt;1, [1]FX!A290, "")</f>
        <v/>
      </c>
      <c r="G291" s="56" t="str">
        <f>IF($F291&lt;&gt;"", [1]FX!B290, "")</f>
        <v/>
      </c>
      <c r="H291" s="56" t="str">
        <f>IF($F291&lt;&gt;"", [1]FX!C290, "")</f>
        <v/>
      </c>
      <c r="I291" s="56" t="str">
        <f>IF($F291&lt;&gt;"", [1]FX!D290, "")</f>
        <v/>
      </c>
      <c r="J291" s="56" t="str">
        <f>IF($F291&lt;&gt;"", [1]FX!E290, "")</f>
        <v/>
      </c>
      <c r="K291" s="56" t="str">
        <f>IF($F291&lt;&gt;"", [1]FX!F290, "")</f>
        <v/>
      </c>
      <c r="L291" s="56" t="str">
        <f>IF($F291&lt;&gt;"", [1]FX!G290, "")</f>
        <v/>
      </c>
    </row>
    <row r="292" spans="6:12" x14ac:dyDescent="0.2">
      <c r="F292" s="57" t="str">
        <f>IF([1]FX!A291&gt;1, [1]FX!A291, "")</f>
        <v/>
      </c>
      <c r="G292" s="56" t="str">
        <f>IF($F292&lt;&gt;"", [1]FX!B291, "")</f>
        <v/>
      </c>
      <c r="H292" s="56" t="str">
        <f>IF($F292&lt;&gt;"", [1]FX!C291, "")</f>
        <v/>
      </c>
      <c r="I292" s="56" t="str">
        <f>IF($F292&lt;&gt;"", [1]FX!D291, "")</f>
        <v/>
      </c>
      <c r="J292" s="56" t="str">
        <f>IF($F292&lt;&gt;"", [1]FX!E291, "")</f>
        <v/>
      </c>
      <c r="K292" s="56" t="str">
        <f>IF($F292&lt;&gt;"", [1]FX!F291, "")</f>
        <v/>
      </c>
      <c r="L292" s="56" t="str">
        <f>IF($F292&lt;&gt;"", [1]FX!G291, "")</f>
        <v/>
      </c>
    </row>
    <row r="293" spans="6:12" x14ac:dyDescent="0.2">
      <c r="F293" s="57" t="str">
        <f>IF([1]FX!A292&gt;1, [1]FX!A292, "")</f>
        <v/>
      </c>
      <c r="G293" s="56" t="str">
        <f>IF($F293&lt;&gt;"", [1]FX!B292, "")</f>
        <v/>
      </c>
      <c r="H293" s="56" t="str">
        <f>IF($F293&lt;&gt;"", [1]FX!C292, "")</f>
        <v/>
      </c>
      <c r="I293" s="56" t="str">
        <f>IF($F293&lt;&gt;"", [1]FX!D292, "")</f>
        <v/>
      </c>
      <c r="J293" s="56" t="str">
        <f>IF($F293&lt;&gt;"", [1]FX!E292, "")</f>
        <v/>
      </c>
      <c r="K293" s="56" t="str">
        <f>IF($F293&lt;&gt;"", [1]FX!F292, "")</f>
        <v/>
      </c>
      <c r="L293" s="56" t="str">
        <f>IF($F293&lt;&gt;"", [1]FX!G292, "")</f>
        <v/>
      </c>
    </row>
    <row r="294" spans="6:12" x14ac:dyDescent="0.2">
      <c r="F294" s="57" t="str">
        <f>IF([1]FX!A293&gt;1, [1]FX!A293, "")</f>
        <v/>
      </c>
      <c r="G294" s="56" t="str">
        <f>IF($F294&lt;&gt;"", [1]FX!B293, "")</f>
        <v/>
      </c>
      <c r="H294" s="56" t="str">
        <f>IF($F294&lt;&gt;"", [1]FX!C293, "")</f>
        <v/>
      </c>
      <c r="I294" s="56" t="str">
        <f>IF($F294&lt;&gt;"", [1]FX!D293, "")</f>
        <v/>
      </c>
      <c r="J294" s="56" t="str">
        <f>IF($F294&lt;&gt;"", [1]FX!E293, "")</f>
        <v/>
      </c>
      <c r="K294" s="56" t="str">
        <f>IF($F294&lt;&gt;"", [1]FX!F293, "")</f>
        <v/>
      </c>
      <c r="L294" s="56" t="str">
        <f>IF($F294&lt;&gt;"", [1]FX!G293, "")</f>
        <v/>
      </c>
    </row>
    <row r="295" spans="6:12" x14ac:dyDescent="0.2">
      <c r="F295" s="57" t="str">
        <f>IF([1]FX!A294&gt;1, [1]FX!A294, "")</f>
        <v/>
      </c>
      <c r="G295" s="56" t="str">
        <f>IF($F295&lt;&gt;"", [1]FX!B294, "")</f>
        <v/>
      </c>
      <c r="H295" s="56" t="str">
        <f>IF($F295&lt;&gt;"", [1]FX!C294, "")</f>
        <v/>
      </c>
      <c r="I295" s="56" t="str">
        <f>IF($F295&lt;&gt;"", [1]FX!D294, "")</f>
        <v/>
      </c>
      <c r="J295" s="56" t="str">
        <f>IF($F295&lt;&gt;"", [1]FX!E294, "")</f>
        <v/>
      </c>
      <c r="K295" s="56" t="str">
        <f>IF($F295&lt;&gt;"", [1]FX!F294, "")</f>
        <v/>
      </c>
      <c r="L295" s="56" t="str">
        <f>IF($F295&lt;&gt;"", [1]FX!G294, "")</f>
        <v/>
      </c>
    </row>
    <row r="296" spans="6:12" x14ac:dyDescent="0.2">
      <c r="F296" s="57" t="str">
        <f>IF([1]FX!A295&gt;1, [1]FX!A295, "")</f>
        <v/>
      </c>
      <c r="G296" s="56" t="str">
        <f>IF($F296&lt;&gt;"", [1]FX!B295, "")</f>
        <v/>
      </c>
      <c r="H296" s="56" t="str">
        <f>IF($F296&lt;&gt;"", [1]FX!C295, "")</f>
        <v/>
      </c>
      <c r="I296" s="56" t="str">
        <f>IF($F296&lt;&gt;"", [1]FX!D295, "")</f>
        <v/>
      </c>
      <c r="J296" s="56" t="str">
        <f>IF($F296&lt;&gt;"", [1]FX!E295, "")</f>
        <v/>
      </c>
      <c r="K296" s="56" t="str">
        <f>IF($F296&lt;&gt;"", [1]FX!F295, "")</f>
        <v/>
      </c>
      <c r="L296" s="56" t="str">
        <f>IF($F296&lt;&gt;"", [1]FX!G295, "")</f>
        <v/>
      </c>
    </row>
    <row r="297" spans="6:12" x14ac:dyDescent="0.2">
      <c r="F297" s="57" t="str">
        <f>IF([1]FX!A296&gt;1, [1]FX!A296, "")</f>
        <v/>
      </c>
      <c r="G297" s="56" t="str">
        <f>IF($F297&lt;&gt;"", [1]FX!B296, "")</f>
        <v/>
      </c>
      <c r="H297" s="56" t="str">
        <f>IF($F297&lt;&gt;"", [1]FX!C296, "")</f>
        <v/>
      </c>
      <c r="I297" s="56" t="str">
        <f>IF($F297&lt;&gt;"", [1]FX!D296, "")</f>
        <v/>
      </c>
      <c r="J297" s="56" t="str">
        <f>IF($F297&lt;&gt;"", [1]FX!E296, "")</f>
        <v/>
      </c>
      <c r="K297" s="56" t="str">
        <f>IF($F297&lt;&gt;"", [1]FX!F296, "")</f>
        <v/>
      </c>
      <c r="L297" s="56" t="str">
        <f>IF($F297&lt;&gt;"", [1]FX!G296, "")</f>
        <v/>
      </c>
    </row>
    <row r="298" spans="6:12" x14ac:dyDescent="0.2">
      <c r="F298" s="57" t="str">
        <f>IF([1]FX!A297&gt;1, [1]FX!A297, "")</f>
        <v/>
      </c>
      <c r="G298" s="56" t="str">
        <f>IF($F298&lt;&gt;"", [1]FX!B297, "")</f>
        <v/>
      </c>
      <c r="H298" s="56" t="str">
        <f>IF($F298&lt;&gt;"", [1]FX!C297, "")</f>
        <v/>
      </c>
      <c r="I298" s="56" t="str">
        <f>IF($F298&lt;&gt;"", [1]FX!D297, "")</f>
        <v/>
      </c>
      <c r="J298" s="56" t="str">
        <f>IF($F298&lt;&gt;"", [1]FX!E297, "")</f>
        <v/>
      </c>
      <c r="K298" s="56" t="str">
        <f>IF($F298&lt;&gt;"", [1]FX!F297, "")</f>
        <v/>
      </c>
      <c r="L298" s="56" t="str">
        <f>IF($F298&lt;&gt;"", [1]FX!G297, "")</f>
        <v/>
      </c>
    </row>
    <row r="299" spans="6:12" x14ac:dyDescent="0.2">
      <c r="F299" s="57" t="str">
        <f>IF([1]FX!A298&gt;1, [1]FX!A298, "")</f>
        <v/>
      </c>
      <c r="G299" s="56" t="str">
        <f>IF($F299&lt;&gt;"", [1]FX!B298, "")</f>
        <v/>
      </c>
      <c r="H299" s="56" t="str">
        <f>IF($F299&lt;&gt;"", [1]FX!C298, "")</f>
        <v/>
      </c>
      <c r="I299" s="56" t="str">
        <f>IF($F299&lt;&gt;"", [1]FX!D298, "")</f>
        <v/>
      </c>
      <c r="J299" s="56" t="str">
        <f>IF($F299&lt;&gt;"", [1]FX!E298, "")</f>
        <v/>
      </c>
      <c r="K299" s="56" t="str">
        <f>IF($F299&lt;&gt;"", [1]FX!F298, "")</f>
        <v/>
      </c>
      <c r="L299" s="56" t="str">
        <f>IF($F299&lt;&gt;"", [1]FX!G298, "")</f>
        <v/>
      </c>
    </row>
    <row r="300" spans="6:12" x14ac:dyDescent="0.2">
      <c r="F300" s="57" t="str">
        <f>IF([1]FX!A299&gt;1, [1]FX!A299, "")</f>
        <v/>
      </c>
      <c r="G300" s="56" t="str">
        <f>IF($F300&lt;&gt;"", [1]FX!B299, "")</f>
        <v/>
      </c>
      <c r="H300" s="56" t="str">
        <f>IF($F300&lt;&gt;"", [1]FX!C299, "")</f>
        <v/>
      </c>
      <c r="I300" s="56" t="str">
        <f>IF($F300&lt;&gt;"", [1]FX!D299, "")</f>
        <v/>
      </c>
      <c r="J300" s="56" t="str">
        <f>IF($F300&lt;&gt;"", [1]FX!E299, "")</f>
        <v/>
      </c>
      <c r="K300" s="56" t="str">
        <f>IF($F300&lt;&gt;"", [1]FX!F299, "")</f>
        <v/>
      </c>
      <c r="L300" s="56" t="str">
        <f>IF($F300&lt;&gt;"", [1]FX!G299, "")</f>
        <v/>
      </c>
    </row>
    <row r="301" spans="6:12" x14ac:dyDescent="0.2">
      <c r="F301" s="57" t="str">
        <f>IF([1]FX!A300&gt;1, [1]FX!A300, "")</f>
        <v/>
      </c>
      <c r="G301" s="56" t="str">
        <f>IF($F301&lt;&gt;"", [1]FX!B300, "")</f>
        <v/>
      </c>
      <c r="H301" s="56" t="str">
        <f>IF($F301&lt;&gt;"", [1]FX!C300, "")</f>
        <v/>
      </c>
      <c r="I301" s="56" t="str">
        <f>IF($F301&lt;&gt;"", [1]FX!D300, "")</f>
        <v/>
      </c>
      <c r="J301" s="56" t="str">
        <f>IF($F301&lt;&gt;"", [1]FX!E300, "")</f>
        <v/>
      </c>
      <c r="K301" s="56" t="str">
        <f>IF($F301&lt;&gt;"", [1]FX!F300, "")</f>
        <v/>
      </c>
      <c r="L301" s="56" t="str">
        <f>IF($F301&lt;&gt;"", [1]FX!G300, "")</f>
        <v/>
      </c>
    </row>
    <row r="302" spans="6:12" x14ac:dyDescent="0.2">
      <c r="F302" s="57" t="str">
        <f>IF([1]FX!A301&gt;1, [1]FX!A301, "")</f>
        <v/>
      </c>
      <c r="G302" s="56" t="str">
        <f>IF($F302&lt;&gt;"", [1]FX!B301, "")</f>
        <v/>
      </c>
      <c r="H302" s="56" t="str">
        <f>IF($F302&lt;&gt;"", [1]FX!C301, "")</f>
        <v/>
      </c>
      <c r="I302" s="56" t="str">
        <f>IF($F302&lt;&gt;"", [1]FX!D301, "")</f>
        <v/>
      </c>
      <c r="J302" s="56" t="str">
        <f>IF($F302&lt;&gt;"", [1]FX!E301, "")</f>
        <v/>
      </c>
      <c r="K302" s="56" t="str">
        <f>IF($F302&lt;&gt;"", [1]FX!F301, "")</f>
        <v/>
      </c>
      <c r="L302" s="56" t="str">
        <f>IF($F302&lt;&gt;"", [1]FX!G301, "")</f>
        <v/>
      </c>
    </row>
    <row r="303" spans="6:12" x14ac:dyDescent="0.2">
      <c r="F303" s="57" t="str">
        <f>IF([1]FX!A302&gt;1, [1]FX!A302, "")</f>
        <v/>
      </c>
      <c r="G303" s="56" t="str">
        <f>IF($F303&lt;&gt;"", [1]FX!B302, "")</f>
        <v/>
      </c>
      <c r="H303" s="56" t="str">
        <f>IF($F303&lt;&gt;"", [1]FX!C302, "")</f>
        <v/>
      </c>
      <c r="I303" s="56" t="str">
        <f>IF($F303&lt;&gt;"", [1]FX!D302, "")</f>
        <v/>
      </c>
      <c r="J303" s="56" t="str">
        <f>IF($F303&lt;&gt;"", [1]FX!E302, "")</f>
        <v/>
      </c>
      <c r="K303" s="56" t="str">
        <f>IF($F303&lt;&gt;"", [1]FX!F302, "")</f>
        <v/>
      </c>
      <c r="L303" s="56" t="str">
        <f>IF($F303&lt;&gt;"", [1]FX!G302, "")</f>
        <v/>
      </c>
    </row>
    <row r="304" spans="6:12" x14ac:dyDescent="0.2">
      <c r="F304" s="57" t="str">
        <f>IF([1]FX!A303&gt;1, [1]FX!A303, "")</f>
        <v/>
      </c>
      <c r="G304" s="56" t="str">
        <f>IF($F304&lt;&gt;"", [1]FX!B303, "")</f>
        <v/>
      </c>
      <c r="H304" s="56" t="str">
        <f>IF($F304&lt;&gt;"", [1]FX!C303, "")</f>
        <v/>
      </c>
      <c r="I304" s="56" t="str">
        <f>IF($F304&lt;&gt;"", [1]FX!D303, "")</f>
        <v/>
      </c>
      <c r="J304" s="56" t="str">
        <f>IF($F304&lt;&gt;"", [1]FX!E303, "")</f>
        <v/>
      </c>
      <c r="K304" s="56" t="str">
        <f>IF($F304&lt;&gt;"", [1]FX!F303, "")</f>
        <v/>
      </c>
      <c r="L304" s="56" t="str">
        <f>IF($F304&lt;&gt;"", [1]FX!G303, "")</f>
        <v/>
      </c>
    </row>
    <row r="305" spans="6:12" x14ac:dyDescent="0.2">
      <c r="F305" s="57" t="str">
        <f>IF([1]FX!A304&gt;1, [1]FX!A304, "")</f>
        <v/>
      </c>
      <c r="G305" s="56" t="str">
        <f>IF($F305&lt;&gt;"", [1]FX!B304, "")</f>
        <v/>
      </c>
      <c r="H305" s="56" t="str">
        <f>IF($F305&lt;&gt;"", [1]FX!C304, "")</f>
        <v/>
      </c>
      <c r="I305" s="56" t="str">
        <f>IF($F305&lt;&gt;"", [1]FX!D304, "")</f>
        <v/>
      </c>
      <c r="J305" s="56" t="str">
        <f>IF($F305&lt;&gt;"", [1]FX!E304, "")</f>
        <v/>
      </c>
      <c r="K305" s="56" t="str">
        <f>IF($F305&lt;&gt;"", [1]FX!F304, "")</f>
        <v/>
      </c>
      <c r="L305" s="56" t="str">
        <f>IF($F305&lt;&gt;"", [1]FX!G304, "")</f>
        <v/>
      </c>
    </row>
    <row r="306" spans="6:12" x14ac:dyDescent="0.2">
      <c r="F306" s="57" t="str">
        <f>IF([1]FX!A305&gt;1, [1]FX!A305, "")</f>
        <v/>
      </c>
      <c r="G306" s="56" t="str">
        <f>IF($F306&lt;&gt;"", [1]FX!B305, "")</f>
        <v/>
      </c>
      <c r="H306" s="56" t="str">
        <f>IF($F306&lt;&gt;"", [1]FX!C305, "")</f>
        <v/>
      </c>
      <c r="I306" s="56" t="str">
        <f>IF($F306&lt;&gt;"", [1]FX!D305, "")</f>
        <v/>
      </c>
      <c r="J306" s="56" t="str">
        <f>IF($F306&lt;&gt;"", [1]FX!E305, "")</f>
        <v/>
      </c>
      <c r="K306" s="56" t="str">
        <f>IF($F306&lt;&gt;"", [1]FX!F305, "")</f>
        <v/>
      </c>
      <c r="L306" s="56" t="str">
        <f>IF($F306&lt;&gt;"", [1]FX!G305, "")</f>
        <v/>
      </c>
    </row>
    <row r="307" spans="6:12" x14ac:dyDescent="0.2">
      <c r="F307" s="57" t="str">
        <f>IF([1]FX!A306&gt;1, [1]FX!A306, "")</f>
        <v/>
      </c>
      <c r="G307" s="56" t="str">
        <f>IF($F307&lt;&gt;"", [1]FX!B306, "")</f>
        <v/>
      </c>
      <c r="H307" s="56" t="str">
        <f>IF($F307&lt;&gt;"", [1]FX!C306, "")</f>
        <v/>
      </c>
      <c r="I307" s="56" t="str">
        <f>IF($F307&lt;&gt;"", [1]FX!D306, "")</f>
        <v/>
      </c>
      <c r="J307" s="56" t="str">
        <f>IF($F307&lt;&gt;"", [1]FX!E306, "")</f>
        <v/>
      </c>
      <c r="K307" s="56" t="str">
        <f>IF($F307&lt;&gt;"", [1]FX!F306, "")</f>
        <v/>
      </c>
      <c r="L307" s="56" t="str">
        <f>IF($F307&lt;&gt;"", [1]FX!G306, "")</f>
        <v/>
      </c>
    </row>
    <row r="308" spans="6:12" x14ac:dyDescent="0.2">
      <c r="F308" s="57" t="str">
        <f>IF([1]FX!A307&gt;1, [1]FX!A307, "")</f>
        <v/>
      </c>
      <c r="G308" s="56" t="str">
        <f>IF($F308&lt;&gt;"", [1]FX!B307, "")</f>
        <v/>
      </c>
      <c r="H308" s="56" t="str">
        <f>IF($F308&lt;&gt;"", [1]FX!C307, "")</f>
        <v/>
      </c>
      <c r="I308" s="56" t="str">
        <f>IF($F308&lt;&gt;"", [1]FX!D307, "")</f>
        <v/>
      </c>
      <c r="J308" s="56" t="str">
        <f>IF($F308&lt;&gt;"", [1]FX!E307, "")</f>
        <v/>
      </c>
      <c r="K308" s="56" t="str">
        <f>IF($F308&lt;&gt;"", [1]FX!F307, "")</f>
        <v/>
      </c>
      <c r="L308" s="56" t="str">
        <f>IF($F308&lt;&gt;"", [1]FX!G307, "")</f>
        <v/>
      </c>
    </row>
    <row r="309" spans="6:12" x14ac:dyDescent="0.2">
      <c r="F309" s="57" t="str">
        <f>IF([1]FX!A308&gt;1, [1]FX!A308, "")</f>
        <v/>
      </c>
      <c r="G309" s="56" t="str">
        <f>IF($F309&lt;&gt;"", [1]FX!B308, "")</f>
        <v/>
      </c>
      <c r="H309" s="56" t="str">
        <f>IF($F309&lt;&gt;"", [1]FX!C308, "")</f>
        <v/>
      </c>
      <c r="I309" s="56" t="str">
        <f>IF($F309&lt;&gt;"", [1]FX!D308, "")</f>
        <v/>
      </c>
      <c r="J309" s="56" t="str">
        <f>IF($F309&lt;&gt;"", [1]FX!E308, "")</f>
        <v/>
      </c>
      <c r="K309" s="56" t="str">
        <f>IF($F309&lt;&gt;"", [1]FX!F308, "")</f>
        <v/>
      </c>
      <c r="L309" s="56" t="str">
        <f>IF($F309&lt;&gt;"", [1]FX!G308, "")</f>
        <v/>
      </c>
    </row>
    <row r="310" spans="6:12" x14ac:dyDescent="0.2">
      <c r="F310" s="57" t="str">
        <f>IF([1]FX!A309&gt;1, [1]FX!A309, "")</f>
        <v/>
      </c>
      <c r="G310" s="56" t="str">
        <f>IF($F310&lt;&gt;"", [1]FX!B309, "")</f>
        <v/>
      </c>
      <c r="H310" s="56" t="str">
        <f>IF($F310&lt;&gt;"", [1]FX!C309, "")</f>
        <v/>
      </c>
      <c r="I310" s="56" t="str">
        <f>IF($F310&lt;&gt;"", [1]FX!D309, "")</f>
        <v/>
      </c>
      <c r="J310" s="56" t="str">
        <f>IF($F310&lt;&gt;"", [1]FX!E309, "")</f>
        <v/>
      </c>
      <c r="K310" s="56" t="str">
        <f>IF($F310&lt;&gt;"", [1]FX!F309, "")</f>
        <v/>
      </c>
      <c r="L310" s="56" t="str">
        <f>IF($F310&lt;&gt;"", [1]FX!G309, "")</f>
        <v/>
      </c>
    </row>
    <row r="311" spans="6:12" x14ac:dyDescent="0.2">
      <c r="F311" s="57" t="str">
        <f>IF([1]FX!A310&gt;1, [1]FX!A310, "")</f>
        <v/>
      </c>
      <c r="G311" s="56" t="str">
        <f>IF($F311&lt;&gt;"", [1]FX!B310, "")</f>
        <v/>
      </c>
      <c r="H311" s="56" t="str">
        <f>IF($F311&lt;&gt;"", [1]FX!C310, "")</f>
        <v/>
      </c>
      <c r="I311" s="56" t="str">
        <f>IF($F311&lt;&gt;"", [1]FX!D310, "")</f>
        <v/>
      </c>
      <c r="J311" s="56" t="str">
        <f>IF($F311&lt;&gt;"", [1]FX!E310, "")</f>
        <v/>
      </c>
      <c r="K311" s="56" t="str">
        <f>IF($F311&lt;&gt;"", [1]FX!F310, "")</f>
        <v/>
      </c>
      <c r="L311" s="56" t="str">
        <f>IF($F311&lt;&gt;"", [1]FX!G310, "")</f>
        <v/>
      </c>
    </row>
    <row r="312" spans="6:12" x14ac:dyDescent="0.2">
      <c r="F312" s="57" t="str">
        <f>IF([1]FX!A311&gt;1, [1]FX!A311, "")</f>
        <v/>
      </c>
      <c r="G312" s="56" t="str">
        <f>IF($F312&lt;&gt;"", [1]FX!B311, "")</f>
        <v/>
      </c>
      <c r="H312" s="56" t="str">
        <f>IF($F312&lt;&gt;"", [1]FX!C311, "")</f>
        <v/>
      </c>
      <c r="I312" s="56" t="str">
        <f>IF($F312&lt;&gt;"", [1]FX!D311, "")</f>
        <v/>
      </c>
      <c r="J312" s="56" t="str">
        <f>IF($F312&lt;&gt;"", [1]FX!E311, "")</f>
        <v/>
      </c>
      <c r="K312" s="56" t="str">
        <f>IF($F312&lt;&gt;"", [1]FX!F311, "")</f>
        <v/>
      </c>
      <c r="L312" s="56" t="str">
        <f>IF($F312&lt;&gt;"", [1]FX!G311, "")</f>
        <v/>
      </c>
    </row>
    <row r="313" spans="6:12" x14ac:dyDescent="0.2">
      <c r="F313" s="57" t="str">
        <f>IF([1]FX!A312&gt;1, [1]FX!A312, "")</f>
        <v/>
      </c>
      <c r="G313" s="56" t="str">
        <f>IF($F313&lt;&gt;"", [1]FX!B312, "")</f>
        <v/>
      </c>
      <c r="H313" s="56" t="str">
        <f>IF($F313&lt;&gt;"", [1]FX!C312, "")</f>
        <v/>
      </c>
      <c r="I313" s="56" t="str">
        <f>IF($F313&lt;&gt;"", [1]FX!D312, "")</f>
        <v/>
      </c>
      <c r="J313" s="56" t="str">
        <f>IF($F313&lt;&gt;"", [1]FX!E312, "")</f>
        <v/>
      </c>
      <c r="K313" s="56" t="str">
        <f>IF($F313&lt;&gt;"", [1]FX!F312, "")</f>
        <v/>
      </c>
      <c r="L313" s="56" t="str">
        <f>IF($F313&lt;&gt;"", [1]FX!G312, "")</f>
        <v/>
      </c>
    </row>
    <row r="314" spans="6:12" x14ac:dyDescent="0.2">
      <c r="F314" s="57" t="str">
        <f>IF([1]FX!A313&gt;1, [1]FX!A313, "")</f>
        <v/>
      </c>
      <c r="G314" s="56" t="str">
        <f>IF($F314&lt;&gt;"", [1]FX!B313, "")</f>
        <v/>
      </c>
      <c r="H314" s="56" t="str">
        <f>IF($F314&lt;&gt;"", [1]FX!C313, "")</f>
        <v/>
      </c>
      <c r="I314" s="56" t="str">
        <f>IF($F314&lt;&gt;"", [1]FX!D313, "")</f>
        <v/>
      </c>
      <c r="J314" s="56" t="str">
        <f>IF($F314&lt;&gt;"", [1]FX!E313, "")</f>
        <v/>
      </c>
      <c r="K314" s="56" t="str">
        <f>IF($F314&lt;&gt;"", [1]FX!F313, "")</f>
        <v/>
      </c>
      <c r="L314" s="56" t="str">
        <f>IF($F314&lt;&gt;"", [1]FX!G313, "")</f>
        <v/>
      </c>
    </row>
    <row r="315" spans="6:12" x14ac:dyDescent="0.2">
      <c r="F315" s="57" t="str">
        <f>IF([1]FX!A314&gt;1, [1]FX!A314, "")</f>
        <v/>
      </c>
      <c r="G315" s="56" t="str">
        <f>IF($F315&lt;&gt;"", [1]FX!B314, "")</f>
        <v/>
      </c>
      <c r="H315" s="56" t="str">
        <f>IF($F315&lt;&gt;"", [1]FX!C314, "")</f>
        <v/>
      </c>
      <c r="I315" s="56" t="str">
        <f>IF($F315&lt;&gt;"", [1]FX!D314, "")</f>
        <v/>
      </c>
      <c r="J315" s="56" t="str">
        <f>IF($F315&lt;&gt;"", [1]FX!E314, "")</f>
        <v/>
      </c>
      <c r="K315" s="56" t="str">
        <f>IF($F315&lt;&gt;"", [1]FX!F314, "")</f>
        <v/>
      </c>
      <c r="L315" s="56" t="str">
        <f>IF($F315&lt;&gt;"", [1]FX!G314, "")</f>
        <v/>
      </c>
    </row>
    <row r="316" spans="6:12" x14ac:dyDescent="0.2">
      <c r="F316" s="57" t="str">
        <f>IF([1]FX!A315&gt;1, [1]FX!A315, "")</f>
        <v/>
      </c>
      <c r="G316" s="56" t="str">
        <f>IF($F316&lt;&gt;"", [1]FX!B315, "")</f>
        <v/>
      </c>
      <c r="H316" s="56" t="str">
        <f>IF($F316&lt;&gt;"", [1]FX!C315, "")</f>
        <v/>
      </c>
      <c r="I316" s="56" t="str">
        <f>IF($F316&lt;&gt;"", [1]FX!D315, "")</f>
        <v/>
      </c>
      <c r="J316" s="56" t="str">
        <f>IF($F316&lt;&gt;"", [1]FX!E315, "")</f>
        <v/>
      </c>
      <c r="K316" s="56" t="str">
        <f>IF($F316&lt;&gt;"", [1]FX!F315, "")</f>
        <v/>
      </c>
      <c r="L316" s="56" t="str">
        <f>IF($F316&lt;&gt;"", [1]FX!G315, "")</f>
        <v/>
      </c>
    </row>
    <row r="317" spans="6:12" x14ac:dyDescent="0.2">
      <c r="F317" s="57" t="str">
        <f>IF([1]FX!A316&gt;1, [1]FX!A316, "")</f>
        <v/>
      </c>
      <c r="G317" s="56" t="str">
        <f>IF($F317&lt;&gt;"", [1]FX!B316, "")</f>
        <v/>
      </c>
      <c r="H317" s="56" t="str">
        <f>IF($F317&lt;&gt;"", [1]FX!C316, "")</f>
        <v/>
      </c>
      <c r="I317" s="56" t="str">
        <f>IF($F317&lt;&gt;"", [1]FX!D316, "")</f>
        <v/>
      </c>
      <c r="J317" s="56" t="str">
        <f>IF($F317&lt;&gt;"", [1]FX!E316, "")</f>
        <v/>
      </c>
      <c r="K317" s="56" t="str">
        <f>IF($F317&lt;&gt;"", [1]FX!F316, "")</f>
        <v/>
      </c>
      <c r="L317" s="56" t="str">
        <f>IF($F317&lt;&gt;"", [1]FX!G316, "")</f>
        <v/>
      </c>
    </row>
    <row r="318" spans="6:12" x14ac:dyDescent="0.2">
      <c r="F318" s="57" t="str">
        <f>IF([1]FX!A317&gt;1, [1]FX!A317, "")</f>
        <v/>
      </c>
      <c r="G318" s="56" t="str">
        <f>IF($F318&lt;&gt;"", [1]FX!B317, "")</f>
        <v/>
      </c>
      <c r="H318" s="56" t="str">
        <f>IF($F318&lt;&gt;"", [1]FX!C317, "")</f>
        <v/>
      </c>
      <c r="I318" s="56" t="str">
        <f>IF($F318&lt;&gt;"", [1]FX!D317, "")</f>
        <v/>
      </c>
      <c r="J318" s="56" t="str">
        <f>IF($F318&lt;&gt;"", [1]FX!E317, "")</f>
        <v/>
      </c>
      <c r="K318" s="56" t="str">
        <f>IF($F318&lt;&gt;"", [1]FX!F317, "")</f>
        <v/>
      </c>
      <c r="L318" s="56" t="str">
        <f>IF($F318&lt;&gt;"", [1]FX!G317, "")</f>
        <v/>
      </c>
    </row>
    <row r="319" spans="6:12" x14ac:dyDescent="0.2">
      <c r="F319" s="57" t="str">
        <f>IF([1]FX!A318&gt;1, [1]FX!A318, "")</f>
        <v/>
      </c>
      <c r="G319" s="56" t="str">
        <f>IF($F319&lt;&gt;"", [1]FX!B318, "")</f>
        <v/>
      </c>
      <c r="H319" s="56" t="str">
        <f>IF($F319&lt;&gt;"", [1]FX!C318, "")</f>
        <v/>
      </c>
      <c r="I319" s="56" t="str">
        <f>IF($F319&lt;&gt;"", [1]FX!D318, "")</f>
        <v/>
      </c>
      <c r="J319" s="56" t="str">
        <f>IF($F319&lt;&gt;"", [1]FX!E318, "")</f>
        <v/>
      </c>
      <c r="K319" s="56" t="str">
        <f>IF($F319&lt;&gt;"", [1]FX!F318, "")</f>
        <v/>
      </c>
      <c r="L319" s="56" t="str">
        <f>IF($F319&lt;&gt;"", [1]FX!G318, "")</f>
        <v/>
      </c>
    </row>
    <row r="320" spans="6:12" x14ac:dyDescent="0.2">
      <c r="F320" s="57" t="str">
        <f>IF([1]FX!A319&gt;1, [1]FX!A319, "")</f>
        <v/>
      </c>
      <c r="G320" s="56" t="str">
        <f>IF($F320&lt;&gt;"", [1]FX!B319, "")</f>
        <v/>
      </c>
      <c r="H320" s="56" t="str">
        <f>IF($F320&lt;&gt;"", [1]FX!C319, "")</f>
        <v/>
      </c>
      <c r="I320" s="56" t="str">
        <f>IF($F320&lt;&gt;"", [1]FX!D319, "")</f>
        <v/>
      </c>
      <c r="J320" s="56" t="str">
        <f>IF($F320&lt;&gt;"", [1]FX!E319, "")</f>
        <v/>
      </c>
      <c r="K320" s="56" t="str">
        <f>IF($F320&lt;&gt;"", [1]FX!F319, "")</f>
        <v/>
      </c>
      <c r="L320" s="56" t="str">
        <f>IF($F320&lt;&gt;"", [1]FX!G319, "")</f>
        <v/>
      </c>
    </row>
    <row r="321" spans="6:12" x14ac:dyDescent="0.2">
      <c r="F321" s="57" t="str">
        <f>IF([1]FX!A320&gt;1, [1]FX!A320, "")</f>
        <v/>
      </c>
      <c r="G321" s="56" t="str">
        <f>IF($F321&lt;&gt;"", [1]FX!B320, "")</f>
        <v/>
      </c>
      <c r="H321" s="56" t="str">
        <f>IF($F321&lt;&gt;"", [1]FX!C320, "")</f>
        <v/>
      </c>
      <c r="I321" s="56" t="str">
        <f>IF($F321&lt;&gt;"", [1]FX!D320, "")</f>
        <v/>
      </c>
      <c r="J321" s="56" t="str">
        <f>IF($F321&lt;&gt;"", [1]FX!E320, "")</f>
        <v/>
      </c>
      <c r="K321" s="56" t="str">
        <f>IF($F321&lt;&gt;"", [1]FX!F320, "")</f>
        <v/>
      </c>
      <c r="L321" s="56" t="str">
        <f>IF($F321&lt;&gt;"", [1]FX!G320, "")</f>
        <v/>
      </c>
    </row>
    <row r="322" spans="6:12" x14ac:dyDescent="0.2">
      <c r="F322" s="57" t="str">
        <f>IF([1]FX!A321&gt;1, [1]FX!A321, "")</f>
        <v/>
      </c>
      <c r="G322" s="56" t="str">
        <f>IF($F322&lt;&gt;"", [1]FX!B321, "")</f>
        <v/>
      </c>
      <c r="H322" s="56" t="str">
        <f>IF($F322&lt;&gt;"", [1]FX!C321, "")</f>
        <v/>
      </c>
      <c r="I322" s="56" t="str">
        <f>IF($F322&lt;&gt;"", [1]FX!D321, "")</f>
        <v/>
      </c>
      <c r="J322" s="56" t="str">
        <f>IF($F322&lt;&gt;"", [1]FX!E321, "")</f>
        <v/>
      </c>
      <c r="K322" s="56" t="str">
        <f>IF($F322&lt;&gt;"", [1]FX!F321, "")</f>
        <v/>
      </c>
      <c r="L322" s="56" t="str">
        <f>IF($F322&lt;&gt;"", [1]FX!G321, "")</f>
        <v/>
      </c>
    </row>
    <row r="323" spans="6:12" x14ac:dyDescent="0.2">
      <c r="F323" s="57" t="str">
        <f>IF([1]FX!A322&gt;1, [1]FX!A322, "")</f>
        <v/>
      </c>
      <c r="G323" s="56" t="str">
        <f>IF($F323&lt;&gt;"", [1]FX!B322, "")</f>
        <v/>
      </c>
      <c r="H323" s="56" t="str">
        <f>IF($F323&lt;&gt;"", [1]FX!C322, "")</f>
        <v/>
      </c>
      <c r="I323" s="56" t="str">
        <f>IF($F323&lt;&gt;"", [1]FX!D322, "")</f>
        <v/>
      </c>
      <c r="J323" s="56" t="str">
        <f>IF($F323&lt;&gt;"", [1]FX!E322, "")</f>
        <v/>
      </c>
      <c r="K323" s="56" t="str">
        <f>IF($F323&lt;&gt;"", [1]FX!F322, "")</f>
        <v/>
      </c>
      <c r="L323" s="56" t="str">
        <f>IF($F323&lt;&gt;"", [1]FX!G322, "")</f>
        <v/>
      </c>
    </row>
    <row r="324" spans="6:12" x14ac:dyDescent="0.2">
      <c r="F324" s="57" t="str">
        <f>IF([1]FX!A323&gt;1, [1]FX!A323, "")</f>
        <v/>
      </c>
      <c r="G324" s="56" t="str">
        <f>IF($F324&lt;&gt;"", [1]FX!B323, "")</f>
        <v/>
      </c>
      <c r="H324" s="56" t="str">
        <f>IF($F324&lt;&gt;"", [1]FX!C323, "")</f>
        <v/>
      </c>
      <c r="I324" s="56" t="str">
        <f>IF($F324&lt;&gt;"", [1]FX!D323, "")</f>
        <v/>
      </c>
      <c r="J324" s="56" t="str">
        <f>IF($F324&lt;&gt;"", [1]FX!E323, "")</f>
        <v/>
      </c>
      <c r="K324" s="56" t="str">
        <f>IF($F324&lt;&gt;"", [1]FX!F323, "")</f>
        <v/>
      </c>
      <c r="L324" s="56" t="str">
        <f>IF($F324&lt;&gt;"", [1]FX!G323, "")</f>
        <v/>
      </c>
    </row>
    <row r="325" spans="6:12" x14ac:dyDescent="0.2">
      <c r="F325" s="57" t="str">
        <f>IF([1]FX!A324&gt;1, [1]FX!A324, "")</f>
        <v/>
      </c>
      <c r="G325" s="56" t="str">
        <f>IF($F325&lt;&gt;"", [1]FX!B324, "")</f>
        <v/>
      </c>
      <c r="H325" s="56" t="str">
        <f>IF($F325&lt;&gt;"", [1]FX!C324, "")</f>
        <v/>
      </c>
      <c r="I325" s="56" t="str">
        <f>IF($F325&lt;&gt;"", [1]FX!D324, "")</f>
        <v/>
      </c>
      <c r="J325" s="56" t="str">
        <f>IF($F325&lt;&gt;"", [1]FX!E324, "")</f>
        <v/>
      </c>
      <c r="K325" s="56" t="str">
        <f>IF($F325&lt;&gt;"", [1]FX!F324, "")</f>
        <v/>
      </c>
      <c r="L325" s="56" t="str">
        <f>IF($F325&lt;&gt;"", [1]FX!G324, "")</f>
        <v/>
      </c>
    </row>
    <row r="326" spans="6:12" x14ac:dyDescent="0.2">
      <c r="F326" s="57" t="str">
        <f>IF([1]FX!A325&gt;1, [1]FX!A325, "")</f>
        <v/>
      </c>
      <c r="G326" s="56" t="str">
        <f>IF($F326&lt;&gt;"", [1]FX!B325, "")</f>
        <v/>
      </c>
      <c r="H326" s="56" t="str">
        <f>IF($F326&lt;&gt;"", [1]FX!C325, "")</f>
        <v/>
      </c>
      <c r="I326" s="56" t="str">
        <f>IF($F326&lt;&gt;"", [1]FX!D325, "")</f>
        <v/>
      </c>
      <c r="J326" s="56" t="str">
        <f>IF($F326&lt;&gt;"", [1]FX!E325, "")</f>
        <v/>
      </c>
      <c r="K326" s="56" t="str">
        <f>IF($F326&lt;&gt;"", [1]FX!F325, "")</f>
        <v/>
      </c>
      <c r="L326" s="56" t="str">
        <f>IF($F326&lt;&gt;"", [1]FX!G325, "")</f>
        <v/>
      </c>
    </row>
    <row r="327" spans="6:12" x14ac:dyDescent="0.2">
      <c r="F327" s="57" t="str">
        <f>IF([1]FX!A326&gt;1, [1]FX!A326, "")</f>
        <v/>
      </c>
      <c r="G327" s="56" t="str">
        <f>IF($F327&lt;&gt;"", [1]FX!B326, "")</f>
        <v/>
      </c>
      <c r="H327" s="56" t="str">
        <f>IF($F327&lt;&gt;"", [1]FX!C326, "")</f>
        <v/>
      </c>
      <c r="I327" s="56" t="str">
        <f>IF($F327&lt;&gt;"", [1]FX!D326, "")</f>
        <v/>
      </c>
      <c r="J327" s="56" t="str">
        <f>IF($F327&lt;&gt;"", [1]FX!E326, "")</f>
        <v/>
      </c>
      <c r="K327" s="56" t="str">
        <f>IF($F327&lt;&gt;"", [1]FX!F326, "")</f>
        <v/>
      </c>
      <c r="L327" s="56" t="str">
        <f>IF($F327&lt;&gt;"", [1]FX!G326, "")</f>
        <v/>
      </c>
    </row>
    <row r="328" spans="6:12" x14ac:dyDescent="0.2">
      <c r="F328" s="57" t="str">
        <f>IF([1]FX!A327&gt;1, [1]FX!A327, "")</f>
        <v/>
      </c>
      <c r="G328" s="56" t="str">
        <f>IF($F328&lt;&gt;"", [1]FX!B327, "")</f>
        <v/>
      </c>
      <c r="H328" s="56" t="str">
        <f>IF($F328&lt;&gt;"", [1]FX!C327, "")</f>
        <v/>
      </c>
      <c r="I328" s="56" t="str">
        <f>IF($F328&lt;&gt;"", [1]FX!D327, "")</f>
        <v/>
      </c>
      <c r="J328" s="56" t="str">
        <f>IF($F328&lt;&gt;"", [1]FX!E327, "")</f>
        <v/>
      </c>
      <c r="K328" s="56" t="str">
        <f>IF($F328&lt;&gt;"", [1]FX!F327, "")</f>
        <v/>
      </c>
      <c r="L328" s="56" t="str">
        <f>IF($F328&lt;&gt;"", [1]FX!G327, "")</f>
        <v/>
      </c>
    </row>
    <row r="329" spans="6:12" x14ac:dyDescent="0.2">
      <c r="F329" s="57" t="str">
        <f>IF([1]FX!A328&gt;1, [1]FX!A328, "")</f>
        <v/>
      </c>
      <c r="G329" s="56" t="str">
        <f>IF($F329&lt;&gt;"", [1]FX!B328, "")</f>
        <v/>
      </c>
      <c r="H329" s="56" t="str">
        <f>IF($F329&lt;&gt;"", [1]FX!C328, "")</f>
        <v/>
      </c>
      <c r="I329" s="56" t="str">
        <f>IF($F329&lt;&gt;"", [1]FX!D328, "")</f>
        <v/>
      </c>
      <c r="J329" s="56" t="str">
        <f>IF($F329&lt;&gt;"", [1]FX!E328, "")</f>
        <v/>
      </c>
      <c r="K329" s="56" t="str">
        <f>IF($F329&lt;&gt;"", [1]FX!F328, "")</f>
        <v/>
      </c>
      <c r="L329" s="56" t="str">
        <f>IF($F329&lt;&gt;"", [1]FX!G328, "")</f>
        <v/>
      </c>
    </row>
    <row r="330" spans="6:12" x14ac:dyDescent="0.2">
      <c r="F330" s="57" t="str">
        <f>IF([1]FX!A329&gt;1, [1]FX!A329, "")</f>
        <v/>
      </c>
      <c r="G330" s="56" t="str">
        <f>IF($F330&lt;&gt;"", [1]FX!B329, "")</f>
        <v/>
      </c>
      <c r="H330" s="56" t="str">
        <f>IF($F330&lt;&gt;"", [1]FX!C329, "")</f>
        <v/>
      </c>
      <c r="I330" s="56" t="str">
        <f>IF($F330&lt;&gt;"", [1]FX!D329, "")</f>
        <v/>
      </c>
      <c r="J330" s="56" t="str">
        <f>IF($F330&lt;&gt;"", [1]FX!E329, "")</f>
        <v/>
      </c>
      <c r="K330" s="56" t="str">
        <f>IF($F330&lt;&gt;"", [1]FX!F329, "")</f>
        <v/>
      </c>
      <c r="L330" s="56" t="str">
        <f>IF($F330&lt;&gt;"", [1]FX!G329, "")</f>
        <v/>
      </c>
    </row>
    <row r="331" spans="6:12" x14ac:dyDescent="0.2">
      <c r="F331" s="57" t="str">
        <f>IF([1]FX!A330&gt;1, [1]FX!A330, "")</f>
        <v/>
      </c>
      <c r="G331" s="56" t="str">
        <f>IF($F331&lt;&gt;"", [1]FX!B330, "")</f>
        <v/>
      </c>
      <c r="H331" s="56" t="str">
        <f>IF($F331&lt;&gt;"", [1]FX!C330, "")</f>
        <v/>
      </c>
      <c r="I331" s="56" t="str">
        <f>IF($F331&lt;&gt;"", [1]FX!D330, "")</f>
        <v/>
      </c>
      <c r="J331" s="56" t="str">
        <f>IF($F331&lt;&gt;"", [1]FX!E330, "")</f>
        <v/>
      </c>
      <c r="K331" s="56" t="str">
        <f>IF($F331&lt;&gt;"", [1]FX!F330, "")</f>
        <v/>
      </c>
      <c r="L331" s="56" t="str">
        <f>IF($F331&lt;&gt;"", [1]FX!G330, "")</f>
        <v/>
      </c>
    </row>
    <row r="332" spans="6:12" x14ac:dyDescent="0.2">
      <c r="F332" s="57" t="str">
        <f>IF([1]FX!A331&gt;1, [1]FX!A331, "")</f>
        <v/>
      </c>
      <c r="G332" s="56" t="str">
        <f>IF($F332&lt;&gt;"", [1]FX!B331, "")</f>
        <v/>
      </c>
      <c r="H332" s="56" t="str">
        <f>IF($F332&lt;&gt;"", [1]FX!C331, "")</f>
        <v/>
      </c>
      <c r="I332" s="56" t="str">
        <f>IF($F332&lt;&gt;"", [1]FX!D331, "")</f>
        <v/>
      </c>
      <c r="J332" s="56" t="str">
        <f>IF($F332&lt;&gt;"", [1]FX!E331, "")</f>
        <v/>
      </c>
      <c r="K332" s="56" t="str">
        <f>IF($F332&lt;&gt;"", [1]FX!F331, "")</f>
        <v/>
      </c>
      <c r="L332" s="56" t="str">
        <f>IF($F332&lt;&gt;"", [1]FX!G331, "")</f>
        <v/>
      </c>
    </row>
    <row r="333" spans="6:12" x14ac:dyDescent="0.2">
      <c r="F333" s="57" t="str">
        <f>IF([1]FX!A332&gt;1, [1]FX!A332, "")</f>
        <v/>
      </c>
      <c r="G333" s="56" t="str">
        <f>IF($F333&lt;&gt;"", [1]FX!B332, "")</f>
        <v/>
      </c>
      <c r="H333" s="56" t="str">
        <f>IF($F333&lt;&gt;"", [1]FX!C332, "")</f>
        <v/>
      </c>
      <c r="I333" s="56" t="str">
        <f>IF($F333&lt;&gt;"", [1]FX!D332, "")</f>
        <v/>
      </c>
      <c r="J333" s="56" t="str">
        <f>IF($F333&lt;&gt;"", [1]FX!E332, "")</f>
        <v/>
      </c>
      <c r="K333" s="56" t="str">
        <f>IF($F333&lt;&gt;"", [1]FX!F332, "")</f>
        <v/>
      </c>
      <c r="L333" s="56" t="str">
        <f>IF($F333&lt;&gt;"", [1]FX!G332, "")</f>
        <v/>
      </c>
    </row>
    <row r="334" spans="6:12" x14ac:dyDescent="0.2">
      <c r="F334" s="57" t="str">
        <f>IF([1]FX!A333&gt;1, [1]FX!A333, "")</f>
        <v/>
      </c>
      <c r="G334" s="56" t="str">
        <f>IF($F334&lt;&gt;"", [1]FX!B333, "")</f>
        <v/>
      </c>
      <c r="H334" s="56" t="str">
        <f>IF($F334&lt;&gt;"", [1]FX!C333, "")</f>
        <v/>
      </c>
      <c r="I334" s="56" t="str">
        <f>IF($F334&lt;&gt;"", [1]FX!D333, "")</f>
        <v/>
      </c>
      <c r="J334" s="56" t="str">
        <f>IF($F334&lt;&gt;"", [1]FX!E333, "")</f>
        <v/>
      </c>
      <c r="K334" s="56" t="str">
        <f>IF($F334&lt;&gt;"", [1]FX!F333, "")</f>
        <v/>
      </c>
      <c r="L334" s="56" t="str">
        <f>IF($F334&lt;&gt;"", [1]FX!G333, "")</f>
        <v/>
      </c>
    </row>
    <row r="335" spans="6:12" x14ac:dyDescent="0.2">
      <c r="F335" s="57" t="str">
        <f>IF([1]FX!A334&gt;1, [1]FX!A334, "")</f>
        <v/>
      </c>
      <c r="G335" s="56" t="str">
        <f>IF($F335&lt;&gt;"", [1]FX!B334, "")</f>
        <v/>
      </c>
      <c r="H335" s="56" t="str">
        <f>IF($F335&lt;&gt;"", [1]FX!C334, "")</f>
        <v/>
      </c>
      <c r="I335" s="56" t="str">
        <f>IF($F335&lt;&gt;"", [1]FX!D334, "")</f>
        <v/>
      </c>
      <c r="J335" s="56" t="str">
        <f>IF($F335&lt;&gt;"", [1]FX!E334, "")</f>
        <v/>
      </c>
      <c r="K335" s="56" t="str">
        <f>IF($F335&lt;&gt;"", [1]FX!F334, "")</f>
        <v/>
      </c>
      <c r="L335" s="56" t="str">
        <f>IF($F335&lt;&gt;"", [1]FX!G334, "")</f>
        <v/>
      </c>
    </row>
    <row r="336" spans="6:12" x14ac:dyDescent="0.2">
      <c r="F336" s="57" t="str">
        <f>IF([1]FX!A335&gt;1, [1]FX!A335, "")</f>
        <v/>
      </c>
      <c r="G336" s="56" t="str">
        <f>IF($F336&lt;&gt;"", [1]FX!B335, "")</f>
        <v/>
      </c>
      <c r="H336" s="56" t="str">
        <f>IF($F336&lt;&gt;"", [1]FX!C335, "")</f>
        <v/>
      </c>
      <c r="I336" s="56" t="str">
        <f>IF($F336&lt;&gt;"", [1]FX!D335, "")</f>
        <v/>
      </c>
      <c r="J336" s="56" t="str">
        <f>IF($F336&lt;&gt;"", [1]FX!E335, "")</f>
        <v/>
      </c>
      <c r="K336" s="56" t="str">
        <f>IF($F336&lt;&gt;"", [1]FX!F335, "")</f>
        <v/>
      </c>
      <c r="L336" s="56" t="str">
        <f>IF($F336&lt;&gt;"", [1]FX!G335, "")</f>
        <v/>
      </c>
    </row>
    <row r="337" spans="6:12" x14ac:dyDescent="0.2">
      <c r="F337" s="57" t="str">
        <f>IF([1]FX!A336&gt;1, [1]FX!A336, "")</f>
        <v/>
      </c>
      <c r="G337" s="56" t="str">
        <f>IF($F337&lt;&gt;"", [1]FX!B336, "")</f>
        <v/>
      </c>
      <c r="H337" s="56" t="str">
        <f>IF($F337&lt;&gt;"", [1]FX!C336, "")</f>
        <v/>
      </c>
      <c r="I337" s="56" t="str">
        <f>IF($F337&lt;&gt;"", [1]FX!D336, "")</f>
        <v/>
      </c>
      <c r="J337" s="56" t="str">
        <f>IF($F337&lt;&gt;"", [1]FX!E336, "")</f>
        <v/>
      </c>
      <c r="K337" s="56" t="str">
        <f>IF($F337&lt;&gt;"", [1]FX!F336, "")</f>
        <v/>
      </c>
      <c r="L337" s="56" t="str">
        <f>IF($F337&lt;&gt;"", [1]FX!G336, "")</f>
        <v/>
      </c>
    </row>
    <row r="338" spans="6:12" x14ac:dyDescent="0.2">
      <c r="F338" s="57" t="str">
        <f>IF([1]FX!A337&gt;1, [1]FX!A337, "")</f>
        <v/>
      </c>
      <c r="G338" s="56" t="str">
        <f>IF($F338&lt;&gt;"", [1]FX!B337, "")</f>
        <v/>
      </c>
      <c r="H338" s="56" t="str">
        <f>IF($F338&lt;&gt;"", [1]FX!C337, "")</f>
        <v/>
      </c>
      <c r="I338" s="56" t="str">
        <f>IF($F338&lt;&gt;"", [1]FX!D337, "")</f>
        <v/>
      </c>
      <c r="J338" s="56" t="str">
        <f>IF($F338&lt;&gt;"", [1]FX!E337, "")</f>
        <v/>
      </c>
      <c r="K338" s="56" t="str">
        <f>IF($F338&lt;&gt;"", [1]FX!F337, "")</f>
        <v/>
      </c>
      <c r="L338" s="56" t="str">
        <f>IF($F338&lt;&gt;"", [1]FX!G337, "")</f>
        <v/>
      </c>
    </row>
    <row r="339" spans="6:12" x14ac:dyDescent="0.2">
      <c r="F339" s="57" t="str">
        <f>IF([1]FX!A338&gt;1, [1]FX!A338, "")</f>
        <v/>
      </c>
      <c r="G339" s="56" t="str">
        <f>IF($F339&lt;&gt;"", [1]FX!B338, "")</f>
        <v/>
      </c>
      <c r="H339" s="56" t="str">
        <f>IF($F339&lt;&gt;"", [1]FX!C338, "")</f>
        <v/>
      </c>
      <c r="I339" s="56" t="str">
        <f>IF($F339&lt;&gt;"", [1]FX!D338, "")</f>
        <v/>
      </c>
      <c r="J339" s="56" t="str">
        <f>IF($F339&lt;&gt;"", [1]FX!E338, "")</f>
        <v/>
      </c>
      <c r="K339" s="56" t="str">
        <f>IF($F339&lt;&gt;"", [1]FX!F338, "")</f>
        <v/>
      </c>
      <c r="L339" s="56" t="str">
        <f>IF($F339&lt;&gt;"", [1]FX!G338, "")</f>
        <v/>
      </c>
    </row>
    <row r="340" spans="6:12" x14ac:dyDescent="0.2">
      <c r="F340" s="57" t="str">
        <f>IF([1]FX!A339&gt;1, [1]FX!A339, "")</f>
        <v/>
      </c>
      <c r="G340" s="56" t="str">
        <f>IF($F340&lt;&gt;"", [1]FX!B339, "")</f>
        <v/>
      </c>
      <c r="H340" s="56" t="str">
        <f>IF($F340&lt;&gt;"", [1]FX!C339, "")</f>
        <v/>
      </c>
      <c r="I340" s="56" t="str">
        <f>IF($F340&lt;&gt;"", [1]FX!D339, "")</f>
        <v/>
      </c>
      <c r="J340" s="56" t="str">
        <f>IF($F340&lt;&gt;"", [1]FX!E339, "")</f>
        <v/>
      </c>
      <c r="K340" s="56" t="str">
        <f>IF($F340&lt;&gt;"", [1]FX!F339, "")</f>
        <v/>
      </c>
      <c r="L340" s="56" t="str">
        <f>IF($F340&lt;&gt;"", [1]FX!G339, "")</f>
        <v/>
      </c>
    </row>
    <row r="341" spans="6:12" x14ac:dyDescent="0.2">
      <c r="F341" s="57" t="str">
        <f>IF([1]FX!A340&gt;1, [1]FX!A340, "")</f>
        <v/>
      </c>
      <c r="G341" s="56" t="str">
        <f>IF($F341&lt;&gt;"", [1]FX!B340, "")</f>
        <v/>
      </c>
      <c r="H341" s="56" t="str">
        <f>IF($F341&lt;&gt;"", [1]FX!C340, "")</f>
        <v/>
      </c>
      <c r="I341" s="56" t="str">
        <f>IF($F341&lt;&gt;"", [1]FX!D340, "")</f>
        <v/>
      </c>
      <c r="J341" s="56" t="str">
        <f>IF($F341&lt;&gt;"", [1]FX!E340, "")</f>
        <v/>
      </c>
      <c r="K341" s="56" t="str">
        <f>IF($F341&lt;&gt;"", [1]FX!F340, "")</f>
        <v/>
      </c>
      <c r="L341" s="56" t="str">
        <f>IF($F341&lt;&gt;"", [1]FX!G340, "")</f>
        <v/>
      </c>
    </row>
    <row r="342" spans="6:12" x14ac:dyDescent="0.2">
      <c r="F342" s="57" t="str">
        <f>IF([1]FX!A341&gt;1, [1]FX!A341, "")</f>
        <v/>
      </c>
      <c r="G342" s="56" t="str">
        <f>IF($F342&lt;&gt;"", [1]FX!B341, "")</f>
        <v/>
      </c>
      <c r="H342" s="56" t="str">
        <f>IF($F342&lt;&gt;"", [1]FX!C341, "")</f>
        <v/>
      </c>
      <c r="I342" s="56" t="str">
        <f>IF($F342&lt;&gt;"", [1]FX!D341, "")</f>
        <v/>
      </c>
      <c r="J342" s="56" t="str">
        <f>IF($F342&lt;&gt;"", [1]FX!E341, "")</f>
        <v/>
      </c>
      <c r="K342" s="56" t="str">
        <f>IF($F342&lt;&gt;"", [1]FX!F341, "")</f>
        <v/>
      </c>
      <c r="L342" s="56" t="str">
        <f>IF($F342&lt;&gt;"", [1]FX!G341, "")</f>
        <v/>
      </c>
    </row>
    <row r="343" spans="6:12" x14ac:dyDescent="0.2">
      <c r="F343" s="57" t="str">
        <f>IF([1]FX!A342&gt;1, [1]FX!A342, "")</f>
        <v/>
      </c>
      <c r="G343" s="56" t="str">
        <f>IF($F343&lt;&gt;"", [1]FX!B342, "")</f>
        <v/>
      </c>
      <c r="H343" s="56" t="str">
        <f>IF($F343&lt;&gt;"", [1]FX!C342, "")</f>
        <v/>
      </c>
      <c r="I343" s="56" t="str">
        <f>IF($F343&lt;&gt;"", [1]FX!D342, "")</f>
        <v/>
      </c>
      <c r="J343" s="56" t="str">
        <f>IF($F343&lt;&gt;"", [1]FX!E342, "")</f>
        <v/>
      </c>
      <c r="K343" s="56" t="str">
        <f>IF($F343&lt;&gt;"", [1]FX!F342, "")</f>
        <v/>
      </c>
      <c r="L343" s="56" t="str">
        <f>IF($F343&lt;&gt;"", [1]FX!G342, "")</f>
        <v/>
      </c>
    </row>
    <row r="344" spans="6:12" x14ac:dyDescent="0.2">
      <c r="F344" s="57" t="str">
        <f>IF([1]FX!A343&gt;1, [1]FX!A343, "")</f>
        <v/>
      </c>
      <c r="G344" s="56" t="str">
        <f>IF($F344&lt;&gt;"", [1]FX!B343, "")</f>
        <v/>
      </c>
      <c r="H344" s="56" t="str">
        <f>IF($F344&lt;&gt;"", [1]FX!C343, "")</f>
        <v/>
      </c>
      <c r="I344" s="56" t="str">
        <f>IF($F344&lt;&gt;"", [1]FX!D343, "")</f>
        <v/>
      </c>
      <c r="J344" s="56" t="str">
        <f>IF($F344&lt;&gt;"", [1]FX!E343, "")</f>
        <v/>
      </c>
      <c r="K344" s="56" t="str">
        <f>IF($F344&lt;&gt;"", [1]FX!F343, "")</f>
        <v/>
      </c>
      <c r="L344" s="56" t="str">
        <f>IF($F344&lt;&gt;"", [1]FX!G343, "")</f>
        <v/>
      </c>
    </row>
    <row r="345" spans="6:12" x14ac:dyDescent="0.2">
      <c r="F345" s="57" t="str">
        <f>IF([1]FX!A344&gt;1, [1]FX!A344, "")</f>
        <v/>
      </c>
      <c r="G345" s="56" t="str">
        <f>IF($F345&lt;&gt;"", [1]FX!B344, "")</f>
        <v/>
      </c>
      <c r="H345" s="56" t="str">
        <f>IF($F345&lt;&gt;"", [1]FX!C344, "")</f>
        <v/>
      </c>
      <c r="I345" s="56" t="str">
        <f>IF($F345&lt;&gt;"", [1]FX!D344, "")</f>
        <v/>
      </c>
      <c r="J345" s="56" t="str">
        <f>IF($F345&lt;&gt;"", [1]FX!E344, "")</f>
        <v/>
      </c>
      <c r="K345" s="56" t="str">
        <f>IF($F345&lt;&gt;"", [1]FX!F344, "")</f>
        <v/>
      </c>
      <c r="L345" s="56" t="str">
        <f>IF($F345&lt;&gt;"", [1]FX!G344, "")</f>
        <v/>
      </c>
    </row>
    <row r="346" spans="6:12" x14ac:dyDescent="0.2">
      <c r="F346" s="57" t="str">
        <f>IF([1]FX!A345&gt;1, [1]FX!A345, "")</f>
        <v/>
      </c>
      <c r="G346" s="56" t="str">
        <f>IF($F346&lt;&gt;"", [1]FX!B345, "")</f>
        <v/>
      </c>
      <c r="H346" s="56" t="str">
        <f>IF($F346&lt;&gt;"", [1]FX!C345, "")</f>
        <v/>
      </c>
      <c r="I346" s="56" t="str">
        <f>IF($F346&lt;&gt;"", [1]FX!D345, "")</f>
        <v/>
      </c>
      <c r="J346" s="56" t="str">
        <f>IF($F346&lt;&gt;"", [1]FX!E345, "")</f>
        <v/>
      </c>
      <c r="K346" s="56" t="str">
        <f>IF($F346&lt;&gt;"", [1]FX!F345, "")</f>
        <v/>
      </c>
      <c r="L346" s="56" t="str">
        <f>IF($F346&lt;&gt;"", [1]FX!G345, "")</f>
        <v/>
      </c>
    </row>
    <row r="347" spans="6:12" x14ac:dyDescent="0.2">
      <c r="F347" s="57" t="str">
        <f>IF([1]FX!A346&gt;1, [1]FX!A346, "")</f>
        <v/>
      </c>
      <c r="G347" s="56" t="str">
        <f>IF($F347&lt;&gt;"", [1]FX!B346, "")</f>
        <v/>
      </c>
      <c r="H347" s="56" t="str">
        <f>IF($F347&lt;&gt;"", [1]FX!C346, "")</f>
        <v/>
      </c>
      <c r="I347" s="56" t="str">
        <f>IF($F347&lt;&gt;"", [1]FX!D346, "")</f>
        <v/>
      </c>
      <c r="J347" s="56" t="str">
        <f>IF($F347&lt;&gt;"", [1]FX!E346, "")</f>
        <v/>
      </c>
      <c r="K347" s="56" t="str">
        <f>IF($F347&lt;&gt;"", [1]FX!F346, "")</f>
        <v/>
      </c>
      <c r="L347" s="56" t="str">
        <f>IF($F347&lt;&gt;"", [1]FX!G346, "")</f>
        <v/>
      </c>
    </row>
    <row r="348" spans="6:12" x14ac:dyDescent="0.2">
      <c r="F348" s="57" t="str">
        <f>IF([1]FX!A347&gt;1, [1]FX!A347, "")</f>
        <v/>
      </c>
      <c r="G348" s="56" t="str">
        <f>IF($F348&lt;&gt;"", [1]FX!B347, "")</f>
        <v/>
      </c>
      <c r="H348" s="56" t="str">
        <f>IF($F348&lt;&gt;"", [1]FX!C347, "")</f>
        <v/>
      </c>
      <c r="I348" s="56" t="str">
        <f>IF($F348&lt;&gt;"", [1]FX!D347, "")</f>
        <v/>
      </c>
      <c r="J348" s="56" t="str">
        <f>IF($F348&lt;&gt;"", [1]FX!E347, "")</f>
        <v/>
      </c>
      <c r="K348" s="56" t="str">
        <f>IF($F348&lt;&gt;"", [1]FX!F347, "")</f>
        <v/>
      </c>
      <c r="L348" s="56" t="str">
        <f>IF($F348&lt;&gt;"", [1]FX!G347, "")</f>
        <v/>
      </c>
    </row>
    <row r="349" spans="6:12" x14ac:dyDescent="0.2">
      <c r="F349" s="57" t="str">
        <f>IF([1]FX!A348&gt;1, [1]FX!A348, "")</f>
        <v/>
      </c>
      <c r="G349" s="56" t="str">
        <f>IF($F349&lt;&gt;"", [1]FX!B348, "")</f>
        <v/>
      </c>
      <c r="H349" s="56" t="str">
        <f>IF($F349&lt;&gt;"", [1]FX!C348, "")</f>
        <v/>
      </c>
      <c r="I349" s="56" t="str">
        <f>IF($F349&lt;&gt;"", [1]FX!D348, "")</f>
        <v/>
      </c>
      <c r="J349" s="56" t="str">
        <f>IF($F349&lt;&gt;"", [1]FX!E348, "")</f>
        <v/>
      </c>
      <c r="K349" s="56" t="str">
        <f>IF($F349&lt;&gt;"", [1]FX!F348, "")</f>
        <v/>
      </c>
      <c r="L349" s="56" t="str">
        <f>IF($F349&lt;&gt;"", [1]FX!G348, "")</f>
        <v/>
      </c>
    </row>
    <row r="350" spans="6:12" x14ac:dyDescent="0.2">
      <c r="F350" s="57" t="str">
        <f>IF([1]FX!A349&gt;1, [1]FX!A349, "")</f>
        <v/>
      </c>
      <c r="G350" s="56" t="str">
        <f>IF($F350&lt;&gt;"", [1]FX!B349, "")</f>
        <v/>
      </c>
      <c r="H350" s="56" t="str">
        <f>IF($F350&lt;&gt;"", [1]FX!C349, "")</f>
        <v/>
      </c>
      <c r="I350" s="56" t="str">
        <f>IF($F350&lt;&gt;"", [1]FX!D349, "")</f>
        <v/>
      </c>
      <c r="J350" s="56" t="str">
        <f>IF($F350&lt;&gt;"", [1]FX!E349, "")</f>
        <v/>
      </c>
      <c r="K350" s="56" t="str">
        <f>IF($F350&lt;&gt;"", [1]FX!F349, "")</f>
        <v/>
      </c>
      <c r="L350" s="56" t="str">
        <f>IF($F350&lt;&gt;"", [1]FX!G349, "")</f>
        <v/>
      </c>
    </row>
    <row r="351" spans="6:12" x14ac:dyDescent="0.2">
      <c r="F351" s="57" t="str">
        <f>IF([1]FX!A350&gt;1, [1]FX!A350, "")</f>
        <v/>
      </c>
      <c r="G351" s="56" t="str">
        <f>IF($F351&lt;&gt;"", [1]FX!B350, "")</f>
        <v/>
      </c>
      <c r="H351" s="56" t="str">
        <f>IF($F351&lt;&gt;"", [1]FX!C350, "")</f>
        <v/>
      </c>
      <c r="I351" s="56" t="str">
        <f>IF($F351&lt;&gt;"", [1]FX!D350, "")</f>
        <v/>
      </c>
      <c r="J351" s="56" t="str">
        <f>IF($F351&lt;&gt;"", [1]FX!E350, "")</f>
        <v/>
      </c>
      <c r="K351" s="56" t="str">
        <f>IF($F351&lt;&gt;"", [1]FX!F350, "")</f>
        <v/>
      </c>
      <c r="L351" s="56" t="str">
        <f>IF($F351&lt;&gt;"", [1]FX!G350, "")</f>
        <v/>
      </c>
    </row>
    <row r="352" spans="6:12" x14ac:dyDescent="0.2">
      <c r="F352" s="57" t="str">
        <f>IF([1]FX!A351&gt;1, [1]FX!A351, "")</f>
        <v/>
      </c>
      <c r="G352" s="56" t="str">
        <f>IF($F352&lt;&gt;"", [1]FX!B351, "")</f>
        <v/>
      </c>
      <c r="H352" s="56" t="str">
        <f>IF($F352&lt;&gt;"", [1]FX!C351, "")</f>
        <v/>
      </c>
      <c r="I352" s="56" t="str">
        <f>IF($F352&lt;&gt;"", [1]FX!D351, "")</f>
        <v/>
      </c>
      <c r="J352" s="56" t="str">
        <f>IF($F352&lt;&gt;"", [1]FX!E351, "")</f>
        <v/>
      </c>
      <c r="K352" s="56" t="str">
        <f>IF($F352&lt;&gt;"", [1]FX!F351, "")</f>
        <v/>
      </c>
      <c r="L352" s="56" t="str">
        <f>IF($F352&lt;&gt;"", [1]FX!G351, "")</f>
        <v/>
      </c>
    </row>
    <row r="353" spans="6:12" x14ac:dyDescent="0.2">
      <c r="F353" s="57" t="str">
        <f>IF([1]FX!A352&gt;1, [1]FX!A352, "")</f>
        <v/>
      </c>
      <c r="G353" s="56" t="str">
        <f>IF($F353&lt;&gt;"", [1]FX!B352, "")</f>
        <v/>
      </c>
      <c r="H353" s="56" t="str">
        <f>IF($F353&lt;&gt;"", [1]FX!C352, "")</f>
        <v/>
      </c>
      <c r="I353" s="56" t="str">
        <f>IF($F353&lt;&gt;"", [1]FX!D352, "")</f>
        <v/>
      </c>
      <c r="J353" s="56" t="str">
        <f>IF($F353&lt;&gt;"", [1]FX!E352, "")</f>
        <v/>
      </c>
      <c r="K353" s="56" t="str">
        <f>IF($F353&lt;&gt;"", [1]FX!F352, "")</f>
        <v/>
      </c>
      <c r="L353" s="56" t="str">
        <f>IF($F353&lt;&gt;"", [1]FX!G352, "")</f>
        <v/>
      </c>
    </row>
    <row r="354" spans="6:12" x14ac:dyDescent="0.2">
      <c r="F354" s="57" t="str">
        <f>IF([1]FX!A353&gt;1, [1]FX!A353, "")</f>
        <v/>
      </c>
      <c r="G354" s="56" t="str">
        <f>IF($F354&lt;&gt;"", [1]FX!B353, "")</f>
        <v/>
      </c>
      <c r="H354" s="56" t="str">
        <f>IF($F354&lt;&gt;"", [1]FX!C353, "")</f>
        <v/>
      </c>
      <c r="I354" s="56" t="str">
        <f>IF($F354&lt;&gt;"", [1]FX!D353, "")</f>
        <v/>
      </c>
      <c r="J354" s="56" t="str">
        <f>IF($F354&lt;&gt;"", [1]FX!E353, "")</f>
        <v/>
      </c>
      <c r="K354" s="56" t="str">
        <f>IF($F354&lt;&gt;"", [1]FX!F353, "")</f>
        <v/>
      </c>
      <c r="L354" s="56" t="str">
        <f>IF($F354&lt;&gt;"", [1]FX!G353, "")</f>
        <v/>
      </c>
    </row>
    <row r="355" spans="6:12" x14ac:dyDescent="0.2">
      <c r="F355" s="57" t="str">
        <f>IF([1]FX!A354&gt;1, [1]FX!A354, "")</f>
        <v/>
      </c>
      <c r="G355" s="56" t="str">
        <f>IF($F355&lt;&gt;"", [1]FX!B354, "")</f>
        <v/>
      </c>
      <c r="H355" s="56" t="str">
        <f>IF($F355&lt;&gt;"", [1]FX!C354, "")</f>
        <v/>
      </c>
      <c r="I355" s="56" t="str">
        <f>IF($F355&lt;&gt;"", [1]FX!D354, "")</f>
        <v/>
      </c>
      <c r="J355" s="56" t="str">
        <f>IF($F355&lt;&gt;"", [1]FX!E354, "")</f>
        <v/>
      </c>
      <c r="K355" s="56" t="str">
        <f>IF($F355&lt;&gt;"", [1]FX!F354, "")</f>
        <v/>
      </c>
      <c r="L355" s="56" t="str">
        <f>IF($F355&lt;&gt;"", [1]FX!G354, "")</f>
        <v/>
      </c>
    </row>
    <row r="356" spans="6:12" x14ac:dyDescent="0.2">
      <c r="F356" s="57" t="str">
        <f>IF([1]FX!A355&gt;1, [1]FX!A355, "")</f>
        <v/>
      </c>
      <c r="G356" s="56" t="str">
        <f>IF($F356&lt;&gt;"", [1]FX!B355, "")</f>
        <v/>
      </c>
      <c r="H356" s="56" t="str">
        <f>IF($F356&lt;&gt;"", [1]FX!C355, "")</f>
        <v/>
      </c>
      <c r="I356" s="56" t="str">
        <f>IF($F356&lt;&gt;"", [1]FX!D355, "")</f>
        <v/>
      </c>
      <c r="J356" s="56" t="str">
        <f>IF($F356&lt;&gt;"", [1]FX!E355, "")</f>
        <v/>
      </c>
      <c r="K356" s="56" t="str">
        <f>IF($F356&lt;&gt;"", [1]FX!F355, "")</f>
        <v/>
      </c>
      <c r="L356" s="56" t="str">
        <f>IF($F356&lt;&gt;"", [1]FX!G355, "")</f>
        <v/>
      </c>
    </row>
    <row r="357" spans="6:12" x14ac:dyDescent="0.2">
      <c r="F357" s="57" t="str">
        <f>IF([1]FX!A356&gt;1, [1]FX!A356, "")</f>
        <v/>
      </c>
      <c r="G357" s="56" t="str">
        <f>IF($F357&lt;&gt;"", [1]FX!B356, "")</f>
        <v/>
      </c>
      <c r="H357" s="56" t="str">
        <f>IF($F357&lt;&gt;"", [1]FX!C356, "")</f>
        <v/>
      </c>
      <c r="I357" s="56" t="str">
        <f>IF($F357&lt;&gt;"", [1]FX!D356, "")</f>
        <v/>
      </c>
      <c r="J357" s="56" t="str">
        <f>IF($F357&lt;&gt;"", [1]FX!E356, "")</f>
        <v/>
      </c>
      <c r="K357" s="56" t="str">
        <f>IF($F357&lt;&gt;"", [1]FX!F356, "")</f>
        <v/>
      </c>
      <c r="L357" s="56" t="str">
        <f>IF($F357&lt;&gt;"", [1]FX!G356, "")</f>
        <v/>
      </c>
    </row>
    <row r="358" spans="6:12" x14ac:dyDescent="0.2">
      <c r="F358" s="57" t="str">
        <f>IF([1]FX!A357&gt;1, [1]FX!A357, "")</f>
        <v/>
      </c>
      <c r="G358" s="56" t="str">
        <f>IF($F358&lt;&gt;"", [1]FX!B357, "")</f>
        <v/>
      </c>
      <c r="H358" s="56" t="str">
        <f>IF($F358&lt;&gt;"", [1]FX!C357, "")</f>
        <v/>
      </c>
      <c r="I358" s="56" t="str">
        <f>IF($F358&lt;&gt;"", [1]FX!D357, "")</f>
        <v/>
      </c>
      <c r="J358" s="56" t="str">
        <f>IF($F358&lt;&gt;"", [1]FX!E357, "")</f>
        <v/>
      </c>
      <c r="K358" s="56" t="str">
        <f>IF($F358&lt;&gt;"", [1]FX!F357, "")</f>
        <v/>
      </c>
      <c r="L358" s="56" t="str">
        <f>IF($F358&lt;&gt;"", [1]FX!G357, "")</f>
        <v/>
      </c>
    </row>
    <row r="359" spans="6:12" x14ac:dyDescent="0.2">
      <c r="F359" s="57" t="str">
        <f>IF([1]FX!A358&gt;1, [1]FX!A358, "")</f>
        <v/>
      </c>
      <c r="G359" s="56" t="str">
        <f>IF($F359&lt;&gt;"", [1]FX!B358, "")</f>
        <v/>
      </c>
      <c r="H359" s="56" t="str">
        <f>IF($F359&lt;&gt;"", [1]FX!C358, "")</f>
        <v/>
      </c>
      <c r="I359" s="56" t="str">
        <f>IF($F359&lt;&gt;"", [1]FX!D358, "")</f>
        <v/>
      </c>
      <c r="J359" s="56" t="str">
        <f>IF($F359&lt;&gt;"", [1]FX!E358, "")</f>
        <v/>
      </c>
      <c r="K359" s="56" t="str">
        <f>IF($F359&lt;&gt;"", [1]FX!F358, "")</f>
        <v/>
      </c>
      <c r="L359" s="56" t="str">
        <f>IF($F359&lt;&gt;"", [1]FX!G358, "")</f>
        <v/>
      </c>
    </row>
    <row r="360" spans="6:12" x14ac:dyDescent="0.2">
      <c r="F360" s="57" t="str">
        <f>IF([1]FX!A359&gt;1, [1]FX!A359, "")</f>
        <v/>
      </c>
      <c r="G360" s="56" t="str">
        <f>IF($F360&lt;&gt;"", [1]FX!B359, "")</f>
        <v/>
      </c>
      <c r="H360" s="56" t="str">
        <f>IF($F360&lt;&gt;"", [1]FX!C359, "")</f>
        <v/>
      </c>
      <c r="I360" s="56" t="str">
        <f>IF($F360&lt;&gt;"", [1]FX!D359, "")</f>
        <v/>
      </c>
      <c r="J360" s="56" t="str">
        <f>IF($F360&lt;&gt;"", [1]FX!E359, "")</f>
        <v/>
      </c>
      <c r="K360" s="56" t="str">
        <f>IF($F360&lt;&gt;"", [1]FX!F359, "")</f>
        <v/>
      </c>
      <c r="L360" s="56" t="str">
        <f>IF($F360&lt;&gt;"", [1]FX!G359, "")</f>
        <v/>
      </c>
    </row>
    <row r="361" spans="6:12" x14ac:dyDescent="0.2">
      <c r="F361" s="57" t="str">
        <f>IF([1]FX!A360&gt;1, [1]FX!A360, "")</f>
        <v/>
      </c>
      <c r="G361" s="56" t="str">
        <f>IF($F361&lt;&gt;"", [1]FX!B360, "")</f>
        <v/>
      </c>
      <c r="H361" s="56" t="str">
        <f>IF($F361&lt;&gt;"", [1]FX!C360, "")</f>
        <v/>
      </c>
      <c r="I361" s="56" t="str">
        <f>IF($F361&lt;&gt;"", [1]FX!D360, "")</f>
        <v/>
      </c>
      <c r="J361" s="56" t="str">
        <f>IF($F361&lt;&gt;"", [1]FX!E360, "")</f>
        <v/>
      </c>
      <c r="K361" s="56" t="str">
        <f>IF($F361&lt;&gt;"", [1]FX!F360, "")</f>
        <v/>
      </c>
      <c r="L361" s="56" t="str">
        <f>IF($F361&lt;&gt;"", [1]FX!G360, "")</f>
        <v/>
      </c>
    </row>
    <row r="362" spans="6:12" x14ac:dyDescent="0.2">
      <c r="F362" s="57" t="str">
        <f>IF([1]FX!A361&gt;1, [1]FX!A361, "")</f>
        <v/>
      </c>
      <c r="G362" s="56" t="str">
        <f>IF($F362&lt;&gt;"", [1]FX!B361, "")</f>
        <v/>
      </c>
      <c r="H362" s="56" t="str">
        <f>IF($F362&lt;&gt;"", [1]FX!C361, "")</f>
        <v/>
      </c>
      <c r="I362" s="56" t="str">
        <f>IF($F362&lt;&gt;"", [1]FX!D361, "")</f>
        <v/>
      </c>
      <c r="J362" s="56" t="str">
        <f>IF($F362&lt;&gt;"", [1]FX!E361, "")</f>
        <v/>
      </c>
      <c r="K362" s="56" t="str">
        <f>IF($F362&lt;&gt;"", [1]FX!F361, "")</f>
        <v/>
      </c>
      <c r="L362" s="56" t="str">
        <f>IF($F362&lt;&gt;"", [1]FX!G361, "")</f>
        <v/>
      </c>
    </row>
    <row r="363" spans="6:12" x14ac:dyDescent="0.2">
      <c r="F363" s="57" t="str">
        <f>IF([1]FX!A362&gt;1, [1]FX!A362, "")</f>
        <v/>
      </c>
      <c r="G363" s="56" t="str">
        <f>IF($F363&lt;&gt;"", [1]FX!B362, "")</f>
        <v/>
      </c>
      <c r="H363" s="56" t="str">
        <f>IF($F363&lt;&gt;"", [1]FX!C362, "")</f>
        <v/>
      </c>
      <c r="I363" s="56" t="str">
        <f>IF($F363&lt;&gt;"", [1]FX!D362, "")</f>
        <v/>
      </c>
      <c r="J363" s="56" t="str">
        <f>IF($F363&lt;&gt;"", [1]FX!E362, "")</f>
        <v/>
      </c>
      <c r="K363" s="56" t="str">
        <f>IF($F363&lt;&gt;"", [1]FX!F362, "")</f>
        <v/>
      </c>
      <c r="L363" s="56" t="str">
        <f>IF($F363&lt;&gt;"", [1]FX!G362, "")</f>
        <v/>
      </c>
    </row>
    <row r="364" spans="6:12" x14ac:dyDescent="0.2">
      <c r="F364" s="57" t="str">
        <f>IF([1]FX!A363&gt;1, [1]FX!A363, "")</f>
        <v/>
      </c>
      <c r="G364" s="56" t="str">
        <f>IF($F364&lt;&gt;"", [1]FX!B363, "")</f>
        <v/>
      </c>
      <c r="H364" s="56" t="str">
        <f>IF($F364&lt;&gt;"", [1]FX!C363, "")</f>
        <v/>
      </c>
      <c r="I364" s="56" t="str">
        <f>IF($F364&lt;&gt;"", [1]FX!D363, "")</f>
        <v/>
      </c>
      <c r="J364" s="56" t="str">
        <f>IF($F364&lt;&gt;"", [1]FX!E363, "")</f>
        <v/>
      </c>
      <c r="K364" s="56" t="str">
        <f>IF($F364&lt;&gt;"", [1]FX!F363, "")</f>
        <v/>
      </c>
      <c r="L364" s="56" t="str">
        <f>IF($F364&lt;&gt;"", [1]FX!G363, "")</f>
        <v/>
      </c>
    </row>
    <row r="365" spans="6:12" x14ac:dyDescent="0.2">
      <c r="F365" s="57" t="str">
        <f>IF([1]FX!A364&gt;1, [1]FX!A364, "")</f>
        <v/>
      </c>
      <c r="G365" s="56" t="str">
        <f>IF($F365&lt;&gt;"", [1]FX!B364, "")</f>
        <v/>
      </c>
      <c r="H365" s="56" t="str">
        <f>IF($F365&lt;&gt;"", [1]FX!C364, "")</f>
        <v/>
      </c>
      <c r="I365" s="56" t="str">
        <f>IF($F365&lt;&gt;"", [1]FX!D364, "")</f>
        <v/>
      </c>
      <c r="J365" s="56" t="str">
        <f>IF($F365&lt;&gt;"", [1]FX!E364, "")</f>
        <v/>
      </c>
      <c r="K365" s="56" t="str">
        <f>IF($F365&lt;&gt;"", [1]FX!F364, "")</f>
        <v/>
      </c>
      <c r="L365" s="56" t="str">
        <f>IF($F365&lt;&gt;"", [1]FX!G364, "")</f>
        <v/>
      </c>
    </row>
    <row r="366" spans="6:12" x14ac:dyDescent="0.2">
      <c r="F366" s="57" t="str">
        <f>IF([1]FX!A365&gt;1, [1]FX!A365, "")</f>
        <v/>
      </c>
      <c r="G366" s="56" t="str">
        <f>IF($F366&lt;&gt;"", [1]FX!B365, "")</f>
        <v/>
      </c>
      <c r="H366" s="56" t="str">
        <f>IF($F366&lt;&gt;"", [1]FX!C365, "")</f>
        <v/>
      </c>
      <c r="I366" s="56" t="str">
        <f>IF($F366&lt;&gt;"", [1]FX!D365, "")</f>
        <v/>
      </c>
      <c r="J366" s="56" t="str">
        <f>IF($F366&lt;&gt;"", [1]FX!E365, "")</f>
        <v/>
      </c>
      <c r="K366" s="56" t="str">
        <f>IF($F366&lt;&gt;"", [1]FX!F365, "")</f>
        <v/>
      </c>
      <c r="L366" s="56" t="str">
        <f>IF($F366&lt;&gt;"", [1]FX!G365, "")</f>
        <v/>
      </c>
    </row>
    <row r="367" spans="6:12" x14ac:dyDescent="0.2">
      <c r="F367" s="57" t="str">
        <f>IF([1]FX!A366&gt;1, [1]FX!A366, "")</f>
        <v/>
      </c>
      <c r="G367" s="56" t="str">
        <f>IF($F367&lt;&gt;"", [1]FX!B366, "")</f>
        <v/>
      </c>
      <c r="H367" s="56" t="str">
        <f>IF($F367&lt;&gt;"", [1]FX!C366, "")</f>
        <v/>
      </c>
      <c r="I367" s="56" t="str">
        <f>IF($F367&lt;&gt;"", [1]FX!D366, "")</f>
        <v/>
      </c>
      <c r="J367" s="56" t="str">
        <f>IF($F367&lt;&gt;"", [1]FX!E366, "")</f>
        <v/>
      </c>
      <c r="K367" s="56" t="str">
        <f>IF($F367&lt;&gt;"", [1]FX!F366, "")</f>
        <v/>
      </c>
      <c r="L367" s="56" t="str">
        <f>IF($F367&lt;&gt;"", [1]FX!G366, "")</f>
        <v/>
      </c>
    </row>
    <row r="368" spans="6:12" x14ac:dyDescent="0.2">
      <c r="F368" s="57" t="str">
        <f>IF([1]FX!A367&gt;1, [1]FX!A367, "")</f>
        <v/>
      </c>
      <c r="G368" s="56" t="str">
        <f>IF($F368&lt;&gt;"", [1]FX!B367, "")</f>
        <v/>
      </c>
      <c r="H368" s="56" t="str">
        <f>IF($F368&lt;&gt;"", [1]FX!C367, "")</f>
        <v/>
      </c>
      <c r="I368" s="56" t="str">
        <f>IF($F368&lt;&gt;"", [1]FX!D367, "")</f>
        <v/>
      </c>
      <c r="J368" s="56" t="str">
        <f>IF($F368&lt;&gt;"", [1]FX!E367, "")</f>
        <v/>
      </c>
      <c r="K368" s="56" t="str">
        <f>IF($F368&lt;&gt;"", [1]FX!F367, "")</f>
        <v/>
      </c>
      <c r="L368" s="56" t="str">
        <f>IF($F368&lt;&gt;"", [1]FX!G367, "")</f>
        <v/>
      </c>
    </row>
    <row r="369" spans="6:12" x14ac:dyDescent="0.2">
      <c r="F369" s="57" t="str">
        <f>IF([1]FX!A368&gt;1, [1]FX!A368, "")</f>
        <v/>
      </c>
      <c r="G369" s="56" t="str">
        <f>IF($F369&lt;&gt;"", [1]FX!B368, "")</f>
        <v/>
      </c>
      <c r="H369" s="56" t="str">
        <f>IF($F369&lt;&gt;"", [1]FX!C368, "")</f>
        <v/>
      </c>
      <c r="I369" s="56" t="str">
        <f>IF($F369&lt;&gt;"", [1]FX!D368, "")</f>
        <v/>
      </c>
      <c r="J369" s="56" t="str">
        <f>IF($F369&lt;&gt;"", [1]FX!E368, "")</f>
        <v/>
      </c>
      <c r="K369" s="56" t="str">
        <f>IF($F369&lt;&gt;"", [1]FX!F368, "")</f>
        <v/>
      </c>
      <c r="L369" s="56" t="str">
        <f>IF($F369&lt;&gt;"", [1]FX!G368, "")</f>
        <v/>
      </c>
    </row>
    <row r="370" spans="6:12" x14ac:dyDescent="0.2">
      <c r="F370" s="57" t="str">
        <f>IF([1]FX!A369&gt;1, [1]FX!A369, "")</f>
        <v/>
      </c>
      <c r="G370" s="56" t="str">
        <f>IF($F370&lt;&gt;"", [1]FX!B369, "")</f>
        <v/>
      </c>
      <c r="H370" s="56" t="str">
        <f>IF($F370&lt;&gt;"", [1]FX!C369, "")</f>
        <v/>
      </c>
      <c r="I370" s="56" t="str">
        <f>IF($F370&lt;&gt;"", [1]FX!D369, "")</f>
        <v/>
      </c>
      <c r="J370" s="56" t="str">
        <f>IF($F370&lt;&gt;"", [1]FX!E369, "")</f>
        <v/>
      </c>
      <c r="K370" s="56" t="str">
        <f>IF($F370&lt;&gt;"", [1]FX!F369, "")</f>
        <v/>
      </c>
      <c r="L370" s="56" t="str">
        <f>IF($F370&lt;&gt;"", [1]FX!G369, "")</f>
        <v/>
      </c>
    </row>
    <row r="371" spans="6:12" x14ac:dyDescent="0.2">
      <c r="F371" s="57" t="str">
        <f>IF([1]FX!A370&gt;1, [1]FX!A370, "")</f>
        <v/>
      </c>
      <c r="G371" s="56" t="str">
        <f>IF($F371&lt;&gt;"", [1]FX!B370, "")</f>
        <v/>
      </c>
      <c r="H371" s="56" t="str">
        <f>IF($F371&lt;&gt;"", [1]FX!C370, "")</f>
        <v/>
      </c>
      <c r="I371" s="56" t="str">
        <f>IF($F371&lt;&gt;"", [1]FX!D370, "")</f>
        <v/>
      </c>
      <c r="J371" s="56" t="str">
        <f>IF($F371&lt;&gt;"", [1]FX!E370, "")</f>
        <v/>
      </c>
      <c r="K371" s="56" t="str">
        <f>IF($F371&lt;&gt;"", [1]FX!F370, "")</f>
        <v/>
      </c>
      <c r="L371" s="56" t="str">
        <f>IF($F371&lt;&gt;"", [1]FX!G370, "")</f>
        <v/>
      </c>
    </row>
    <row r="372" spans="6:12" x14ac:dyDescent="0.2">
      <c r="F372" s="57" t="str">
        <f>IF([1]FX!A371&gt;1, [1]FX!A371, "")</f>
        <v/>
      </c>
      <c r="G372" s="56" t="str">
        <f>IF($F372&lt;&gt;"", [1]FX!B371, "")</f>
        <v/>
      </c>
      <c r="H372" s="56" t="str">
        <f>IF($F372&lt;&gt;"", [1]FX!C371, "")</f>
        <v/>
      </c>
      <c r="I372" s="56" t="str">
        <f>IF($F372&lt;&gt;"", [1]FX!D371, "")</f>
        <v/>
      </c>
      <c r="J372" s="56" t="str">
        <f>IF($F372&lt;&gt;"", [1]FX!E371, "")</f>
        <v/>
      </c>
      <c r="K372" s="56" t="str">
        <f>IF($F372&lt;&gt;"", [1]FX!F371, "")</f>
        <v/>
      </c>
      <c r="L372" s="56" t="str">
        <f>IF($F372&lt;&gt;"", [1]FX!G371, "")</f>
        <v/>
      </c>
    </row>
    <row r="373" spans="6:12" x14ac:dyDescent="0.2">
      <c r="F373" s="57" t="str">
        <f>IF([1]FX!A372&gt;1, [1]FX!A372, "")</f>
        <v/>
      </c>
      <c r="G373" s="56" t="str">
        <f>IF($F373&lt;&gt;"", [1]FX!B372, "")</f>
        <v/>
      </c>
      <c r="H373" s="56" t="str">
        <f>IF($F373&lt;&gt;"", [1]FX!C372, "")</f>
        <v/>
      </c>
      <c r="I373" s="56" t="str">
        <f>IF($F373&lt;&gt;"", [1]FX!D372, "")</f>
        <v/>
      </c>
      <c r="J373" s="56" t="str">
        <f>IF($F373&lt;&gt;"", [1]FX!E372, "")</f>
        <v/>
      </c>
      <c r="K373" s="56" t="str">
        <f>IF($F373&lt;&gt;"", [1]FX!F372, "")</f>
        <v/>
      </c>
      <c r="L373" s="56" t="str">
        <f>IF($F373&lt;&gt;"", [1]FX!G372, "")</f>
        <v/>
      </c>
    </row>
    <row r="374" spans="6:12" x14ac:dyDescent="0.2">
      <c r="F374" s="57" t="str">
        <f>IF([1]FX!A373&gt;1, [1]FX!A373, "")</f>
        <v/>
      </c>
      <c r="G374" s="56" t="str">
        <f>IF($F374&lt;&gt;"", [1]FX!B373, "")</f>
        <v/>
      </c>
      <c r="H374" s="56" t="str">
        <f>IF($F374&lt;&gt;"", [1]FX!C373, "")</f>
        <v/>
      </c>
      <c r="I374" s="56" t="str">
        <f>IF($F374&lt;&gt;"", [1]FX!D373, "")</f>
        <v/>
      </c>
      <c r="J374" s="56" t="str">
        <f>IF($F374&lt;&gt;"", [1]FX!E373, "")</f>
        <v/>
      </c>
      <c r="K374" s="56" t="str">
        <f>IF($F374&lt;&gt;"", [1]FX!F373, "")</f>
        <v/>
      </c>
      <c r="L374" s="56" t="str">
        <f>IF($F374&lt;&gt;"", [1]FX!G373, "")</f>
        <v/>
      </c>
    </row>
    <row r="375" spans="6:12" x14ac:dyDescent="0.2">
      <c r="F375" s="57" t="str">
        <f>IF([1]FX!A374&gt;1, [1]FX!A374, "")</f>
        <v/>
      </c>
      <c r="G375" s="56" t="str">
        <f>IF($F375&lt;&gt;"", [1]FX!B374, "")</f>
        <v/>
      </c>
      <c r="H375" s="56" t="str">
        <f>IF($F375&lt;&gt;"", [1]FX!C374, "")</f>
        <v/>
      </c>
      <c r="I375" s="56" t="str">
        <f>IF($F375&lt;&gt;"", [1]FX!D374, "")</f>
        <v/>
      </c>
      <c r="J375" s="56" t="str">
        <f>IF($F375&lt;&gt;"", [1]FX!E374, "")</f>
        <v/>
      </c>
      <c r="K375" s="56" t="str">
        <f>IF($F375&lt;&gt;"", [1]FX!F374, "")</f>
        <v/>
      </c>
      <c r="L375" s="56" t="str">
        <f>IF($F375&lt;&gt;"", [1]FX!G374, "")</f>
        <v/>
      </c>
    </row>
    <row r="376" spans="6:12" x14ac:dyDescent="0.2">
      <c r="F376" s="57" t="str">
        <f>IF([1]FX!A375&gt;1, [1]FX!A375, "")</f>
        <v/>
      </c>
      <c r="G376" s="56" t="str">
        <f>IF($F376&lt;&gt;"", [1]FX!B375, "")</f>
        <v/>
      </c>
      <c r="H376" s="56" t="str">
        <f>IF($F376&lt;&gt;"", [1]FX!C375, "")</f>
        <v/>
      </c>
      <c r="I376" s="56" t="str">
        <f>IF($F376&lt;&gt;"", [1]FX!D375, "")</f>
        <v/>
      </c>
      <c r="J376" s="56" t="str">
        <f>IF($F376&lt;&gt;"", [1]FX!E375, "")</f>
        <v/>
      </c>
      <c r="K376" s="56" t="str">
        <f>IF($F376&lt;&gt;"", [1]FX!F375, "")</f>
        <v/>
      </c>
      <c r="L376" s="56" t="str">
        <f>IF($F376&lt;&gt;"", [1]FX!G375, "")</f>
        <v/>
      </c>
    </row>
    <row r="377" spans="6:12" x14ac:dyDescent="0.2">
      <c r="F377" s="57" t="str">
        <f>IF([1]FX!A376&gt;1, [1]FX!A376, "")</f>
        <v/>
      </c>
      <c r="G377" s="56" t="str">
        <f>IF($F377&lt;&gt;"", [1]FX!B376, "")</f>
        <v/>
      </c>
      <c r="H377" s="56" t="str">
        <f>IF($F377&lt;&gt;"", [1]FX!C376, "")</f>
        <v/>
      </c>
      <c r="I377" s="56" t="str">
        <f>IF($F377&lt;&gt;"", [1]FX!D376, "")</f>
        <v/>
      </c>
      <c r="J377" s="56" t="str">
        <f>IF($F377&lt;&gt;"", [1]FX!E376, "")</f>
        <v/>
      </c>
      <c r="K377" s="56" t="str">
        <f>IF($F377&lt;&gt;"", [1]FX!F376, "")</f>
        <v/>
      </c>
      <c r="L377" s="56" t="str">
        <f>IF($F377&lt;&gt;"", [1]FX!G376, "")</f>
        <v/>
      </c>
    </row>
    <row r="378" spans="6:12" x14ac:dyDescent="0.2">
      <c r="F378" s="57" t="str">
        <f>IF([1]FX!A377&gt;1, [1]FX!A377, "")</f>
        <v/>
      </c>
      <c r="G378" s="56" t="str">
        <f>IF($F378&lt;&gt;"", [1]FX!B377, "")</f>
        <v/>
      </c>
      <c r="H378" s="56" t="str">
        <f>IF($F378&lt;&gt;"", [1]FX!C377, "")</f>
        <v/>
      </c>
      <c r="I378" s="56" t="str">
        <f>IF($F378&lt;&gt;"", [1]FX!D377, "")</f>
        <v/>
      </c>
      <c r="J378" s="56" t="str">
        <f>IF($F378&lt;&gt;"", [1]FX!E377, "")</f>
        <v/>
      </c>
      <c r="K378" s="56" t="str">
        <f>IF($F378&lt;&gt;"", [1]FX!F377, "")</f>
        <v/>
      </c>
      <c r="L378" s="56" t="str">
        <f>IF($F378&lt;&gt;"", [1]FX!G377, "")</f>
        <v/>
      </c>
    </row>
    <row r="379" spans="6:12" x14ac:dyDescent="0.2">
      <c r="F379" s="57" t="str">
        <f>IF([1]FX!A378&gt;1, [1]FX!A378, "")</f>
        <v/>
      </c>
      <c r="G379" s="56" t="str">
        <f>IF($F379&lt;&gt;"", [1]FX!B378, "")</f>
        <v/>
      </c>
      <c r="H379" s="56" t="str">
        <f>IF($F379&lt;&gt;"", [1]FX!C378, "")</f>
        <v/>
      </c>
      <c r="I379" s="56" t="str">
        <f>IF($F379&lt;&gt;"", [1]FX!D378, "")</f>
        <v/>
      </c>
      <c r="J379" s="56" t="str">
        <f>IF($F379&lt;&gt;"", [1]FX!E378, "")</f>
        <v/>
      </c>
      <c r="K379" s="56" t="str">
        <f>IF($F379&lt;&gt;"", [1]FX!F378, "")</f>
        <v/>
      </c>
      <c r="L379" s="56" t="str">
        <f>IF($F379&lt;&gt;"", [1]FX!G378, "")</f>
        <v/>
      </c>
    </row>
    <row r="380" spans="6:12" x14ac:dyDescent="0.2">
      <c r="F380" s="57" t="str">
        <f>IF([1]FX!A379&gt;1, [1]FX!A379, "")</f>
        <v/>
      </c>
      <c r="G380" s="56" t="str">
        <f>IF($F380&lt;&gt;"", [1]FX!B379, "")</f>
        <v/>
      </c>
      <c r="H380" s="56" t="str">
        <f>IF($F380&lt;&gt;"", [1]FX!C379, "")</f>
        <v/>
      </c>
      <c r="I380" s="56" t="str">
        <f>IF($F380&lt;&gt;"", [1]FX!D379, "")</f>
        <v/>
      </c>
      <c r="J380" s="56" t="str">
        <f>IF($F380&lt;&gt;"", [1]FX!E379, "")</f>
        <v/>
      </c>
      <c r="K380" s="56" t="str">
        <f>IF($F380&lt;&gt;"", [1]FX!F379, "")</f>
        <v/>
      </c>
      <c r="L380" s="56" t="str">
        <f>IF($F380&lt;&gt;"", [1]FX!G379, "")</f>
        <v/>
      </c>
    </row>
    <row r="381" spans="6:12" x14ac:dyDescent="0.2">
      <c r="F381" s="57" t="str">
        <f>IF([1]FX!A380&gt;1, [1]FX!A380, "")</f>
        <v/>
      </c>
      <c r="G381" s="56" t="str">
        <f>IF($F381&lt;&gt;"", [1]FX!B380, "")</f>
        <v/>
      </c>
      <c r="H381" s="56" t="str">
        <f>IF($F381&lt;&gt;"", [1]FX!C380, "")</f>
        <v/>
      </c>
      <c r="I381" s="56" t="str">
        <f>IF($F381&lt;&gt;"", [1]FX!D380, "")</f>
        <v/>
      </c>
      <c r="J381" s="56" t="str">
        <f>IF($F381&lt;&gt;"", [1]FX!E380, "")</f>
        <v/>
      </c>
      <c r="K381" s="56" t="str">
        <f>IF($F381&lt;&gt;"", [1]FX!F380, "")</f>
        <v/>
      </c>
      <c r="L381" s="56" t="str">
        <f>IF($F381&lt;&gt;"", [1]FX!G380, "")</f>
        <v/>
      </c>
    </row>
    <row r="382" spans="6:12" x14ac:dyDescent="0.2">
      <c r="F382" s="57" t="str">
        <f>IF([1]FX!A381&gt;1, [1]FX!A381, "")</f>
        <v/>
      </c>
      <c r="G382" s="56" t="str">
        <f>IF($F382&lt;&gt;"", [1]FX!B381, "")</f>
        <v/>
      </c>
      <c r="H382" s="56" t="str">
        <f>IF($F382&lt;&gt;"", [1]FX!C381, "")</f>
        <v/>
      </c>
      <c r="I382" s="56" t="str">
        <f>IF($F382&lt;&gt;"", [1]FX!D381, "")</f>
        <v/>
      </c>
      <c r="J382" s="56" t="str">
        <f>IF($F382&lt;&gt;"", [1]FX!E381, "")</f>
        <v/>
      </c>
      <c r="K382" s="56" t="str">
        <f>IF($F382&lt;&gt;"", [1]FX!F381, "")</f>
        <v/>
      </c>
      <c r="L382" s="56" t="str">
        <f>IF($F382&lt;&gt;"", [1]FX!G381, "")</f>
        <v/>
      </c>
    </row>
    <row r="383" spans="6:12" x14ac:dyDescent="0.2">
      <c r="F383" s="57" t="str">
        <f>IF([1]FX!A382&gt;1, [1]FX!A382, "")</f>
        <v/>
      </c>
      <c r="G383" s="56" t="str">
        <f>IF($F383&lt;&gt;"", [1]FX!B382, "")</f>
        <v/>
      </c>
      <c r="H383" s="56" t="str">
        <f>IF($F383&lt;&gt;"", [1]FX!C382, "")</f>
        <v/>
      </c>
      <c r="I383" s="56" t="str">
        <f>IF($F383&lt;&gt;"", [1]FX!D382, "")</f>
        <v/>
      </c>
      <c r="J383" s="56" t="str">
        <f>IF($F383&lt;&gt;"", [1]FX!E382, "")</f>
        <v/>
      </c>
      <c r="K383" s="56" t="str">
        <f>IF($F383&lt;&gt;"", [1]FX!F382, "")</f>
        <v/>
      </c>
      <c r="L383" s="56" t="str">
        <f>IF($F383&lt;&gt;"", [1]FX!G382, "")</f>
        <v/>
      </c>
    </row>
    <row r="384" spans="6:12" x14ac:dyDescent="0.2">
      <c r="F384" s="57" t="str">
        <f>IF([1]FX!A383&gt;1, [1]FX!A383, "")</f>
        <v/>
      </c>
      <c r="G384" s="56" t="str">
        <f>IF($F384&lt;&gt;"", [1]FX!B383, "")</f>
        <v/>
      </c>
      <c r="H384" s="56" t="str">
        <f>IF($F384&lt;&gt;"", [1]FX!C383, "")</f>
        <v/>
      </c>
      <c r="I384" s="56" t="str">
        <f>IF($F384&lt;&gt;"", [1]FX!D383, "")</f>
        <v/>
      </c>
      <c r="J384" s="56" t="str">
        <f>IF($F384&lt;&gt;"", [1]FX!E383, "")</f>
        <v/>
      </c>
      <c r="K384" s="56" t="str">
        <f>IF($F384&lt;&gt;"", [1]FX!F383, "")</f>
        <v/>
      </c>
      <c r="L384" s="56" t="str">
        <f>IF($F384&lt;&gt;"", [1]FX!G383, "")</f>
        <v/>
      </c>
    </row>
    <row r="385" spans="6:12" x14ac:dyDescent="0.2">
      <c r="F385" s="57" t="str">
        <f>IF([1]FX!A384&gt;1, [1]FX!A384, "")</f>
        <v/>
      </c>
      <c r="G385" s="56" t="str">
        <f>IF($F385&lt;&gt;"", [1]FX!B384, "")</f>
        <v/>
      </c>
      <c r="H385" s="56" t="str">
        <f>IF($F385&lt;&gt;"", [1]FX!C384, "")</f>
        <v/>
      </c>
      <c r="I385" s="56" t="str">
        <f>IF($F385&lt;&gt;"", [1]FX!D384, "")</f>
        <v/>
      </c>
      <c r="J385" s="56" t="str">
        <f>IF($F385&lt;&gt;"", [1]FX!E384, "")</f>
        <v/>
      </c>
      <c r="K385" s="56" t="str">
        <f>IF($F385&lt;&gt;"", [1]FX!F384, "")</f>
        <v/>
      </c>
      <c r="L385" s="56" t="str">
        <f>IF($F385&lt;&gt;"", [1]FX!G384, "")</f>
        <v/>
      </c>
    </row>
    <row r="386" spans="6:12" x14ac:dyDescent="0.2">
      <c r="F386" s="57" t="str">
        <f>IF([1]FX!A385&gt;1, [1]FX!A385, "")</f>
        <v/>
      </c>
      <c r="G386" s="56" t="str">
        <f>IF($F386&lt;&gt;"", [1]FX!B385, "")</f>
        <v/>
      </c>
      <c r="H386" s="56" t="str">
        <f>IF($F386&lt;&gt;"", [1]FX!C385, "")</f>
        <v/>
      </c>
      <c r="I386" s="56" t="str">
        <f>IF($F386&lt;&gt;"", [1]FX!D385, "")</f>
        <v/>
      </c>
      <c r="J386" s="56" t="str">
        <f>IF($F386&lt;&gt;"", [1]FX!E385, "")</f>
        <v/>
      </c>
      <c r="K386" s="56" t="str">
        <f>IF($F386&lt;&gt;"", [1]FX!F385, "")</f>
        <v/>
      </c>
      <c r="L386" s="56" t="str">
        <f>IF($F386&lt;&gt;"", [1]FX!G385, "")</f>
        <v/>
      </c>
    </row>
    <row r="387" spans="6:12" x14ac:dyDescent="0.2">
      <c r="F387" s="57" t="str">
        <f>IF([1]FX!A386&gt;1, [1]FX!A386, "")</f>
        <v/>
      </c>
      <c r="G387" s="56" t="str">
        <f>IF($F387&lt;&gt;"", [1]FX!B386, "")</f>
        <v/>
      </c>
      <c r="H387" s="56" t="str">
        <f>IF($F387&lt;&gt;"", [1]FX!C386, "")</f>
        <v/>
      </c>
      <c r="I387" s="56" t="str">
        <f>IF($F387&lt;&gt;"", [1]FX!D386, "")</f>
        <v/>
      </c>
      <c r="J387" s="56" t="str">
        <f>IF($F387&lt;&gt;"", [1]FX!E386, "")</f>
        <v/>
      </c>
      <c r="K387" s="56" t="str">
        <f>IF($F387&lt;&gt;"", [1]FX!F386, "")</f>
        <v/>
      </c>
      <c r="L387" s="56" t="str">
        <f>IF($F387&lt;&gt;"", [1]FX!G386, "")</f>
        <v/>
      </c>
    </row>
    <row r="388" spans="6:12" x14ac:dyDescent="0.2">
      <c r="F388" s="57" t="str">
        <f>IF([1]FX!A387&gt;1, [1]FX!A387, "")</f>
        <v/>
      </c>
      <c r="G388" s="56" t="str">
        <f>IF($F388&lt;&gt;"", [1]FX!B387, "")</f>
        <v/>
      </c>
      <c r="H388" s="56" t="str">
        <f>IF($F388&lt;&gt;"", [1]FX!C387, "")</f>
        <v/>
      </c>
      <c r="I388" s="56" t="str">
        <f>IF($F388&lt;&gt;"", [1]FX!D387, "")</f>
        <v/>
      </c>
      <c r="J388" s="56" t="str">
        <f>IF($F388&lt;&gt;"", [1]FX!E387, "")</f>
        <v/>
      </c>
      <c r="K388" s="56" t="str">
        <f>IF($F388&lt;&gt;"", [1]FX!F387, "")</f>
        <v/>
      </c>
      <c r="L388" s="56" t="str">
        <f>IF($F388&lt;&gt;"", [1]FX!G387, "")</f>
        <v/>
      </c>
    </row>
    <row r="389" spans="6:12" x14ac:dyDescent="0.2">
      <c r="F389" s="57" t="str">
        <f>IF([1]FX!A388&gt;1, [1]FX!A388, "")</f>
        <v/>
      </c>
      <c r="G389" s="56" t="str">
        <f>IF($F389&lt;&gt;"", [1]FX!B388, "")</f>
        <v/>
      </c>
      <c r="H389" s="56" t="str">
        <f>IF($F389&lt;&gt;"", [1]FX!C388, "")</f>
        <v/>
      </c>
      <c r="I389" s="56" t="str">
        <f>IF($F389&lt;&gt;"", [1]FX!D388, "")</f>
        <v/>
      </c>
      <c r="J389" s="56" t="str">
        <f>IF($F389&lt;&gt;"", [1]FX!E388, "")</f>
        <v/>
      </c>
      <c r="K389" s="56" t="str">
        <f>IF($F389&lt;&gt;"", [1]FX!F388, "")</f>
        <v/>
      </c>
      <c r="L389" s="56" t="str">
        <f>IF($F389&lt;&gt;"", [1]FX!G388, "")</f>
        <v/>
      </c>
    </row>
    <row r="390" spans="6:12" x14ac:dyDescent="0.2">
      <c r="F390" s="57" t="str">
        <f>IF([1]FX!A389&gt;1, [1]FX!A389, "")</f>
        <v/>
      </c>
      <c r="G390" s="56" t="str">
        <f>IF($F390&lt;&gt;"", [1]FX!B389, "")</f>
        <v/>
      </c>
      <c r="H390" s="56" t="str">
        <f>IF($F390&lt;&gt;"", [1]FX!C389, "")</f>
        <v/>
      </c>
      <c r="I390" s="56" t="str">
        <f>IF($F390&lt;&gt;"", [1]FX!D389, "")</f>
        <v/>
      </c>
      <c r="J390" s="56" t="str">
        <f>IF($F390&lt;&gt;"", [1]FX!E389, "")</f>
        <v/>
      </c>
      <c r="K390" s="56" t="str">
        <f>IF($F390&lt;&gt;"", [1]FX!F389, "")</f>
        <v/>
      </c>
      <c r="L390" s="56" t="str">
        <f>IF($F390&lt;&gt;"", [1]FX!G389, "")</f>
        <v/>
      </c>
    </row>
    <row r="391" spans="6:12" x14ac:dyDescent="0.2">
      <c r="F391" s="57" t="str">
        <f>IF([1]FX!A390&gt;1, [1]FX!A390, "")</f>
        <v/>
      </c>
      <c r="G391" s="56" t="str">
        <f>IF($F391&lt;&gt;"", [1]FX!B390, "")</f>
        <v/>
      </c>
      <c r="H391" s="56" t="str">
        <f>IF($F391&lt;&gt;"", [1]FX!C390, "")</f>
        <v/>
      </c>
      <c r="I391" s="56" t="str">
        <f>IF($F391&lt;&gt;"", [1]FX!D390, "")</f>
        <v/>
      </c>
      <c r="J391" s="56" t="str">
        <f>IF($F391&lt;&gt;"", [1]FX!E390, "")</f>
        <v/>
      </c>
      <c r="K391" s="56" t="str">
        <f>IF($F391&lt;&gt;"", [1]FX!F390, "")</f>
        <v/>
      </c>
      <c r="L391" s="56" t="str">
        <f>IF($F391&lt;&gt;"", [1]FX!G390, "")</f>
        <v/>
      </c>
    </row>
    <row r="392" spans="6:12" x14ac:dyDescent="0.2">
      <c r="F392" s="57" t="str">
        <f>IF([1]FX!A391&gt;1, [1]FX!A391, "")</f>
        <v/>
      </c>
      <c r="G392" s="56" t="str">
        <f>IF($F392&lt;&gt;"", [1]FX!B391, "")</f>
        <v/>
      </c>
      <c r="H392" s="56" t="str">
        <f>IF($F392&lt;&gt;"", [1]FX!C391, "")</f>
        <v/>
      </c>
      <c r="I392" s="56" t="str">
        <f>IF($F392&lt;&gt;"", [1]FX!D391, "")</f>
        <v/>
      </c>
      <c r="J392" s="56" t="str">
        <f>IF($F392&lt;&gt;"", [1]FX!E391, "")</f>
        <v/>
      </c>
      <c r="K392" s="56" t="str">
        <f>IF($F392&lt;&gt;"", [1]FX!F391, "")</f>
        <v/>
      </c>
      <c r="L392" s="56" t="str">
        <f>IF($F392&lt;&gt;"", [1]FX!G391, "")</f>
        <v/>
      </c>
    </row>
    <row r="393" spans="6:12" x14ac:dyDescent="0.2">
      <c r="F393" s="57" t="str">
        <f>IF([1]FX!A392&gt;1, [1]FX!A392, "")</f>
        <v/>
      </c>
      <c r="G393" s="56" t="str">
        <f>IF($F393&lt;&gt;"", [1]FX!B392, "")</f>
        <v/>
      </c>
      <c r="H393" s="56" t="str">
        <f>IF($F393&lt;&gt;"", [1]FX!C392, "")</f>
        <v/>
      </c>
      <c r="I393" s="56" t="str">
        <f>IF($F393&lt;&gt;"", [1]FX!D392, "")</f>
        <v/>
      </c>
      <c r="J393" s="56" t="str">
        <f>IF($F393&lt;&gt;"", [1]FX!E392, "")</f>
        <v/>
      </c>
      <c r="K393" s="56" t="str">
        <f>IF($F393&lt;&gt;"", [1]FX!F392, "")</f>
        <v/>
      </c>
      <c r="L393" s="56" t="str">
        <f>IF($F393&lt;&gt;"", [1]FX!G392, "")</f>
        <v/>
      </c>
    </row>
    <row r="394" spans="6:12" x14ac:dyDescent="0.2">
      <c r="F394" s="57" t="str">
        <f>IF([1]FX!A393&gt;1, [1]FX!A393, "")</f>
        <v/>
      </c>
      <c r="G394" s="56" t="str">
        <f>IF($F394&lt;&gt;"", [1]FX!B393, "")</f>
        <v/>
      </c>
      <c r="H394" s="56" t="str">
        <f>IF($F394&lt;&gt;"", [1]FX!C393, "")</f>
        <v/>
      </c>
      <c r="I394" s="56" t="str">
        <f>IF($F394&lt;&gt;"", [1]FX!D393, "")</f>
        <v/>
      </c>
      <c r="J394" s="56" t="str">
        <f>IF($F394&lt;&gt;"", [1]FX!E393, "")</f>
        <v/>
      </c>
      <c r="K394" s="56" t="str">
        <f>IF($F394&lt;&gt;"", [1]FX!F393, "")</f>
        <v/>
      </c>
      <c r="L394" s="56" t="str">
        <f>IF($F394&lt;&gt;"", [1]FX!G393, "")</f>
        <v/>
      </c>
    </row>
    <row r="395" spans="6:12" x14ac:dyDescent="0.2">
      <c r="F395" s="57" t="str">
        <f>IF([1]FX!A394&gt;1, [1]FX!A394, "")</f>
        <v/>
      </c>
      <c r="G395" s="56" t="str">
        <f>IF($F395&lt;&gt;"", [1]FX!B394, "")</f>
        <v/>
      </c>
      <c r="H395" s="56" t="str">
        <f>IF($F395&lt;&gt;"", [1]FX!C394, "")</f>
        <v/>
      </c>
      <c r="I395" s="56" t="str">
        <f>IF($F395&lt;&gt;"", [1]FX!D394, "")</f>
        <v/>
      </c>
      <c r="J395" s="56" t="str">
        <f>IF($F395&lt;&gt;"", [1]FX!E394, "")</f>
        <v/>
      </c>
      <c r="K395" s="56" t="str">
        <f>IF($F395&lt;&gt;"", [1]FX!F394, "")</f>
        <v/>
      </c>
      <c r="L395" s="56" t="str">
        <f>IF($F395&lt;&gt;"", [1]FX!G394, "")</f>
        <v/>
      </c>
    </row>
    <row r="396" spans="6:12" x14ac:dyDescent="0.2">
      <c r="F396" s="57" t="str">
        <f>IF([1]FX!A395&gt;1, [1]FX!A395, "")</f>
        <v/>
      </c>
      <c r="G396" s="56" t="str">
        <f>IF($F396&lt;&gt;"", [1]FX!B395, "")</f>
        <v/>
      </c>
      <c r="H396" s="56" t="str">
        <f>IF($F396&lt;&gt;"", [1]FX!C395, "")</f>
        <v/>
      </c>
      <c r="I396" s="56" t="str">
        <f>IF($F396&lt;&gt;"", [1]FX!D395, "")</f>
        <v/>
      </c>
      <c r="J396" s="56" t="str">
        <f>IF($F396&lt;&gt;"", [1]FX!E395, "")</f>
        <v/>
      </c>
      <c r="K396" s="56" t="str">
        <f>IF($F396&lt;&gt;"", [1]FX!F395, "")</f>
        <v/>
      </c>
      <c r="L396" s="56" t="str">
        <f>IF($F396&lt;&gt;"", [1]FX!G395, "")</f>
        <v/>
      </c>
    </row>
    <row r="397" spans="6:12" x14ac:dyDescent="0.2">
      <c r="F397" s="57" t="str">
        <f>IF([1]FX!A396&gt;1, [1]FX!A396, "")</f>
        <v/>
      </c>
      <c r="G397" s="56" t="str">
        <f>IF($F397&lt;&gt;"", [1]FX!B396, "")</f>
        <v/>
      </c>
      <c r="H397" s="56" t="str">
        <f>IF($F397&lt;&gt;"", [1]FX!C396, "")</f>
        <v/>
      </c>
      <c r="I397" s="56" t="str">
        <f>IF($F397&lt;&gt;"", [1]FX!D396, "")</f>
        <v/>
      </c>
      <c r="J397" s="56" t="str">
        <f>IF($F397&lt;&gt;"", [1]FX!E396, "")</f>
        <v/>
      </c>
      <c r="K397" s="56" t="str">
        <f>IF($F397&lt;&gt;"", [1]FX!F396, "")</f>
        <v/>
      </c>
      <c r="L397" s="56" t="str">
        <f>IF($F397&lt;&gt;"", [1]FX!G396, "")</f>
        <v/>
      </c>
    </row>
    <row r="398" spans="6:12" x14ac:dyDescent="0.2">
      <c r="F398" s="57" t="str">
        <f>IF([1]FX!A397&gt;1, [1]FX!A397, "")</f>
        <v/>
      </c>
      <c r="G398" s="56" t="str">
        <f>IF($F398&lt;&gt;"", [1]FX!B397, "")</f>
        <v/>
      </c>
      <c r="H398" s="56" t="str">
        <f>IF($F398&lt;&gt;"", [1]FX!C397, "")</f>
        <v/>
      </c>
      <c r="I398" s="56" t="str">
        <f>IF($F398&lt;&gt;"", [1]FX!D397, "")</f>
        <v/>
      </c>
      <c r="J398" s="56" t="str">
        <f>IF($F398&lt;&gt;"", [1]FX!E397, "")</f>
        <v/>
      </c>
      <c r="K398" s="56" t="str">
        <f>IF($F398&lt;&gt;"", [1]FX!F397, "")</f>
        <v/>
      </c>
      <c r="L398" s="56" t="str">
        <f>IF($F398&lt;&gt;"", [1]FX!G397, "")</f>
        <v/>
      </c>
    </row>
    <row r="399" spans="6:12" x14ac:dyDescent="0.2">
      <c r="F399" s="57" t="str">
        <f>IF([1]FX!A398&gt;1, [1]FX!A398, "")</f>
        <v/>
      </c>
      <c r="G399" s="56" t="str">
        <f>IF($F399&lt;&gt;"", [1]FX!B398, "")</f>
        <v/>
      </c>
      <c r="H399" s="56" t="str">
        <f>IF($F399&lt;&gt;"", [1]FX!C398, "")</f>
        <v/>
      </c>
      <c r="I399" s="56" t="str">
        <f>IF($F399&lt;&gt;"", [1]FX!D398, "")</f>
        <v/>
      </c>
      <c r="J399" s="56" t="str">
        <f>IF($F399&lt;&gt;"", [1]FX!E398, "")</f>
        <v/>
      </c>
      <c r="K399" s="56" t="str">
        <f>IF($F399&lt;&gt;"", [1]FX!F398, "")</f>
        <v/>
      </c>
      <c r="L399" s="56" t="str">
        <f>IF($F399&lt;&gt;"", [1]FX!G398, "")</f>
        <v/>
      </c>
    </row>
    <row r="400" spans="6:12" x14ac:dyDescent="0.2">
      <c r="F400" s="57" t="str">
        <f>IF([1]FX!A399&gt;1, [1]FX!A399, "")</f>
        <v/>
      </c>
      <c r="G400" s="56" t="str">
        <f>IF($F400&lt;&gt;"", [1]FX!B399, "")</f>
        <v/>
      </c>
      <c r="H400" s="56" t="str">
        <f>IF($F400&lt;&gt;"", [1]FX!C399, "")</f>
        <v/>
      </c>
      <c r="I400" s="56" t="str">
        <f>IF($F400&lt;&gt;"", [1]FX!D399, "")</f>
        <v/>
      </c>
      <c r="J400" s="56" t="str">
        <f>IF($F400&lt;&gt;"", [1]FX!E399, "")</f>
        <v/>
      </c>
      <c r="K400" s="56" t="str">
        <f>IF($F400&lt;&gt;"", [1]FX!F399, "")</f>
        <v/>
      </c>
      <c r="L400" s="56" t="str">
        <f>IF($F400&lt;&gt;"", [1]FX!G399, "")</f>
        <v/>
      </c>
    </row>
    <row r="401" spans="6:12" x14ac:dyDescent="0.2">
      <c r="F401" s="57" t="str">
        <f>IF([1]FX!A400&gt;1, [1]FX!A400, "")</f>
        <v/>
      </c>
      <c r="G401" s="56" t="str">
        <f>IF($F401&lt;&gt;"", [1]FX!B400, "")</f>
        <v/>
      </c>
      <c r="H401" s="56" t="str">
        <f>IF($F401&lt;&gt;"", [1]FX!C400, "")</f>
        <v/>
      </c>
      <c r="I401" s="56" t="str">
        <f>IF($F401&lt;&gt;"", [1]FX!D400, "")</f>
        <v/>
      </c>
      <c r="J401" s="56" t="str">
        <f>IF($F401&lt;&gt;"", [1]FX!E400, "")</f>
        <v/>
      </c>
      <c r="K401" s="56" t="str">
        <f>IF($F401&lt;&gt;"", [1]FX!F400, "")</f>
        <v/>
      </c>
      <c r="L401" s="56" t="str">
        <f>IF($F401&lt;&gt;"", [1]FX!G400, "")</f>
        <v/>
      </c>
    </row>
    <row r="402" spans="6:12" x14ac:dyDescent="0.2">
      <c r="F402" s="57" t="str">
        <f>IF([1]FX!A401&gt;1, [1]FX!A401, "")</f>
        <v/>
      </c>
      <c r="G402" s="56" t="str">
        <f>IF($F402&lt;&gt;"", [1]FX!B401, "")</f>
        <v/>
      </c>
      <c r="H402" s="56" t="str">
        <f>IF($F402&lt;&gt;"", [1]FX!C401, "")</f>
        <v/>
      </c>
      <c r="I402" s="56" t="str">
        <f>IF($F402&lt;&gt;"", [1]FX!D401, "")</f>
        <v/>
      </c>
      <c r="J402" s="56" t="str">
        <f>IF($F402&lt;&gt;"", [1]FX!E401, "")</f>
        <v/>
      </c>
      <c r="K402" s="56" t="str">
        <f>IF($F402&lt;&gt;"", [1]FX!F401, "")</f>
        <v/>
      </c>
      <c r="L402" s="56" t="str">
        <f>IF($F402&lt;&gt;"", [1]FX!G401, "")</f>
        <v/>
      </c>
    </row>
    <row r="403" spans="6:12" x14ac:dyDescent="0.2">
      <c r="F403" s="57" t="str">
        <f>IF([1]FX!A402&gt;1, [1]FX!A402, "")</f>
        <v/>
      </c>
      <c r="G403" s="56" t="str">
        <f>IF($F403&lt;&gt;"", [1]FX!B402, "")</f>
        <v/>
      </c>
      <c r="H403" s="56" t="str">
        <f>IF($F403&lt;&gt;"", [1]FX!C402, "")</f>
        <v/>
      </c>
      <c r="I403" s="56" t="str">
        <f>IF($F403&lt;&gt;"", [1]FX!D402, "")</f>
        <v/>
      </c>
      <c r="J403" s="56" t="str">
        <f>IF($F403&lt;&gt;"", [1]FX!E402, "")</f>
        <v/>
      </c>
      <c r="K403" s="56" t="str">
        <f>IF($F403&lt;&gt;"", [1]FX!F402, "")</f>
        <v/>
      </c>
      <c r="L403" s="56" t="str">
        <f>IF($F403&lt;&gt;"", [1]FX!G402, "")</f>
        <v/>
      </c>
    </row>
    <row r="404" spans="6:12" x14ac:dyDescent="0.2">
      <c r="F404" s="57" t="str">
        <f>IF([1]FX!A403&gt;1, [1]FX!A403, "")</f>
        <v/>
      </c>
      <c r="G404" s="56" t="str">
        <f>IF($F404&lt;&gt;"", [1]FX!B403, "")</f>
        <v/>
      </c>
      <c r="H404" s="56" t="str">
        <f>IF($F404&lt;&gt;"", [1]FX!C403, "")</f>
        <v/>
      </c>
      <c r="I404" s="56" t="str">
        <f>IF($F404&lt;&gt;"", [1]FX!D403, "")</f>
        <v/>
      </c>
      <c r="J404" s="56" t="str">
        <f>IF($F404&lt;&gt;"", [1]FX!E403, "")</f>
        <v/>
      </c>
      <c r="K404" s="56" t="str">
        <f>IF($F404&lt;&gt;"", [1]FX!F403, "")</f>
        <v/>
      </c>
      <c r="L404" s="56" t="str">
        <f>IF($F404&lt;&gt;"", [1]FX!G403, "")</f>
        <v/>
      </c>
    </row>
    <row r="405" spans="6:12" x14ac:dyDescent="0.2">
      <c r="F405" s="57" t="str">
        <f>IF([1]FX!A404&gt;1, [1]FX!A404, "")</f>
        <v/>
      </c>
      <c r="G405" s="56" t="str">
        <f>IF($F405&lt;&gt;"", [1]FX!B404, "")</f>
        <v/>
      </c>
      <c r="H405" s="56" t="str">
        <f>IF($F405&lt;&gt;"", [1]FX!C404, "")</f>
        <v/>
      </c>
      <c r="I405" s="56" t="str">
        <f>IF($F405&lt;&gt;"", [1]FX!D404, "")</f>
        <v/>
      </c>
      <c r="J405" s="56" t="str">
        <f>IF($F405&lt;&gt;"", [1]FX!E404, "")</f>
        <v/>
      </c>
      <c r="K405" s="56" t="str">
        <f>IF($F405&lt;&gt;"", [1]FX!F404, "")</f>
        <v/>
      </c>
      <c r="L405" s="56" t="str">
        <f>IF($F405&lt;&gt;"", [1]FX!G404, "")</f>
        <v/>
      </c>
    </row>
    <row r="406" spans="6:12" x14ac:dyDescent="0.2">
      <c r="F406" s="57" t="str">
        <f>IF([1]FX!A405&gt;1, [1]FX!A405, "")</f>
        <v/>
      </c>
      <c r="G406" s="56" t="str">
        <f>IF($F406&lt;&gt;"", [1]FX!B405, "")</f>
        <v/>
      </c>
      <c r="H406" s="56" t="str">
        <f>IF($F406&lt;&gt;"", [1]FX!C405, "")</f>
        <v/>
      </c>
      <c r="I406" s="56" t="str">
        <f>IF($F406&lt;&gt;"", [1]FX!D405, "")</f>
        <v/>
      </c>
      <c r="J406" s="56" t="str">
        <f>IF($F406&lt;&gt;"", [1]FX!E405, "")</f>
        <v/>
      </c>
      <c r="K406" s="56" t="str">
        <f>IF($F406&lt;&gt;"", [1]FX!F405, "")</f>
        <v/>
      </c>
      <c r="L406" s="56" t="str">
        <f>IF($F406&lt;&gt;"", [1]FX!G405, "")</f>
        <v/>
      </c>
    </row>
    <row r="407" spans="6:12" x14ac:dyDescent="0.2">
      <c r="F407" s="57" t="str">
        <f>IF([1]FX!A406&gt;1, [1]FX!A406, "")</f>
        <v/>
      </c>
      <c r="G407" s="56" t="str">
        <f>IF($F407&lt;&gt;"", [1]FX!B406, "")</f>
        <v/>
      </c>
      <c r="H407" s="56" t="str">
        <f>IF($F407&lt;&gt;"", [1]FX!C406, "")</f>
        <v/>
      </c>
      <c r="I407" s="56" t="str">
        <f>IF($F407&lt;&gt;"", [1]FX!D406, "")</f>
        <v/>
      </c>
      <c r="J407" s="56" t="str">
        <f>IF($F407&lt;&gt;"", [1]FX!E406, "")</f>
        <v/>
      </c>
      <c r="K407" s="56" t="str">
        <f>IF($F407&lt;&gt;"", [1]FX!F406, "")</f>
        <v/>
      </c>
      <c r="L407" s="56" t="str">
        <f>IF($F407&lt;&gt;"", [1]FX!G406, "")</f>
        <v/>
      </c>
    </row>
    <row r="408" spans="6:12" x14ac:dyDescent="0.2">
      <c r="F408" s="57" t="str">
        <f>IF([1]FX!A407&gt;1, [1]FX!A407, "")</f>
        <v/>
      </c>
      <c r="G408" s="56" t="str">
        <f>IF($F408&lt;&gt;"", [1]FX!B407, "")</f>
        <v/>
      </c>
      <c r="H408" s="56" t="str">
        <f>IF($F408&lt;&gt;"", [1]FX!C407, "")</f>
        <v/>
      </c>
      <c r="I408" s="56" t="str">
        <f>IF($F408&lt;&gt;"", [1]FX!D407, "")</f>
        <v/>
      </c>
      <c r="J408" s="56" t="str">
        <f>IF($F408&lt;&gt;"", [1]FX!E407, "")</f>
        <v/>
      </c>
      <c r="K408" s="56" t="str">
        <f>IF($F408&lt;&gt;"", [1]FX!F407, "")</f>
        <v/>
      </c>
      <c r="L408" s="56" t="str">
        <f>IF($F408&lt;&gt;"", [1]FX!G407, "")</f>
        <v/>
      </c>
    </row>
    <row r="409" spans="6:12" x14ac:dyDescent="0.2">
      <c r="F409" s="57" t="str">
        <f>IF([1]FX!A408&gt;1, [1]FX!A408, "")</f>
        <v/>
      </c>
      <c r="G409" s="56" t="str">
        <f>IF($F409&lt;&gt;"", [1]FX!B408, "")</f>
        <v/>
      </c>
      <c r="H409" s="56" t="str">
        <f>IF($F409&lt;&gt;"", [1]FX!C408, "")</f>
        <v/>
      </c>
      <c r="I409" s="56" t="str">
        <f>IF($F409&lt;&gt;"", [1]FX!D408, "")</f>
        <v/>
      </c>
      <c r="J409" s="56" t="str">
        <f>IF($F409&lt;&gt;"", [1]FX!E408, "")</f>
        <v/>
      </c>
      <c r="K409" s="56" t="str">
        <f>IF($F409&lt;&gt;"", [1]FX!F408, "")</f>
        <v/>
      </c>
      <c r="L409" s="56" t="str">
        <f>IF($F409&lt;&gt;"", [1]FX!G408, "")</f>
        <v/>
      </c>
    </row>
    <row r="410" spans="6:12" x14ac:dyDescent="0.2">
      <c r="F410" s="57" t="str">
        <f>IF([1]FX!A409&gt;1, [1]FX!A409, "")</f>
        <v/>
      </c>
      <c r="G410" s="56" t="str">
        <f>IF($F410&lt;&gt;"", [1]FX!B409, "")</f>
        <v/>
      </c>
      <c r="H410" s="56" t="str">
        <f>IF($F410&lt;&gt;"", [1]FX!C409, "")</f>
        <v/>
      </c>
      <c r="I410" s="56" t="str">
        <f>IF($F410&lt;&gt;"", [1]FX!D409, "")</f>
        <v/>
      </c>
      <c r="J410" s="56" t="str">
        <f>IF($F410&lt;&gt;"", [1]FX!E409, "")</f>
        <v/>
      </c>
      <c r="K410" s="56" t="str">
        <f>IF($F410&lt;&gt;"", [1]FX!F409, "")</f>
        <v/>
      </c>
      <c r="L410" s="56" t="str">
        <f>IF($F410&lt;&gt;"", [1]FX!G409, "")</f>
        <v/>
      </c>
    </row>
    <row r="411" spans="6:12" x14ac:dyDescent="0.2">
      <c r="F411" s="57" t="str">
        <f>IF([1]FX!A410&gt;1, [1]FX!A410, "")</f>
        <v/>
      </c>
      <c r="G411" s="56" t="str">
        <f>IF($F411&lt;&gt;"", [1]FX!B410, "")</f>
        <v/>
      </c>
      <c r="H411" s="56" t="str">
        <f>IF($F411&lt;&gt;"", [1]FX!C410, "")</f>
        <v/>
      </c>
      <c r="I411" s="56" t="str">
        <f>IF($F411&lt;&gt;"", [1]FX!D410, "")</f>
        <v/>
      </c>
      <c r="J411" s="56" t="str">
        <f>IF($F411&lt;&gt;"", [1]FX!E410, "")</f>
        <v/>
      </c>
      <c r="K411" s="56" t="str">
        <f>IF($F411&lt;&gt;"", [1]FX!F410, "")</f>
        <v/>
      </c>
      <c r="L411" s="56" t="str">
        <f>IF($F411&lt;&gt;"", [1]FX!G410, "")</f>
        <v/>
      </c>
    </row>
    <row r="412" spans="6:12" x14ac:dyDescent="0.2">
      <c r="F412" s="57" t="str">
        <f>IF([1]FX!A411&gt;1, [1]FX!A411, "")</f>
        <v/>
      </c>
      <c r="G412" s="56" t="str">
        <f>IF($F412&lt;&gt;"", [1]FX!B411, "")</f>
        <v/>
      </c>
      <c r="H412" s="56" t="str">
        <f>IF($F412&lt;&gt;"", [1]FX!C411, "")</f>
        <v/>
      </c>
      <c r="I412" s="56" t="str">
        <f>IF($F412&lt;&gt;"", [1]FX!D411, "")</f>
        <v/>
      </c>
      <c r="J412" s="56" t="str">
        <f>IF($F412&lt;&gt;"", [1]FX!E411, "")</f>
        <v/>
      </c>
      <c r="K412" s="56" t="str">
        <f>IF($F412&lt;&gt;"", [1]FX!F411, "")</f>
        <v/>
      </c>
      <c r="L412" s="56" t="str">
        <f>IF($F412&lt;&gt;"", [1]FX!G411, "")</f>
        <v/>
      </c>
    </row>
    <row r="413" spans="6:12" x14ac:dyDescent="0.2">
      <c r="F413" s="57" t="str">
        <f>IF([1]FX!A412&gt;1, [1]FX!A412, "")</f>
        <v/>
      </c>
      <c r="G413" s="56" t="str">
        <f>IF($F413&lt;&gt;"", [1]FX!B412, "")</f>
        <v/>
      </c>
      <c r="H413" s="56" t="str">
        <f>IF($F413&lt;&gt;"", [1]FX!C412, "")</f>
        <v/>
      </c>
      <c r="I413" s="56" t="str">
        <f>IF($F413&lt;&gt;"", [1]FX!D412, "")</f>
        <v/>
      </c>
      <c r="J413" s="56" t="str">
        <f>IF($F413&lt;&gt;"", [1]FX!E412, "")</f>
        <v/>
      </c>
      <c r="K413" s="56" t="str">
        <f>IF($F413&lt;&gt;"", [1]FX!F412, "")</f>
        <v/>
      </c>
      <c r="L413" s="56" t="str">
        <f>IF($F413&lt;&gt;"", [1]FX!G412, "")</f>
        <v/>
      </c>
    </row>
    <row r="414" spans="6:12" x14ac:dyDescent="0.2">
      <c r="F414" s="57" t="str">
        <f>IF([1]FX!A413&gt;1, [1]FX!A413, "")</f>
        <v/>
      </c>
      <c r="G414" s="56" t="str">
        <f>IF($F414&lt;&gt;"", [1]FX!B413, "")</f>
        <v/>
      </c>
      <c r="H414" s="56" t="str">
        <f>IF($F414&lt;&gt;"", [1]FX!C413, "")</f>
        <v/>
      </c>
      <c r="I414" s="56" t="str">
        <f>IF($F414&lt;&gt;"", [1]FX!D413, "")</f>
        <v/>
      </c>
      <c r="J414" s="56" t="str">
        <f>IF($F414&lt;&gt;"", [1]FX!E413, "")</f>
        <v/>
      </c>
      <c r="K414" s="56" t="str">
        <f>IF($F414&lt;&gt;"", [1]FX!F413, "")</f>
        <v/>
      </c>
      <c r="L414" s="56" t="str">
        <f>IF($F414&lt;&gt;"", [1]FX!G413, "")</f>
        <v/>
      </c>
    </row>
    <row r="415" spans="6:12" x14ac:dyDescent="0.2">
      <c r="F415" s="57" t="str">
        <f>IF([1]FX!A414&gt;1, [1]FX!A414, "")</f>
        <v/>
      </c>
      <c r="G415" s="56" t="str">
        <f>IF($F415&lt;&gt;"", [1]FX!B414, "")</f>
        <v/>
      </c>
      <c r="H415" s="56" t="str">
        <f>IF($F415&lt;&gt;"", [1]FX!C414, "")</f>
        <v/>
      </c>
      <c r="I415" s="56" t="str">
        <f>IF($F415&lt;&gt;"", [1]FX!D414, "")</f>
        <v/>
      </c>
      <c r="J415" s="56" t="str">
        <f>IF($F415&lt;&gt;"", [1]FX!E414, "")</f>
        <v/>
      </c>
      <c r="K415" s="56" t="str">
        <f>IF($F415&lt;&gt;"", [1]FX!F414, "")</f>
        <v/>
      </c>
      <c r="L415" s="56" t="str">
        <f>IF($F415&lt;&gt;"", [1]FX!G414, "")</f>
        <v/>
      </c>
    </row>
    <row r="416" spans="6:12" x14ac:dyDescent="0.2">
      <c r="F416" s="57" t="str">
        <f>IF([1]FX!A415&gt;1, [1]FX!A415, "")</f>
        <v/>
      </c>
      <c r="G416" s="56" t="str">
        <f>IF($F416&lt;&gt;"", [1]FX!B415, "")</f>
        <v/>
      </c>
      <c r="H416" s="56" t="str">
        <f>IF($F416&lt;&gt;"", [1]FX!C415, "")</f>
        <v/>
      </c>
      <c r="I416" s="56" t="str">
        <f>IF($F416&lt;&gt;"", [1]FX!D415, "")</f>
        <v/>
      </c>
      <c r="J416" s="56" t="str">
        <f>IF($F416&lt;&gt;"", [1]FX!E415, "")</f>
        <v/>
      </c>
      <c r="K416" s="56" t="str">
        <f>IF($F416&lt;&gt;"", [1]FX!F415, "")</f>
        <v/>
      </c>
      <c r="L416" s="56" t="str">
        <f>IF($F416&lt;&gt;"", [1]FX!G415, "")</f>
        <v/>
      </c>
    </row>
    <row r="417" spans="6:12" x14ac:dyDescent="0.2">
      <c r="F417" s="57" t="str">
        <f>IF([1]FX!A416&gt;1, [1]FX!A416, "")</f>
        <v/>
      </c>
      <c r="G417" s="56" t="str">
        <f>IF($F417&lt;&gt;"", [1]FX!B416, "")</f>
        <v/>
      </c>
      <c r="H417" s="56" t="str">
        <f>IF($F417&lt;&gt;"", [1]FX!C416, "")</f>
        <v/>
      </c>
      <c r="I417" s="56" t="str">
        <f>IF($F417&lt;&gt;"", [1]FX!D416, "")</f>
        <v/>
      </c>
      <c r="J417" s="56" t="str">
        <f>IF($F417&lt;&gt;"", [1]FX!E416, "")</f>
        <v/>
      </c>
      <c r="K417" s="56" t="str">
        <f>IF($F417&lt;&gt;"", [1]FX!F416, "")</f>
        <v/>
      </c>
      <c r="L417" s="56" t="str">
        <f>IF($F417&lt;&gt;"", [1]FX!G416, "")</f>
        <v/>
      </c>
    </row>
    <row r="418" spans="6:12" x14ac:dyDescent="0.2">
      <c r="F418" s="57" t="str">
        <f>IF([1]FX!A417&gt;1, [1]FX!A417, "")</f>
        <v/>
      </c>
      <c r="G418" s="56" t="str">
        <f>IF($F418&lt;&gt;"", [1]FX!B417, "")</f>
        <v/>
      </c>
      <c r="H418" s="56" t="str">
        <f>IF($F418&lt;&gt;"", [1]FX!C417, "")</f>
        <v/>
      </c>
      <c r="I418" s="56" t="str">
        <f>IF($F418&lt;&gt;"", [1]FX!D417, "")</f>
        <v/>
      </c>
      <c r="J418" s="56" t="str">
        <f>IF($F418&lt;&gt;"", [1]FX!E417, "")</f>
        <v/>
      </c>
      <c r="K418" s="56" t="str">
        <f>IF($F418&lt;&gt;"", [1]FX!F417, "")</f>
        <v/>
      </c>
      <c r="L418" s="56" t="str">
        <f>IF($F418&lt;&gt;"", [1]FX!G417, "")</f>
        <v/>
      </c>
    </row>
    <row r="419" spans="6:12" x14ac:dyDescent="0.2">
      <c r="F419" s="57" t="str">
        <f>IF([1]FX!A418&gt;1, [1]FX!A418, "")</f>
        <v/>
      </c>
      <c r="G419" s="56" t="str">
        <f>IF($F419&lt;&gt;"", [1]FX!B418, "")</f>
        <v/>
      </c>
      <c r="H419" s="56" t="str">
        <f>IF($F419&lt;&gt;"", [1]FX!C418, "")</f>
        <v/>
      </c>
      <c r="I419" s="56" t="str">
        <f>IF($F419&lt;&gt;"", [1]FX!D418, "")</f>
        <v/>
      </c>
      <c r="J419" s="56" t="str">
        <f>IF($F419&lt;&gt;"", [1]FX!E418, "")</f>
        <v/>
      </c>
      <c r="K419" s="56" t="str">
        <f>IF($F419&lt;&gt;"", [1]FX!F418, "")</f>
        <v/>
      </c>
      <c r="L419" s="56" t="str">
        <f>IF($F419&lt;&gt;"", [1]FX!G418, "")</f>
        <v/>
      </c>
    </row>
    <row r="420" spans="6:12" x14ac:dyDescent="0.2">
      <c r="F420" s="57" t="str">
        <f>IF([1]FX!A419&gt;1, [1]FX!A419, "")</f>
        <v/>
      </c>
      <c r="G420" s="56" t="str">
        <f>IF($F420&lt;&gt;"", [1]FX!B419, "")</f>
        <v/>
      </c>
      <c r="H420" s="56" t="str">
        <f>IF($F420&lt;&gt;"", [1]FX!C419, "")</f>
        <v/>
      </c>
      <c r="I420" s="56" t="str">
        <f>IF($F420&lt;&gt;"", [1]FX!D419, "")</f>
        <v/>
      </c>
      <c r="J420" s="56" t="str">
        <f>IF($F420&lt;&gt;"", [1]FX!E419, "")</f>
        <v/>
      </c>
      <c r="K420" s="56" t="str">
        <f>IF($F420&lt;&gt;"", [1]FX!F419, "")</f>
        <v/>
      </c>
      <c r="L420" s="56" t="str">
        <f>IF($F420&lt;&gt;"", [1]FX!G419, "")</f>
        <v/>
      </c>
    </row>
    <row r="421" spans="6:12" x14ac:dyDescent="0.2">
      <c r="F421" s="57" t="str">
        <f>IF([1]FX!A420&gt;1, [1]FX!A420, "")</f>
        <v/>
      </c>
      <c r="G421" s="56" t="str">
        <f>IF($F421&lt;&gt;"", [1]FX!B420, "")</f>
        <v/>
      </c>
      <c r="H421" s="56" t="str">
        <f>IF($F421&lt;&gt;"", [1]FX!C420, "")</f>
        <v/>
      </c>
      <c r="I421" s="56" t="str">
        <f>IF($F421&lt;&gt;"", [1]FX!D420, "")</f>
        <v/>
      </c>
      <c r="J421" s="56" t="str">
        <f>IF($F421&lt;&gt;"", [1]FX!E420, "")</f>
        <v/>
      </c>
      <c r="K421" s="56" t="str">
        <f>IF($F421&lt;&gt;"", [1]FX!F420, "")</f>
        <v/>
      </c>
      <c r="L421" s="56" t="str">
        <f>IF($F421&lt;&gt;"", [1]FX!G420, "")</f>
        <v/>
      </c>
    </row>
    <row r="422" spans="6:12" x14ac:dyDescent="0.2">
      <c r="F422" s="57" t="str">
        <f>IF([1]FX!A421&gt;1, [1]FX!A421, "")</f>
        <v/>
      </c>
      <c r="G422" s="56" t="str">
        <f>IF($F422&lt;&gt;"", [1]FX!B421, "")</f>
        <v/>
      </c>
      <c r="H422" s="56" t="str">
        <f>IF($F422&lt;&gt;"", [1]FX!C421, "")</f>
        <v/>
      </c>
      <c r="I422" s="56" t="str">
        <f>IF($F422&lt;&gt;"", [1]FX!D421, "")</f>
        <v/>
      </c>
      <c r="J422" s="56" t="str">
        <f>IF($F422&lt;&gt;"", [1]FX!E421, "")</f>
        <v/>
      </c>
      <c r="K422" s="56" t="str">
        <f>IF($F422&lt;&gt;"", [1]FX!F421, "")</f>
        <v/>
      </c>
      <c r="L422" s="56" t="str">
        <f>IF($F422&lt;&gt;"", [1]FX!G421, "")</f>
        <v/>
      </c>
    </row>
    <row r="423" spans="6:12" x14ac:dyDescent="0.2">
      <c r="F423" s="57" t="str">
        <f>IF([1]FX!A422&gt;1, [1]FX!A422, "")</f>
        <v/>
      </c>
      <c r="G423" s="56" t="str">
        <f>IF($F423&lt;&gt;"", [1]FX!B422, "")</f>
        <v/>
      </c>
      <c r="H423" s="56" t="str">
        <f>IF($F423&lt;&gt;"", [1]FX!C422, "")</f>
        <v/>
      </c>
      <c r="I423" s="56" t="str">
        <f>IF($F423&lt;&gt;"", [1]FX!D422, "")</f>
        <v/>
      </c>
      <c r="J423" s="56" t="str">
        <f>IF($F423&lt;&gt;"", [1]FX!E422, "")</f>
        <v/>
      </c>
      <c r="K423" s="56" t="str">
        <f>IF($F423&lt;&gt;"", [1]FX!F422, "")</f>
        <v/>
      </c>
      <c r="L423" s="56" t="str">
        <f>IF($F423&lt;&gt;"", [1]FX!G422, "")</f>
        <v/>
      </c>
    </row>
    <row r="424" spans="6:12" x14ac:dyDescent="0.2">
      <c r="F424" s="57" t="str">
        <f>IF([1]FX!A423&gt;1, [1]FX!A423, "")</f>
        <v/>
      </c>
      <c r="G424" s="56" t="str">
        <f>IF($F424&lt;&gt;"", [1]FX!B423, "")</f>
        <v/>
      </c>
      <c r="H424" s="56" t="str">
        <f>IF($F424&lt;&gt;"", [1]FX!C423, "")</f>
        <v/>
      </c>
      <c r="I424" s="56" t="str">
        <f>IF($F424&lt;&gt;"", [1]FX!D423, "")</f>
        <v/>
      </c>
      <c r="J424" s="56" t="str">
        <f>IF($F424&lt;&gt;"", [1]FX!E423, "")</f>
        <v/>
      </c>
      <c r="K424" s="56" t="str">
        <f>IF($F424&lt;&gt;"", [1]FX!F423, "")</f>
        <v/>
      </c>
      <c r="L424" s="56" t="str">
        <f>IF($F424&lt;&gt;"", [1]FX!G423, "")</f>
        <v/>
      </c>
    </row>
    <row r="425" spans="6:12" x14ac:dyDescent="0.2">
      <c r="F425" s="57" t="str">
        <f>IF([1]FX!A424&gt;1, [1]FX!A424, "")</f>
        <v/>
      </c>
      <c r="G425" s="56" t="str">
        <f>IF($F425&lt;&gt;"", [1]FX!B424, "")</f>
        <v/>
      </c>
      <c r="H425" s="56" t="str">
        <f>IF($F425&lt;&gt;"", [1]FX!C424, "")</f>
        <v/>
      </c>
      <c r="I425" s="56" t="str">
        <f>IF($F425&lt;&gt;"", [1]FX!D424, "")</f>
        <v/>
      </c>
      <c r="J425" s="56" t="str">
        <f>IF($F425&lt;&gt;"", [1]FX!E424, "")</f>
        <v/>
      </c>
      <c r="K425" s="56" t="str">
        <f>IF($F425&lt;&gt;"", [1]FX!F424, "")</f>
        <v/>
      </c>
      <c r="L425" s="56" t="str">
        <f>IF($F425&lt;&gt;"", [1]FX!G424, "")</f>
        <v/>
      </c>
    </row>
    <row r="426" spans="6:12" x14ac:dyDescent="0.2">
      <c r="F426" s="57" t="str">
        <f>IF([1]FX!A425&gt;1, [1]FX!A425, "")</f>
        <v/>
      </c>
      <c r="G426" s="56" t="str">
        <f>IF($F426&lt;&gt;"", [1]FX!B425, "")</f>
        <v/>
      </c>
      <c r="H426" s="56" t="str">
        <f>IF($F426&lt;&gt;"", [1]FX!C425, "")</f>
        <v/>
      </c>
      <c r="I426" s="56" t="str">
        <f>IF($F426&lt;&gt;"", [1]FX!D425, "")</f>
        <v/>
      </c>
      <c r="J426" s="56" t="str">
        <f>IF($F426&lt;&gt;"", [1]FX!E425, "")</f>
        <v/>
      </c>
      <c r="K426" s="56" t="str">
        <f>IF($F426&lt;&gt;"", [1]FX!F425, "")</f>
        <v/>
      </c>
      <c r="L426" s="56" t="str">
        <f>IF($F426&lt;&gt;"", [1]FX!G425, "")</f>
        <v/>
      </c>
    </row>
    <row r="427" spans="6:12" x14ac:dyDescent="0.2">
      <c r="F427" s="57" t="str">
        <f>IF([1]FX!A426&gt;1, [1]FX!A426, "")</f>
        <v/>
      </c>
      <c r="G427" s="56" t="str">
        <f>IF($F427&lt;&gt;"", [1]FX!B426, "")</f>
        <v/>
      </c>
      <c r="H427" s="56" t="str">
        <f>IF($F427&lt;&gt;"", [1]FX!C426, "")</f>
        <v/>
      </c>
      <c r="I427" s="56" t="str">
        <f>IF($F427&lt;&gt;"", [1]FX!D426, "")</f>
        <v/>
      </c>
      <c r="J427" s="56" t="str">
        <f>IF($F427&lt;&gt;"", [1]FX!E426, "")</f>
        <v/>
      </c>
      <c r="K427" s="56" t="str">
        <f>IF($F427&lt;&gt;"", [1]FX!F426, "")</f>
        <v/>
      </c>
      <c r="L427" s="56" t="str">
        <f>IF($F427&lt;&gt;"", [1]FX!G426, "")</f>
        <v/>
      </c>
    </row>
    <row r="428" spans="6:12" x14ac:dyDescent="0.2">
      <c r="F428" s="57" t="str">
        <f>IF([1]FX!A427&gt;1, [1]FX!A427, "")</f>
        <v/>
      </c>
      <c r="G428" s="56" t="str">
        <f>IF($F428&lt;&gt;"", [1]FX!B427, "")</f>
        <v/>
      </c>
      <c r="H428" s="56" t="str">
        <f>IF($F428&lt;&gt;"", [1]FX!C427, "")</f>
        <v/>
      </c>
      <c r="I428" s="56" t="str">
        <f>IF($F428&lt;&gt;"", [1]FX!D427, "")</f>
        <v/>
      </c>
      <c r="J428" s="56" t="str">
        <f>IF($F428&lt;&gt;"", [1]FX!E427, "")</f>
        <v/>
      </c>
      <c r="K428" s="56" t="str">
        <f>IF($F428&lt;&gt;"", [1]FX!F427, "")</f>
        <v/>
      </c>
      <c r="L428" s="56" t="str">
        <f>IF($F428&lt;&gt;"", [1]FX!G427, "")</f>
        <v/>
      </c>
    </row>
    <row r="429" spans="6:12" x14ac:dyDescent="0.2">
      <c r="F429" s="57" t="str">
        <f>IF([1]FX!A428&gt;1, [1]FX!A428, "")</f>
        <v/>
      </c>
      <c r="G429" s="56" t="str">
        <f>IF($F429&lt;&gt;"", [1]FX!B428, "")</f>
        <v/>
      </c>
      <c r="H429" s="56" t="str">
        <f>IF($F429&lt;&gt;"", [1]FX!C428, "")</f>
        <v/>
      </c>
      <c r="I429" s="56" t="str">
        <f>IF($F429&lt;&gt;"", [1]FX!D428, "")</f>
        <v/>
      </c>
      <c r="J429" s="56" t="str">
        <f>IF($F429&lt;&gt;"", [1]FX!E428, "")</f>
        <v/>
      </c>
      <c r="K429" s="56" t="str">
        <f>IF($F429&lt;&gt;"", [1]FX!F428, "")</f>
        <v/>
      </c>
      <c r="L429" s="56" t="str">
        <f>IF($F429&lt;&gt;"", [1]FX!G428, "")</f>
        <v/>
      </c>
    </row>
    <row r="430" spans="6:12" x14ac:dyDescent="0.2">
      <c r="F430" s="57" t="str">
        <f>IF([1]FX!A429&gt;1, [1]FX!A429, "")</f>
        <v/>
      </c>
      <c r="G430" s="56" t="str">
        <f>IF($F430&lt;&gt;"", [1]FX!B429, "")</f>
        <v/>
      </c>
      <c r="H430" s="56" t="str">
        <f>IF($F430&lt;&gt;"", [1]FX!C429, "")</f>
        <v/>
      </c>
      <c r="I430" s="56" t="str">
        <f>IF($F430&lt;&gt;"", [1]FX!D429, "")</f>
        <v/>
      </c>
      <c r="J430" s="56" t="str">
        <f>IF($F430&lt;&gt;"", [1]FX!E429, "")</f>
        <v/>
      </c>
      <c r="K430" s="56" t="str">
        <f>IF($F430&lt;&gt;"", [1]FX!F429, "")</f>
        <v/>
      </c>
      <c r="L430" s="56" t="str">
        <f>IF($F430&lt;&gt;"", [1]FX!G429, "")</f>
        <v/>
      </c>
    </row>
    <row r="431" spans="6:12" x14ac:dyDescent="0.2">
      <c r="F431" s="57" t="str">
        <f>IF([1]FX!A430&gt;1, [1]FX!A430, "")</f>
        <v/>
      </c>
      <c r="G431" s="56" t="str">
        <f>IF($F431&lt;&gt;"", [1]FX!B430, "")</f>
        <v/>
      </c>
      <c r="H431" s="56" t="str">
        <f>IF($F431&lt;&gt;"", [1]FX!C430, "")</f>
        <v/>
      </c>
      <c r="I431" s="56" t="str">
        <f>IF($F431&lt;&gt;"", [1]FX!D430, "")</f>
        <v/>
      </c>
      <c r="J431" s="56" t="str">
        <f>IF($F431&lt;&gt;"", [1]FX!E430, "")</f>
        <v/>
      </c>
      <c r="K431" s="56" t="str">
        <f>IF($F431&lt;&gt;"", [1]FX!F430, "")</f>
        <v/>
      </c>
      <c r="L431" s="56" t="str">
        <f>IF($F431&lt;&gt;"", [1]FX!G430, "")</f>
        <v/>
      </c>
    </row>
    <row r="432" spans="6:12" x14ac:dyDescent="0.2">
      <c r="F432" s="57" t="str">
        <f>IF([1]FX!A431&gt;1, [1]FX!A431, "")</f>
        <v/>
      </c>
      <c r="G432" s="56" t="str">
        <f>IF($F432&lt;&gt;"", [1]FX!B431, "")</f>
        <v/>
      </c>
      <c r="H432" s="56" t="str">
        <f>IF($F432&lt;&gt;"", [1]FX!C431, "")</f>
        <v/>
      </c>
      <c r="I432" s="56" t="str">
        <f>IF($F432&lt;&gt;"", [1]FX!D431, "")</f>
        <v/>
      </c>
      <c r="J432" s="56" t="str">
        <f>IF($F432&lt;&gt;"", [1]FX!E431, "")</f>
        <v/>
      </c>
      <c r="K432" s="56" t="str">
        <f>IF($F432&lt;&gt;"", [1]FX!F431, "")</f>
        <v/>
      </c>
      <c r="L432" s="56" t="str">
        <f>IF($F432&lt;&gt;"", [1]FX!G431, "")</f>
        <v/>
      </c>
    </row>
    <row r="433" spans="6:12" x14ac:dyDescent="0.2">
      <c r="F433" s="57" t="str">
        <f>IF([1]FX!A432&gt;1, [1]FX!A432, "")</f>
        <v/>
      </c>
      <c r="G433" s="56" t="str">
        <f>IF($F433&lt;&gt;"", [1]FX!B432, "")</f>
        <v/>
      </c>
      <c r="H433" s="56" t="str">
        <f>IF($F433&lt;&gt;"", [1]FX!C432, "")</f>
        <v/>
      </c>
      <c r="I433" s="56" t="str">
        <f>IF($F433&lt;&gt;"", [1]FX!D432, "")</f>
        <v/>
      </c>
      <c r="J433" s="56" t="str">
        <f>IF($F433&lt;&gt;"", [1]FX!E432, "")</f>
        <v/>
      </c>
      <c r="K433" s="56" t="str">
        <f>IF($F433&lt;&gt;"", [1]FX!F432, "")</f>
        <v/>
      </c>
      <c r="L433" s="56" t="str">
        <f>IF($F433&lt;&gt;"", [1]FX!G432, "")</f>
        <v/>
      </c>
    </row>
    <row r="434" spans="6:12" x14ac:dyDescent="0.2">
      <c r="F434" s="57" t="str">
        <f>IF([1]FX!A433&gt;1, [1]FX!A433, "")</f>
        <v/>
      </c>
      <c r="G434" s="56" t="str">
        <f>IF($F434&lt;&gt;"", [1]FX!B433, "")</f>
        <v/>
      </c>
      <c r="H434" s="56" t="str">
        <f>IF($F434&lt;&gt;"", [1]FX!C433, "")</f>
        <v/>
      </c>
      <c r="I434" s="56" t="str">
        <f>IF($F434&lt;&gt;"", [1]FX!D433, "")</f>
        <v/>
      </c>
      <c r="J434" s="56" t="str">
        <f>IF($F434&lt;&gt;"", [1]FX!E433, "")</f>
        <v/>
      </c>
      <c r="K434" s="56" t="str">
        <f>IF($F434&lt;&gt;"", [1]FX!F433, "")</f>
        <v/>
      </c>
      <c r="L434" s="56" t="str">
        <f>IF($F434&lt;&gt;"", [1]FX!G433, "")</f>
        <v/>
      </c>
    </row>
    <row r="435" spans="6:12" x14ac:dyDescent="0.2">
      <c r="F435" s="57" t="str">
        <f>IF([1]FX!A434&gt;1, [1]FX!A434, "")</f>
        <v/>
      </c>
      <c r="G435" s="56" t="str">
        <f>IF($F435&lt;&gt;"", [1]FX!B434, "")</f>
        <v/>
      </c>
      <c r="H435" s="56" t="str">
        <f>IF($F435&lt;&gt;"", [1]FX!C434, "")</f>
        <v/>
      </c>
      <c r="I435" s="56" t="str">
        <f>IF($F435&lt;&gt;"", [1]FX!D434, "")</f>
        <v/>
      </c>
      <c r="J435" s="56" t="str">
        <f>IF($F435&lt;&gt;"", [1]FX!E434, "")</f>
        <v/>
      </c>
      <c r="K435" s="56" t="str">
        <f>IF($F435&lt;&gt;"", [1]FX!F434, "")</f>
        <v/>
      </c>
      <c r="L435" s="56" t="str">
        <f>IF($F435&lt;&gt;"", [1]FX!G434, "")</f>
        <v/>
      </c>
    </row>
    <row r="436" spans="6:12" x14ac:dyDescent="0.2">
      <c r="F436" s="57" t="str">
        <f>IF([1]FX!A435&gt;1, [1]FX!A435, "")</f>
        <v/>
      </c>
      <c r="G436" s="56" t="str">
        <f>IF($F436&lt;&gt;"", [1]FX!B435, "")</f>
        <v/>
      </c>
      <c r="H436" s="56" t="str">
        <f>IF($F436&lt;&gt;"", [1]FX!C435, "")</f>
        <v/>
      </c>
      <c r="I436" s="56" t="str">
        <f>IF($F436&lt;&gt;"", [1]FX!D435, "")</f>
        <v/>
      </c>
      <c r="J436" s="56" t="str">
        <f>IF($F436&lt;&gt;"", [1]FX!E435, "")</f>
        <v/>
      </c>
      <c r="K436" s="56" t="str">
        <f>IF($F436&lt;&gt;"", [1]FX!F435, "")</f>
        <v/>
      </c>
      <c r="L436" s="56" t="str">
        <f>IF($F436&lt;&gt;"", [1]FX!G435, "")</f>
        <v/>
      </c>
    </row>
    <row r="437" spans="6:12" x14ac:dyDescent="0.2">
      <c r="F437" s="57" t="str">
        <f>IF([1]FX!A436&gt;1, [1]FX!A436, "")</f>
        <v/>
      </c>
      <c r="G437" s="56" t="str">
        <f>IF($F437&lt;&gt;"", [1]FX!B436, "")</f>
        <v/>
      </c>
      <c r="H437" s="56" t="str">
        <f>IF($F437&lt;&gt;"", [1]FX!C436, "")</f>
        <v/>
      </c>
      <c r="I437" s="56" t="str">
        <f>IF($F437&lt;&gt;"", [1]FX!D436, "")</f>
        <v/>
      </c>
      <c r="J437" s="56" t="str">
        <f>IF($F437&lt;&gt;"", [1]FX!E436, "")</f>
        <v/>
      </c>
      <c r="K437" s="56" t="str">
        <f>IF($F437&lt;&gt;"", [1]FX!F436, "")</f>
        <v/>
      </c>
      <c r="L437" s="56" t="str">
        <f>IF($F437&lt;&gt;"", [1]FX!G436, "")</f>
        <v/>
      </c>
    </row>
    <row r="438" spans="6:12" x14ac:dyDescent="0.2">
      <c r="F438" s="57" t="str">
        <f>IF([1]FX!A437&gt;1, [1]FX!A437, "")</f>
        <v/>
      </c>
      <c r="G438" s="56" t="str">
        <f>IF($F438&lt;&gt;"", [1]FX!B437, "")</f>
        <v/>
      </c>
      <c r="H438" s="56" t="str">
        <f>IF($F438&lt;&gt;"", [1]FX!C437, "")</f>
        <v/>
      </c>
      <c r="I438" s="56" t="str">
        <f>IF($F438&lt;&gt;"", [1]FX!D437, "")</f>
        <v/>
      </c>
      <c r="J438" s="56" t="str">
        <f>IF($F438&lt;&gt;"", [1]FX!E437, "")</f>
        <v/>
      </c>
      <c r="K438" s="56" t="str">
        <f>IF($F438&lt;&gt;"", [1]FX!F437, "")</f>
        <v/>
      </c>
      <c r="L438" s="56" t="str">
        <f>IF($F438&lt;&gt;"", [1]FX!G437, "")</f>
        <v/>
      </c>
    </row>
    <row r="439" spans="6:12" x14ac:dyDescent="0.2">
      <c r="F439" s="57" t="str">
        <f>IF([1]FX!A438&gt;1, [1]FX!A438, "")</f>
        <v/>
      </c>
      <c r="G439" s="56" t="str">
        <f>IF($F439&lt;&gt;"", [1]FX!B438, "")</f>
        <v/>
      </c>
      <c r="H439" s="56" t="str">
        <f>IF($F439&lt;&gt;"", [1]FX!C438, "")</f>
        <v/>
      </c>
      <c r="I439" s="56" t="str">
        <f>IF($F439&lt;&gt;"", [1]FX!D438, "")</f>
        <v/>
      </c>
      <c r="J439" s="56" t="str">
        <f>IF($F439&lt;&gt;"", [1]FX!E438, "")</f>
        <v/>
      </c>
      <c r="K439" s="56" t="str">
        <f>IF($F439&lt;&gt;"", [1]FX!F438, "")</f>
        <v/>
      </c>
      <c r="L439" s="56" t="str">
        <f>IF($F439&lt;&gt;"", [1]FX!G438, "")</f>
        <v/>
      </c>
    </row>
    <row r="440" spans="6:12" x14ac:dyDescent="0.2">
      <c r="F440" s="57" t="str">
        <f>IF([1]FX!A439&gt;1, [1]FX!A439, "")</f>
        <v/>
      </c>
      <c r="G440" s="56" t="str">
        <f>IF($F440&lt;&gt;"", [1]FX!B439, "")</f>
        <v/>
      </c>
      <c r="H440" s="56" t="str">
        <f>IF($F440&lt;&gt;"", [1]FX!C439, "")</f>
        <v/>
      </c>
      <c r="I440" s="56" t="str">
        <f>IF($F440&lt;&gt;"", [1]FX!D439, "")</f>
        <v/>
      </c>
      <c r="J440" s="56" t="str">
        <f>IF($F440&lt;&gt;"", [1]FX!E439, "")</f>
        <v/>
      </c>
      <c r="K440" s="56" t="str">
        <f>IF($F440&lt;&gt;"", [1]FX!F439, "")</f>
        <v/>
      </c>
      <c r="L440" s="56" t="str">
        <f>IF($F440&lt;&gt;"", [1]FX!G439, "")</f>
        <v/>
      </c>
    </row>
    <row r="441" spans="6:12" x14ac:dyDescent="0.2">
      <c r="F441" s="57" t="str">
        <f>IF([1]FX!A440&gt;1, [1]FX!A440, "")</f>
        <v/>
      </c>
      <c r="G441" s="56" t="str">
        <f>IF($F441&lt;&gt;"", [1]FX!B440, "")</f>
        <v/>
      </c>
      <c r="H441" s="56" t="str">
        <f>IF($F441&lt;&gt;"", [1]FX!C440, "")</f>
        <v/>
      </c>
      <c r="I441" s="56" t="str">
        <f>IF($F441&lt;&gt;"", [1]FX!D440, "")</f>
        <v/>
      </c>
      <c r="J441" s="56" t="str">
        <f>IF($F441&lt;&gt;"", [1]FX!E440, "")</f>
        <v/>
      </c>
      <c r="K441" s="56" t="str">
        <f>IF($F441&lt;&gt;"", [1]FX!F440, "")</f>
        <v/>
      </c>
      <c r="L441" s="56" t="str">
        <f>IF($F441&lt;&gt;"", [1]FX!G440, "")</f>
        <v/>
      </c>
    </row>
    <row r="442" spans="6:12" x14ac:dyDescent="0.2">
      <c r="F442" s="57" t="str">
        <f>IF([1]FX!A441&gt;1, [1]FX!A441, "")</f>
        <v/>
      </c>
      <c r="G442" s="56" t="str">
        <f>IF($F442&lt;&gt;"", [1]FX!B441, "")</f>
        <v/>
      </c>
      <c r="H442" s="56" t="str">
        <f>IF($F442&lt;&gt;"", [1]FX!C441, "")</f>
        <v/>
      </c>
      <c r="I442" s="56" t="str">
        <f>IF($F442&lt;&gt;"", [1]FX!D441, "")</f>
        <v/>
      </c>
      <c r="J442" s="56" t="str">
        <f>IF($F442&lt;&gt;"", [1]FX!E441, "")</f>
        <v/>
      </c>
      <c r="K442" s="56" t="str">
        <f>IF($F442&lt;&gt;"", [1]FX!F441, "")</f>
        <v/>
      </c>
      <c r="L442" s="56" t="str">
        <f>IF($F442&lt;&gt;"", [1]FX!G441, "")</f>
        <v/>
      </c>
    </row>
    <row r="443" spans="6:12" x14ac:dyDescent="0.2">
      <c r="F443" s="57" t="str">
        <f>IF([1]FX!A442&gt;1, [1]FX!A442, "")</f>
        <v/>
      </c>
      <c r="G443" s="56" t="str">
        <f>IF($F443&lt;&gt;"", [1]FX!B442, "")</f>
        <v/>
      </c>
      <c r="H443" s="56" t="str">
        <f>IF($F443&lt;&gt;"", [1]FX!C442, "")</f>
        <v/>
      </c>
      <c r="I443" s="56" t="str">
        <f>IF($F443&lt;&gt;"", [1]FX!D442, "")</f>
        <v/>
      </c>
      <c r="J443" s="56" t="str">
        <f>IF($F443&lt;&gt;"", [1]FX!E442, "")</f>
        <v/>
      </c>
      <c r="K443" s="56" t="str">
        <f>IF($F443&lt;&gt;"", [1]FX!F442, "")</f>
        <v/>
      </c>
      <c r="L443" s="56" t="str">
        <f>IF($F443&lt;&gt;"", [1]FX!G442, "")</f>
        <v/>
      </c>
    </row>
    <row r="444" spans="6:12" x14ac:dyDescent="0.2">
      <c r="F444" s="57" t="str">
        <f>IF([1]FX!A443&gt;1, [1]FX!A443, "")</f>
        <v/>
      </c>
      <c r="G444" s="56" t="str">
        <f>IF($F444&lt;&gt;"", [1]FX!B443, "")</f>
        <v/>
      </c>
      <c r="H444" s="56" t="str">
        <f>IF($F444&lt;&gt;"", [1]FX!C443, "")</f>
        <v/>
      </c>
      <c r="I444" s="56" t="str">
        <f>IF($F444&lt;&gt;"", [1]FX!D443, "")</f>
        <v/>
      </c>
      <c r="J444" s="56" t="str">
        <f>IF($F444&lt;&gt;"", [1]FX!E443, "")</f>
        <v/>
      </c>
      <c r="K444" s="56" t="str">
        <f>IF($F444&lt;&gt;"", [1]FX!F443, "")</f>
        <v/>
      </c>
      <c r="L444" s="56" t="str">
        <f>IF($F444&lt;&gt;"", [1]FX!G443, "")</f>
        <v/>
      </c>
    </row>
    <row r="445" spans="6:12" x14ac:dyDescent="0.2">
      <c r="F445" s="57" t="str">
        <f>IF([1]FX!A444&gt;1, [1]FX!A444, "")</f>
        <v/>
      </c>
      <c r="G445" s="56" t="str">
        <f>IF($F445&lt;&gt;"", [1]FX!B444, "")</f>
        <v/>
      </c>
      <c r="H445" s="56" t="str">
        <f>IF($F445&lt;&gt;"", [1]FX!C444, "")</f>
        <v/>
      </c>
      <c r="I445" s="56" t="str">
        <f>IF($F445&lt;&gt;"", [1]FX!D444, "")</f>
        <v/>
      </c>
      <c r="J445" s="56" t="str">
        <f>IF($F445&lt;&gt;"", [1]FX!E444, "")</f>
        <v/>
      </c>
      <c r="K445" s="56" t="str">
        <f>IF($F445&lt;&gt;"", [1]FX!F444, "")</f>
        <v/>
      </c>
      <c r="L445" s="56" t="str">
        <f>IF($F445&lt;&gt;"", [1]FX!G444, "")</f>
        <v/>
      </c>
    </row>
    <row r="446" spans="6:12" x14ac:dyDescent="0.2">
      <c r="F446" s="57" t="str">
        <f>IF([1]FX!A445&gt;1, [1]FX!A445, "")</f>
        <v/>
      </c>
      <c r="G446" s="56" t="str">
        <f>IF($F446&lt;&gt;"", [1]FX!B445, "")</f>
        <v/>
      </c>
      <c r="H446" s="56" t="str">
        <f>IF($F446&lt;&gt;"", [1]FX!C445, "")</f>
        <v/>
      </c>
      <c r="I446" s="56" t="str">
        <f>IF($F446&lt;&gt;"", [1]FX!D445, "")</f>
        <v/>
      </c>
      <c r="J446" s="56" t="str">
        <f>IF($F446&lt;&gt;"", [1]FX!E445, "")</f>
        <v/>
      </c>
      <c r="K446" s="56" t="str">
        <f>IF($F446&lt;&gt;"", [1]FX!F445, "")</f>
        <v/>
      </c>
      <c r="L446" s="56" t="str">
        <f>IF($F446&lt;&gt;"", [1]FX!G445, "")</f>
        <v/>
      </c>
    </row>
    <row r="447" spans="6:12" x14ac:dyDescent="0.2">
      <c r="F447" s="57" t="str">
        <f>IF([1]FX!A446&gt;1, [1]FX!A446, "")</f>
        <v/>
      </c>
      <c r="G447" s="56" t="str">
        <f>IF($F447&lt;&gt;"", [1]FX!B446, "")</f>
        <v/>
      </c>
      <c r="H447" s="56" t="str">
        <f>IF($F447&lt;&gt;"", [1]FX!C446, "")</f>
        <v/>
      </c>
      <c r="I447" s="56" t="str">
        <f>IF($F447&lt;&gt;"", [1]FX!D446, "")</f>
        <v/>
      </c>
      <c r="J447" s="56" t="str">
        <f>IF($F447&lt;&gt;"", [1]FX!E446, "")</f>
        <v/>
      </c>
      <c r="K447" s="56" t="str">
        <f>IF($F447&lt;&gt;"", [1]FX!F446, "")</f>
        <v/>
      </c>
      <c r="L447" s="56" t="str">
        <f>IF($F447&lt;&gt;"", [1]FX!G446, "")</f>
        <v/>
      </c>
    </row>
    <row r="448" spans="6:12" x14ac:dyDescent="0.2">
      <c r="F448" s="57" t="str">
        <f>IF([1]FX!A447&gt;1, [1]FX!A447, "")</f>
        <v/>
      </c>
      <c r="G448" s="56" t="str">
        <f>IF($F448&lt;&gt;"", [1]FX!B447, "")</f>
        <v/>
      </c>
      <c r="H448" s="56" t="str">
        <f>IF($F448&lt;&gt;"", [1]FX!C447, "")</f>
        <v/>
      </c>
      <c r="I448" s="56" t="str">
        <f>IF($F448&lt;&gt;"", [1]FX!D447, "")</f>
        <v/>
      </c>
      <c r="J448" s="56" t="str">
        <f>IF($F448&lt;&gt;"", [1]FX!E447, "")</f>
        <v/>
      </c>
      <c r="K448" s="56" t="str">
        <f>IF($F448&lt;&gt;"", [1]FX!F447, "")</f>
        <v/>
      </c>
      <c r="L448" s="56" t="str">
        <f>IF($F448&lt;&gt;"", [1]FX!G447, "")</f>
        <v/>
      </c>
    </row>
    <row r="449" spans="6:12" x14ac:dyDescent="0.2">
      <c r="F449" s="57" t="str">
        <f>IF([1]FX!A448&gt;1, [1]FX!A448, "")</f>
        <v/>
      </c>
      <c r="G449" s="56" t="str">
        <f>IF($F449&lt;&gt;"", [1]FX!B448, "")</f>
        <v/>
      </c>
      <c r="H449" s="56" t="str">
        <f>IF($F449&lt;&gt;"", [1]FX!C448, "")</f>
        <v/>
      </c>
      <c r="I449" s="56" t="str">
        <f>IF($F449&lt;&gt;"", [1]FX!D448, "")</f>
        <v/>
      </c>
      <c r="J449" s="56" t="str">
        <f>IF($F449&lt;&gt;"", [1]FX!E448, "")</f>
        <v/>
      </c>
      <c r="K449" s="56" t="str">
        <f>IF($F449&lt;&gt;"", [1]FX!F448, "")</f>
        <v/>
      </c>
      <c r="L449" s="56" t="str">
        <f>IF($F449&lt;&gt;"", [1]FX!G448, "")</f>
        <v/>
      </c>
    </row>
    <row r="450" spans="6:12" x14ac:dyDescent="0.2">
      <c r="F450" s="57" t="str">
        <f>IF([1]FX!A449&gt;1, [1]FX!A449, "")</f>
        <v/>
      </c>
      <c r="G450" s="56" t="str">
        <f>IF($F450&lt;&gt;"", [1]FX!B449, "")</f>
        <v/>
      </c>
      <c r="H450" s="56" t="str">
        <f>IF($F450&lt;&gt;"", [1]FX!C449, "")</f>
        <v/>
      </c>
      <c r="I450" s="56" t="str">
        <f>IF($F450&lt;&gt;"", [1]FX!D449, "")</f>
        <v/>
      </c>
      <c r="J450" s="56" t="str">
        <f>IF($F450&lt;&gt;"", [1]FX!E449, "")</f>
        <v/>
      </c>
      <c r="K450" s="56" t="str">
        <f>IF($F450&lt;&gt;"", [1]FX!F449, "")</f>
        <v/>
      </c>
      <c r="L450" s="56" t="str">
        <f>IF($F450&lt;&gt;"", [1]FX!G449, "")</f>
        <v/>
      </c>
    </row>
    <row r="451" spans="6:12" x14ac:dyDescent="0.2">
      <c r="F451" s="57" t="str">
        <f>IF([1]FX!A450&gt;1, [1]FX!A450, "")</f>
        <v/>
      </c>
      <c r="G451" s="56" t="str">
        <f>IF($F451&lt;&gt;"", [1]FX!B450, "")</f>
        <v/>
      </c>
      <c r="H451" s="56" t="str">
        <f>IF($F451&lt;&gt;"", [1]FX!C450, "")</f>
        <v/>
      </c>
      <c r="I451" s="56" t="str">
        <f>IF($F451&lt;&gt;"", [1]FX!D450, "")</f>
        <v/>
      </c>
      <c r="J451" s="56" t="str">
        <f>IF($F451&lt;&gt;"", [1]FX!E450, "")</f>
        <v/>
      </c>
      <c r="K451" s="56" t="str">
        <f>IF($F451&lt;&gt;"", [1]FX!F450, "")</f>
        <v/>
      </c>
      <c r="L451" s="56" t="str">
        <f>IF($F451&lt;&gt;"", [1]FX!G450, "")</f>
        <v/>
      </c>
    </row>
    <row r="452" spans="6:12" x14ac:dyDescent="0.2">
      <c r="F452" s="57" t="str">
        <f>IF([1]FX!A451&gt;1, [1]FX!A451, "")</f>
        <v/>
      </c>
      <c r="G452" s="56" t="str">
        <f>IF($F452&lt;&gt;"", [1]FX!B451, "")</f>
        <v/>
      </c>
      <c r="H452" s="56" t="str">
        <f>IF($F452&lt;&gt;"", [1]FX!C451, "")</f>
        <v/>
      </c>
      <c r="I452" s="56" t="str">
        <f>IF($F452&lt;&gt;"", [1]FX!D451, "")</f>
        <v/>
      </c>
      <c r="J452" s="56" t="str">
        <f>IF($F452&lt;&gt;"", [1]FX!E451, "")</f>
        <v/>
      </c>
      <c r="K452" s="56" t="str">
        <f>IF($F452&lt;&gt;"", [1]FX!F451, "")</f>
        <v/>
      </c>
      <c r="L452" s="56" t="str">
        <f>IF($F452&lt;&gt;"", [1]FX!G451, "")</f>
        <v/>
      </c>
    </row>
    <row r="453" spans="6:12" x14ac:dyDescent="0.2">
      <c r="F453" s="57" t="str">
        <f>IF([1]FX!A452&gt;1, [1]FX!A452, "")</f>
        <v/>
      </c>
      <c r="G453" s="56" t="str">
        <f>IF($F453&lt;&gt;"", [1]FX!B452, "")</f>
        <v/>
      </c>
      <c r="H453" s="56" t="str">
        <f>IF($F453&lt;&gt;"", [1]FX!C452, "")</f>
        <v/>
      </c>
      <c r="I453" s="56" t="str">
        <f>IF($F453&lt;&gt;"", [1]FX!D452, "")</f>
        <v/>
      </c>
      <c r="J453" s="56" t="str">
        <f>IF($F453&lt;&gt;"", [1]FX!E452, "")</f>
        <v/>
      </c>
      <c r="K453" s="56" t="str">
        <f>IF($F453&lt;&gt;"", [1]FX!F452, "")</f>
        <v/>
      </c>
      <c r="L453" s="56" t="str">
        <f>IF($F453&lt;&gt;"", [1]FX!G452, "")</f>
        <v/>
      </c>
    </row>
    <row r="454" spans="6:12" x14ac:dyDescent="0.2">
      <c r="F454" s="57" t="str">
        <f>IF([1]FX!A453&gt;1, [1]FX!A453, "")</f>
        <v/>
      </c>
      <c r="G454" s="56" t="str">
        <f>IF($F454&lt;&gt;"", [1]FX!B453, "")</f>
        <v/>
      </c>
      <c r="H454" s="56" t="str">
        <f>IF($F454&lt;&gt;"", [1]FX!C453, "")</f>
        <v/>
      </c>
      <c r="I454" s="56" t="str">
        <f>IF($F454&lt;&gt;"", [1]FX!D453, "")</f>
        <v/>
      </c>
      <c r="J454" s="56" t="str">
        <f>IF($F454&lt;&gt;"", [1]FX!E453, "")</f>
        <v/>
      </c>
      <c r="K454" s="56" t="str">
        <f>IF($F454&lt;&gt;"", [1]FX!F453, "")</f>
        <v/>
      </c>
      <c r="L454" s="56" t="str">
        <f>IF($F454&lt;&gt;"", [1]FX!G453, "")</f>
        <v/>
      </c>
    </row>
    <row r="455" spans="6:12" x14ac:dyDescent="0.2">
      <c r="F455" s="57" t="str">
        <f>IF([1]FX!A454&gt;1, [1]FX!A454, "")</f>
        <v/>
      </c>
      <c r="G455" s="56" t="str">
        <f>IF($F455&lt;&gt;"", [1]FX!B454, "")</f>
        <v/>
      </c>
      <c r="H455" s="56" t="str">
        <f>IF($F455&lt;&gt;"", [1]FX!C454, "")</f>
        <v/>
      </c>
      <c r="I455" s="56" t="str">
        <f>IF($F455&lt;&gt;"", [1]FX!D454, "")</f>
        <v/>
      </c>
      <c r="J455" s="56" t="str">
        <f>IF($F455&lt;&gt;"", [1]FX!E454, "")</f>
        <v/>
      </c>
      <c r="K455" s="56" t="str">
        <f>IF($F455&lt;&gt;"", [1]FX!F454, "")</f>
        <v/>
      </c>
      <c r="L455" s="56" t="str">
        <f>IF($F455&lt;&gt;"", [1]FX!G454, "")</f>
        <v/>
      </c>
    </row>
    <row r="456" spans="6:12" x14ac:dyDescent="0.2">
      <c r="F456" s="57" t="str">
        <f>IF([1]FX!A455&gt;1, [1]FX!A455, "")</f>
        <v/>
      </c>
      <c r="G456" s="56" t="str">
        <f>IF($F456&lt;&gt;"", [1]FX!B455, "")</f>
        <v/>
      </c>
      <c r="H456" s="56" t="str">
        <f>IF($F456&lt;&gt;"", [1]FX!C455, "")</f>
        <v/>
      </c>
      <c r="I456" s="56" t="str">
        <f>IF($F456&lt;&gt;"", [1]FX!D455, "")</f>
        <v/>
      </c>
      <c r="J456" s="56" t="str">
        <f>IF($F456&lt;&gt;"", [1]FX!E455, "")</f>
        <v/>
      </c>
      <c r="K456" s="56" t="str">
        <f>IF($F456&lt;&gt;"", [1]FX!F455, "")</f>
        <v/>
      </c>
      <c r="L456" s="56" t="str">
        <f>IF($F456&lt;&gt;"", [1]FX!G455, "")</f>
        <v/>
      </c>
    </row>
    <row r="457" spans="6:12" x14ac:dyDescent="0.2">
      <c r="F457" s="57" t="str">
        <f>IF([1]FX!A456&gt;1, [1]FX!A456, "")</f>
        <v/>
      </c>
      <c r="G457" s="56" t="str">
        <f>IF($F457&lt;&gt;"", [1]FX!B456, "")</f>
        <v/>
      </c>
      <c r="H457" s="56" t="str">
        <f>IF($F457&lt;&gt;"", [1]FX!C456, "")</f>
        <v/>
      </c>
      <c r="I457" s="56" t="str">
        <f>IF($F457&lt;&gt;"", [1]FX!D456, "")</f>
        <v/>
      </c>
      <c r="J457" s="56" t="str">
        <f>IF($F457&lt;&gt;"", [1]FX!E456, "")</f>
        <v/>
      </c>
      <c r="K457" s="56" t="str">
        <f>IF($F457&lt;&gt;"", [1]FX!F456, "")</f>
        <v/>
      </c>
      <c r="L457" s="56" t="str">
        <f>IF($F457&lt;&gt;"", [1]FX!G456, "")</f>
        <v/>
      </c>
    </row>
    <row r="458" spans="6:12" x14ac:dyDescent="0.2">
      <c r="F458" s="57" t="str">
        <f>IF([1]FX!A457&gt;1, [1]FX!A457, "")</f>
        <v/>
      </c>
      <c r="G458" s="56" t="str">
        <f>IF($F458&lt;&gt;"", [1]FX!B457, "")</f>
        <v/>
      </c>
      <c r="H458" s="56" t="str">
        <f>IF($F458&lt;&gt;"", [1]FX!C457, "")</f>
        <v/>
      </c>
      <c r="I458" s="56" t="str">
        <f>IF($F458&lt;&gt;"", [1]FX!D457, "")</f>
        <v/>
      </c>
      <c r="J458" s="56" t="str">
        <f>IF($F458&lt;&gt;"", [1]FX!E457, "")</f>
        <v/>
      </c>
      <c r="K458" s="56" t="str">
        <f>IF($F458&lt;&gt;"", [1]FX!F457, "")</f>
        <v/>
      </c>
      <c r="L458" s="56" t="str">
        <f>IF($F458&lt;&gt;"", [1]FX!G457, "")</f>
        <v/>
      </c>
    </row>
    <row r="459" spans="6:12" x14ac:dyDescent="0.2">
      <c r="F459" s="57" t="str">
        <f>IF([1]FX!A458&gt;1, [1]FX!A458, "")</f>
        <v/>
      </c>
      <c r="G459" s="56" t="str">
        <f>IF($F459&lt;&gt;"", [1]FX!B458, "")</f>
        <v/>
      </c>
      <c r="H459" s="56" t="str">
        <f>IF($F459&lt;&gt;"", [1]FX!C458, "")</f>
        <v/>
      </c>
      <c r="I459" s="56" t="str">
        <f>IF($F459&lt;&gt;"", [1]FX!D458, "")</f>
        <v/>
      </c>
      <c r="J459" s="56" t="str">
        <f>IF($F459&lt;&gt;"", [1]FX!E458, "")</f>
        <v/>
      </c>
      <c r="K459" s="56" t="str">
        <f>IF($F459&lt;&gt;"", [1]FX!F458, "")</f>
        <v/>
      </c>
      <c r="L459" s="56" t="str">
        <f>IF($F459&lt;&gt;"", [1]FX!G458, "")</f>
        <v/>
      </c>
    </row>
    <row r="460" spans="6:12" x14ac:dyDescent="0.2">
      <c r="F460" s="57" t="str">
        <f>IF([1]FX!A459&gt;1, [1]FX!A459, "")</f>
        <v/>
      </c>
      <c r="G460" s="56" t="str">
        <f>IF($F460&lt;&gt;"", [1]FX!B459, "")</f>
        <v/>
      </c>
      <c r="H460" s="56" t="str">
        <f>IF($F460&lt;&gt;"", [1]FX!C459, "")</f>
        <v/>
      </c>
      <c r="I460" s="56" t="str">
        <f>IF($F460&lt;&gt;"", [1]FX!D459, "")</f>
        <v/>
      </c>
      <c r="J460" s="56" t="str">
        <f>IF($F460&lt;&gt;"", [1]FX!E459, "")</f>
        <v/>
      </c>
      <c r="K460" s="56" t="str">
        <f>IF($F460&lt;&gt;"", [1]FX!F459, "")</f>
        <v/>
      </c>
      <c r="L460" s="56" t="str">
        <f>IF($F460&lt;&gt;"", [1]FX!G459, "")</f>
        <v/>
      </c>
    </row>
    <row r="461" spans="6:12" x14ac:dyDescent="0.2">
      <c r="F461" s="57" t="str">
        <f>IF([1]FX!A460&gt;1, [1]FX!A460, "")</f>
        <v/>
      </c>
      <c r="G461" s="56" t="str">
        <f>IF($F461&lt;&gt;"", [1]FX!B460, "")</f>
        <v/>
      </c>
      <c r="H461" s="56" t="str">
        <f>IF($F461&lt;&gt;"", [1]FX!C460, "")</f>
        <v/>
      </c>
      <c r="I461" s="56" t="str">
        <f>IF($F461&lt;&gt;"", [1]FX!D460, "")</f>
        <v/>
      </c>
      <c r="J461" s="56" t="str">
        <f>IF($F461&lt;&gt;"", [1]FX!E460, "")</f>
        <v/>
      </c>
      <c r="K461" s="56" t="str">
        <f>IF($F461&lt;&gt;"", [1]FX!F460, "")</f>
        <v/>
      </c>
      <c r="L461" s="56" t="str">
        <f>IF($F461&lt;&gt;"", [1]FX!G460, "")</f>
        <v/>
      </c>
    </row>
    <row r="462" spans="6:12" x14ac:dyDescent="0.2">
      <c r="F462" s="57" t="str">
        <f>IF([1]FX!A461&gt;1, [1]FX!A461, "")</f>
        <v/>
      </c>
      <c r="G462" s="56" t="str">
        <f>IF($F462&lt;&gt;"", [1]FX!B461, "")</f>
        <v/>
      </c>
      <c r="H462" s="56" t="str">
        <f>IF($F462&lt;&gt;"", [1]FX!C461, "")</f>
        <v/>
      </c>
      <c r="I462" s="56" t="str">
        <f>IF($F462&lt;&gt;"", [1]FX!D461, "")</f>
        <v/>
      </c>
      <c r="J462" s="56" t="str">
        <f>IF($F462&lt;&gt;"", [1]FX!E461, "")</f>
        <v/>
      </c>
      <c r="K462" s="56" t="str">
        <f>IF($F462&lt;&gt;"", [1]FX!F461, "")</f>
        <v/>
      </c>
      <c r="L462" s="56" t="str">
        <f>IF($F462&lt;&gt;"", [1]FX!G461, "")</f>
        <v/>
      </c>
    </row>
    <row r="463" spans="6:12" x14ac:dyDescent="0.2">
      <c r="F463" s="57" t="str">
        <f>IF([1]FX!A462&gt;1, [1]FX!A462, "")</f>
        <v/>
      </c>
      <c r="G463" s="56" t="str">
        <f>IF($F463&lt;&gt;"", [1]FX!B462, "")</f>
        <v/>
      </c>
      <c r="H463" s="56" t="str">
        <f>IF($F463&lt;&gt;"", [1]FX!C462, "")</f>
        <v/>
      </c>
      <c r="I463" s="56" t="str">
        <f>IF($F463&lt;&gt;"", [1]FX!D462, "")</f>
        <v/>
      </c>
      <c r="J463" s="56" t="str">
        <f>IF($F463&lt;&gt;"", [1]FX!E462, "")</f>
        <v/>
      </c>
      <c r="K463" s="56" t="str">
        <f>IF($F463&lt;&gt;"", [1]FX!F462, "")</f>
        <v/>
      </c>
      <c r="L463" s="56" t="str">
        <f>IF($F463&lt;&gt;"", [1]FX!G462, "")</f>
        <v/>
      </c>
    </row>
    <row r="464" spans="6:12" x14ac:dyDescent="0.2">
      <c r="F464" s="57" t="str">
        <f>IF([1]FX!A463&gt;1, [1]FX!A463, "")</f>
        <v/>
      </c>
      <c r="G464" s="56" t="str">
        <f>IF($F464&lt;&gt;"", [1]FX!B463, "")</f>
        <v/>
      </c>
      <c r="H464" s="56" t="str">
        <f>IF($F464&lt;&gt;"", [1]FX!C463, "")</f>
        <v/>
      </c>
      <c r="I464" s="56" t="str">
        <f>IF($F464&lt;&gt;"", [1]FX!D463, "")</f>
        <v/>
      </c>
      <c r="J464" s="56" t="str">
        <f>IF($F464&lt;&gt;"", [1]FX!E463, "")</f>
        <v/>
      </c>
      <c r="K464" s="56" t="str">
        <f>IF($F464&lt;&gt;"", [1]FX!F463, "")</f>
        <v/>
      </c>
      <c r="L464" s="56" t="str">
        <f>IF($F464&lt;&gt;"", [1]FX!G463, "")</f>
        <v/>
      </c>
    </row>
    <row r="465" spans="6:12" x14ac:dyDescent="0.2">
      <c r="F465" s="57" t="str">
        <f>IF([1]FX!A464&gt;1, [1]FX!A464, "")</f>
        <v/>
      </c>
      <c r="G465" s="56" t="str">
        <f>IF($F465&lt;&gt;"", [1]FX!B464, "")</f>
        <v/>
      </c>
      <c r="H465" s="56" t="str">
        <f>IF($F465&lt;&gt;"", [1]FX!C464, "")</f>
        <v/>
      </c>
      <c r="I465" s="56" t="str">
        <f>IF($F465&lt;&gt;"", [1]FX!D464, "")</f>
        <v/>
      </c>
      <c r="J465" s="56" t="str">
        <f>IF($F465&lt;&gt;"", [1]FX!E464, "")</f>
        <v/>
      </c>
      <c r="K465" s="56" t="str">
        <f>IF($F465&lt;&gt;"", [1]FX!F464, "")</f>
        <v/>
      </c>
      <c r="L465" s="56" t="str">
        <f>IF($F465&lt;&gt;"", [1]FX!G464, "")</f>
        <v/>
      </c>
    </row>
    <row r="466" spans="6:12" x14ac:dyDescent="0.2">
      <c r="F466" s="57" t="str">
        <f>IF([1]FX!A465&gt;1, [1]FX!A465, "")</f>
        <v/>
      </c>
      <c r="G466" s="56" t="str">
        <f>IF($F466&lt;&gt;"", [1]FX!B465, "")</f>
        <v/>
      </c>
      <c r="H466" s="56" t="str">
        <f>IF($F466&lt;&gt;"", [1]FX!C465, "")</f>
        <v/>
      </c>
      <c r="I466" s="56" t="str">
        <f>IF($F466&lt;&gt;"", [1]FX!D465, "")</f>
        <v/>
      </c>
      <c r="J466" s="56" t="str">
        <f>IF($F466&lt;&gt;"", [1]FX!E465, "")</f>
        <v/>
      </c>
      <c r="K466" s="56" t="str">
        <f>IF($F466&lt;&gt;"", [1]FX!F465, "")</f>
        <v/>
      </c>
      <c r="L466" s="56" t="str">
        <f>IF($F466&lt;&gt;"", [1]FX!G465, "")</f>
        <v/>
      </c>
    </row>
    <row r="467" spans="6:12" x14ac:dyDescent="0.2">
      <c r="F467" s="57" t="str">
        <f>IF([1]FX!A466&gt;1, [1]FX!A466, "")</f>
        <v/>
      </c>
      <c r="G467" s="56" t="str">
        <f>IF($F467&lt;&gt;"", [1]FX!B466, "")</f>
        <v/>
      </c>
      <c r="H467" s="56" t="str">
        <f>IF($F467&lt;&gt;"", [1]FX!C466, "")</f>
        <v/>
      </c>
      <c r="I467" s="56" t="str">
        <f>IF($F467&lt;&gt;"", [1]FX!D466, "")</f>
        <v/>
      </c>
      <c r="J467" s="56" t="str">
        <f>IF($F467&lt;&gt;"", [1]FX!E466, "")</f>
        <v/>
      </c>
      <c r="K467" s="56" t="str">
        <f>IF($F467&lt;&gt;"", [1]FX!F466, "")</f>
        <v/>
      </c>
      <c r="L467" s="56" t="str">
        <f>IF($F467&lt;&gt;"", [1]FX!G466, "")</f>
        <v/>
      </c>
    </row>
    <row r="468" spans="6:12" x14ac:dyDescent="0.2">
      <c r="F468" s="57" t="str">
        <f>IF([1]FX!A467&gt;1, [1]FX!A467, "")</f>
        <v/>
      </c>
      <c r="G468" s="56" t="str">
        <f>IF($F468&lt;&gt;"", [1]FX!B467, "")</f>
        <v/>
      </c>
      <c r="H468" s="56" t="str">
        <f>IF($F468&lt;&gt;"", [1]FX!C467, "")</f>
        <v/>
      </c>
      <c r="I468" s="56" t="str">
        <f>IF($F468&lt;&gt;"", [1]FX!D467, "")</f>
        <v/>
      </c>
      <c r="J468" s="56" t="str">
        <f>IF($F468&lt;&gt;"", [1]FX!E467, "")</f>
        <v/>
      </c>
      <c r="K468" s="56" t="str">
        <f>IF($F468&lt;&gt;"", [1]FX!F467, "")</f>
        <v/>
      </c>
      <c r="L468" s="56" t="str">
        <f>IF($F468&lt;&gt;"", [1]FX!G467, "")</f>
        <v/>
      </c>
    </row>
    <row r="469" spans="6:12" x14ac:dyDescent="0.2">
      <c r="F469" s="57" t="str">
        <f>IF([1]FX!A468&gt;1, [1]FX!A468, "")</f>
        <v/>
      </c>
      <c r="G469" s="56" t="str">
        <f>IF($F469&lt;&gt;"", [1]FX!B468, "")</f>
        <v/>
      </c>
      <c r="H469" s="56" t="str">
        <f>IF($F469&lt;&gt;"", [1]FX!C468, "")</f>
        <v/>
      </c>
      <c r="I469" s="56" t="str">
        <f>IF($F469&lt;&gt;"", [1]FX!D468, "")</f>
        <v/>
      </c>
      <c r="J469" s="56" t="str">
        <f>IF($F469&lt;&gt;"", [1]FX!E468, "")</f>
        <v/>
      </c>
      <c r="K469" s="56" t="str">
        <f>IF($F469&lt;&gt;"", [1]FX!F468, "")</f>
        <v/>
      </c>
      <c r="L469" s="56" t="str">
        <f>IF($F469&lt;&gt;"", [1]FX!G468, "")</f>
        <v/>
      </c>
    </row>
    <row r="470" spans="6:12" x14ac:dyDescent="0.2">
      <c r="F470" s="57" t="str">
        <f>IF([1]FX!A469&gt;1, [1]FX!A469, "")</f>
        <v/>
      </c>
      <c r="G470" s="56" t="str">
        <f>IF($F470&lt;&gt;"", [1]FX!B469, "")</f>
        <v/>
      </c>
      <c r="H470" s="56" t="str">
        <f>IF($F470&lt;&gt;"", [1]FX!C469, "")</f>
        <v/>
      </c>
      <c r="I470" s="56" t="str">
        <f>IF($F470&lt;&gt;"", [1]FX!D469, "")</f>
        <v/>
      </c>
      <c r="J470" s="56" t="str">
        <f>IF($F470&lt;&gt;"", [1]FX!E469, "")</f>
        <v/>
      </c>
      <c r="K470" s="56" t="str">
        <f>IF($F470&lt;&gt;"", [1]FX!F469, "")</f>
        <v/>
      </c>
      <c r="L470" s="56" t="str">
        <f>IF($F470&lt;&gt;"", [1]FX!G469, "")</f>
        <v/>
      </c>
    </row>
    <row r="471" spans="6:12" x14ac:dyDescent="0.2">
      <c r="F471" s="57" t="str">
        <f>IF([1]FX!A470&gt;1, [1]FX!A470, "")</f>
        <v/>
      </c>
      <c r="G471" s="56" t="str">
        <f>IF($F471&lt;&gt;"", [1]FX!B470, "")</f>
        <v/>
      </c>
      <c r="H471" s="56" t="str">
        <f>IF($F471&lt;&gt;"", [1]FX!C470, "")</f>
        <v/>
      </c>
      <c r="I471" s="56" t="str">
        <f>IF($F471&lt;&gt;"", [1]FX!D470, "")</f>
        <v/>
      </c>
      <c r="J471" s="56" t="str">
        <f>IF($F471&lt;&gt;"", [1]FX!E470, "")</f>
        <v/>
      </c>
      <c r="K471" s="56" t="str">
        <f>IF($F471&lt;&gt;"", [1]FX!F470, "")</f>
        <v/>
      </c>
      <c r="L471" s="56" t="str">
        <f>IF($F471&lt;&gt;"", [1]FX!G470, "")</f>
        <v/>
      </c>
    </row>
    <row r="472" spans="6:12" x14ac:dyDescent="0.2">
      <c r="F472" s="57" t="str">
        <f>IF([1]FX!A471&gt;1, [1]FX!A471, "")</f>
        <v/>
      </c>
      <c r="G472" s="56" t="str">
        <f>IF($F472&lt;&gt;"", [1]FX!B471, "")</f>
        <v/>
      </c>
      <c r="H472" s="56" t="str">
        <f>IF($F472&lt;&gt;"", [1]FX!C471, "")</f>
        <v/>
      </c>
      <c r="I472" s="56" t="str">
        <f>IF($F472&lt;&gt;"", [1]FX!D471, "")</f>
        <v/>
      </c>
      <c r="J472" s="56" t="str">
        <f>IF($F472&lt;&gt;"", [1]FX!E471, "")</f>
        <v/>
      </c>
      <c r="K472" s="56" t="str">
        <f>IF($F472&lt;&gt;"", [1]FX!F471, "")</f>
        <v/>
      </c>
      <c r="L472" s="56" t="str">
        <f>IF($F472&lt;&gt;"", [1]FX!G471, "")</f>
        <v/>
      </c>
    </row>
    <row r="473" spans="6:12" x14ac:dyDescent="0.2">
      <c r="F473" s="57" t="str">
        <f>IF([1]FX!A472&gt;1, [1]FX!A472, "")</f>
        <v/>
      </c>
      <c r="G473" s="56" t="str">
        <f>IF($F473&lt;&gt;"", [1]FX!B472, "")</f>
        <v/>
      </c>
      <c r="H473" s="56" t="str">
        <f>IF($F473&lt;&gt;"", [1]FX!C472, "")</f>
        <v/>
      </c>
      <c r="I473" s="56" t="str">
        <f>IF($F473&lt;&gt;"", [1]FX!D472, "")</f>
        <v/>
      </c>
      <c r="J473" s="56" t="str">
        <f>IF($F473&lt;&gt;"", [1]FX!E472, "")</f>
        <v/>
      </c>
      <c r="K473" s="56" t="str">
        <f>IF($F473&lt;&gt;"", [1]FX!F472, "")</f>
        <v/>
      </c>
      <c r="L473" s="56" t="str">
        <f>IF($F473&lt;&gt;"", [1]FX!G472, "")</f>
        <v/>
      </c>
    </row>
    <row r="474" spans="6:12" x14ac:dyDescent="0.2">
      <c r="F474" s="57" t="str">
        <f>IF([1]FX!A473&gt;1, [1]FX!A473, "")</f>
        <v/>
      </c>
      <c r="G474" s="56" t="str">
        <f>IF($F474&lt;&gt;"", [1]FX!B473, "")</f>
        <v/>
      </c>
      <c r="H474" s="56" t="str">
        <f>IF($F474&lt;&gt;"", [1]FX!C473, "")</f>
        <v/>
      </c>
      <c r="I474" s="56" t="str">
        <f>IF($F474&lt;&gt;"", [1]FX!D473, "")</f>
        <v/>
      </c>
      <c r="J474" s="56" t="str">
        <f>IF($F474&lt;&gt;"", [1]FX!E473, "")</f>
        <v/>
      </c>
      <c r="K474" s="56" t="str">
        <f>IF($F474&lt;&gt;"", [1]FX!F473, "")</f>
        <v/>
      </c>
      <c r="L474" s="56" t="str">
        <f>IF($F474&lt;&gt;"", [1]FX!G473, "")</f>
        <v/>
      </c>
    </row>
    <row r="475" spans="6:12" x14ac:dyDescent="0.2">
      <c r="F475" s="57" t="str">
        <f>IF([1]FX!A474&gt;1, [1]FX!A474, "")</f>
        <v/>
      </c>
      <c r="G475" s="56" t="str">
        <f>IF($F475&lt;&gt;"", [1]FX!B474, "")</f>
        <v/>
      </c>
      <c r="H475" s="56" t="str">
        <f>IF($F475&lt;&gt;"", [1]FX!C474, "")</f>
        <v/>
      </c>
      <c r="I475" s="56" t="str">
        <f>IF($F475&lt;&gt;"", [1]FX!D474, "")</f>
        <v/>
      </c>
      <c r="J475" s="56" t="str">
        <f>IF($F475&lt;&gt;"", [1]FX!E474, "")</f>
        <v/>
      </c>
      <c r="K475" s="56" t="str">
        <f>IF($F475&lt;&gt;"", [1]FX!F474, "")</f>
        <v/>
      </c>
      <c r="L475" s="56" t="str">
        <f>IF($F475&lt;&gt;"", [1]FX!G474, "")</f>
        <v/>
      </c>
    </row>
    <row r="476" spans="6:12" x14ac:dyDescent="0.2">
      <c r="F476" s="57" t="str">
        <f>IF([1]FX!A475&gt;1, [1]FX!A475, "")</f>
        <v/>
      </c>
      <c r="G476" s="56" t="str">
        <f>IF($F476&lt;&gt;"", [1]FX!B475, "")</f>
        <v/>
      </c>
      <c r="H476" s="56" t="str">
        <f>IF($F476&lt;&gt;"", [1]FX!C475, "")</f>
        <v/>
      </c>
      <c r="I476" s="56" t="str">
        <f>IF($F476&lt;&gt;"", [1]FX!D475, "")</f>
        <v/>
      </c>
      <c r="J476" s="56" t="str">
        <f>IF($F476&lt;&gt;"", [1]FX!E475, "")</f>
        <v/>
      </c>
      <c r="K476" s="56" t="str">
        <f>IF($F476&lt;&gt;"", [1]FX!F475, "")</f>
        <v/>
      </c>
      <c r="L476" s="56" t="str">
        <f>IF($F476&lt;&gt;"", [1]FX!G475, "")</f>
        <v/>
      </c>
    </row>
    <row r="477" spans="6:12" x14ac:dyDescent="0.2">
      <c r="F477" s="57" t="str">
        <f>IF([1]FX!A476&gt;1, [1]FX!A476, "")</f>
        <v/>
      </c>
      <c r="G477" s="56" t="str">
        <f>IF($F477&lt;&gt;"", [1]FX!B476, "")</f>
        <v/>
      </c>
      <c r="H477" s="56" t="str">
        <f>IF($F477&lt;&gt;"", [1]FX!C476, "")</f>
        <v/>
      </c>
      <c r="I477" s="56" t="str">
        <f>IF($F477&lt;&gt;"", [1]FX!D476, "")</f>
        <v/>
      </c>
      <c r="J477" s="56" t="str">
        <f>IF($F477&lt;&gt;"", [1]FX!E476, "")</f>
        <v/>
      </c>
      <c r="K477" s="56" t="str">
        <f>IF($F477&lt;&gt;"", [1]FX!F476, "")</f>
        <v/>
      </c>
      <c r="L477" s="56" t="str">
        <f>IF($F477&lt;&gt;"", [1]FX!G476, "")</f>
        <v/>
      </c>
    </row>
    <row r="478" spans="6:12" x14ac:dyDescent="0.2">
      <c r="F478" s="57" t="str">
        <f>IF([1]FX!A477&gt;1, [1]FX!A477, "")</f>
        <v/>
      </c>
      <c r="G478" s="56" t="str">
        <f>IF($F478&lt;&gt;"", [1]FX!B477, "")</f>
        <v/>
      </c>
      <c r="H478" s="56" t="str">
        <f>IF($F478&lt;&gt;"", [1]FX!C477, "")</f>
        <v/>
      </c>
      <c r="I478" s="56" t="str">
        <f>IF($F478&lt;&gt;"", [1]FX!D477, "")</f>
        <v/>
      </c>
      <c r="J478" s="56" t="str">
        <f>IF($F478&lt;&gt;"", [1]FX!E477, "")</f>
        <v/>
      </c>
      <c r="K478" s="56" t="str">
        <f>IF($F478&lt;&gt;"", [1]FX!F477, "")</f>
        <v/>
      </c>
      <c r="L478" s="56" t="str">
        <f>IF($F478&lt;&gt;"", [1]FX!G477, "")</f>
        <v/>
      </c>
    </row>
    <row r="479" spans="6:12" x14ac:dyDescent="0.2">
      <c r="F479" s="57" t="str">
        <f>IF([1]FX!A478&gt;1, [1]FX!A478, "")</f>
        <v/>
      </c>
      <c r="G479" s="56" t="str">
        <f>IF($F479&lt;&gt;"", [1]FX!B478, "")</f>
        <v/>
      </c>
      <c r="H479" s="56" t="str">
        <f>IF($F479&lt;&gt;"", [1]FX!C478, "")</f>
        <v/>
      </c>
      <c r="I479" s="56" t="str">
        <f>IF($F479&lt;&gt;"", [1]FX!D478, "")</f>
        <v/>
      </c>
      <c r="J479" s="56" t="str">
        <f>IF($F479&lt;&gt;"", [1]FX!E478, "")</f>
        <v/>
      </c>
      <c r="K479" s="56" t="str">
        <f>IF($F479&lt;&gt;"", [1]FX!F478, "")</f>
        <v/>
      </c>
      <c r="L479" s="56" t="str">
        <f>IF($F479&lt;&gt;"", [1]FX!G478, "")</f>
        <v/>
      </c>
    </row>
    <row r="480" spans="6:12" x14ac:dyDescent="0.2">
      <c r="F480" s="57" t="str">
        <f>IF([1]FX!A479&gt;1, [1]FX!A479, "")</f>
        <v/>
      </c>
      <c r="G480" s="56" t="str">
        <f>IF($F480&lt;&gt;"", [1]FX!B479, "")</f>
        <v/>
      </c>
      <c r="H480" s="56" t="str">
        <f>IF($F480&lt;&gt;"", [1]FX!C479, "")</f>
        <v/>
      </c>
      <c r="I480" s="56" t="str">
        <f>IF($F480&lt;&gt;"", [1]FX!D479, "")</f>
        <v/>
      </c>
      <c r="J480" s="56" t="str">
        <f>IF($F480&lt;&gt;"", [1]FX!E479, "")</f>
        <v/>
      </c>
      <c r="K480" s="56" t="str">
        <f>IF($F480&lt;&gt;"", [1]FX!F479, "")</f>
        <v/>
      </c>
      <c r="L480" s="56" t="str">
        <f>IF($F480&lt;&gt;"", [1]FX!G479, "")</f>
        <v/>
      </c>
    </row>
    <row r="481" spans="6:12" x14ac:dyDescent="0.2">
      <c r="F481" s="57" t="str">
        <f>IF([1]FX!A480&gt;1, [1]FX!A480, "")</f>
        <v/>
      </c>
      <c r="G481" s="56" t="str">
        <f>IF($F481&lt;&gt;"", [1]FX!B480, "")</f>
        <v/>
      </c>
      <c r="H481" s="56" t="str">
        <f>IF($F481&lt;&gt;"", [1]FX!C480, "")</f>
        <v/>
      </c>
      <c r="I481" s="56" t="str">
        <f>IF($F481&lt;&gt;"", [1]FX!D480, "")</f>
        <v/>
      </c>
      <c r="J481" s="56" t="str">
        <f>IF($F481&lt;&gt;"", [1]FX!E480, "")</f>
        <v/>
      </c>
      <c r="K481" s="56" t="str">
        <f>IF($F481&lt;&gt;"", [1]FX!F480, "")</f>
        <v/>
      </c>
      <c r="L481" s="56" t="str">
        <f>IF($F481&lt;&gt;"", [1]FX!G480, "")</f>
        <v/>
      </c>
    </row>
    <row r="482" spans="6:12" x14ac:dyDescent="0.2">
      <c r="F482" s="57" t="str">
        <f>IF([1]FX!A481&gt;1, [1]FX!A481, "")</f>
        <v/>
      </c>
      <c r="G482" s="56" t="str">
        <f>IF($F482&lt;&gt;"", [1]FX!B481, "")</f>
        <v/>
      </c>
      <c r="H482" s="56" t="str">
        <f>IF($F482&lt;&gt;"", [1]FX!C481, "")</f>
        <v/>
      </c>
      <c r="I482" s="56" t="str">
        <f>IF($F482&lt;&gt;"", [1]FX!D481, "")</f>
        <v/>
      </c>
      <c r="J482" s="56" t="str">
        <f>IF($F482&lt;&gt;"", [1]FX!E481, "")</f>
        <v/>
      </c>
      <c r="K482" s="56" t="str">
        <f>IF($F482&lt;&gt;"", [1]FX!F481, "")</f>
        <v/>
      </c>
      <c r="L482" s="56" t="str">
        <f>IF($F482&lt;&gt;"", [1]FX!G481, "")</f>
        <v/>
      </c>
    </row>
    <row r="483" spans="6:12" x14ac:dyDescent="0.2">
      <c r="F483" s="57" t="str">
        <f>IF([1]FX!A482&gt;1, [1]FX!A482, "")</f>
        <v/>
      </c>
      <c r="G483" s="56" t="str">
        <f>IF($F483&lt;&gt;"", [1]FX!B482, "")</f>
        <v/>
      </c>
      <c r="H483" s="56" t="str">
        <f>IF($F483&lt;&gt;"", [1]FX!C482, "")</f>
        <v/>
      </c>
      <c r="I483" s="56" t="str">
        <f>IF($F483&lt;&gt;"", [1]FX!D482, "")</f>
        <v/>
      </c>
      <c r="J483" s="56" t="str">
        <f>IF($F483&lt;&gt;"", [1]FX!E482, "")</f>
        <v/>
      </c>
      <c r="K483" s="56" t="str">
        <f>IF($F483&lt;&gt;"", [1]FX!F482, "")</f>
        <v/>
      </c>
      <c r="L483" s="56" t="str">
        <f>IF($F483&lt;&gt;"", [1]FX!G482, "")</f>
        <v/>
      </c>
    </row>
    <row r="484" spans="6:12" x14ac:dyDescent="0.2">
      <c r="F484" s="57" t="str">
        <f>IF([1]FX!A483&gt;1, [1]FX!A483, "")</f>
        <v/>
      </c>
      <c r="G484" s="56" t="str">
        <f>IF($F484&lt;&gt;"", [1]FX!B483, "")</f>
        <v/>
      </c>
      <c r="H484" s="56" t="str">
        <f>IF($F484&lt;&gt;"", [1]FX!C483, "")</f>
        <v/>
      </c>
      <c r="I484" s="56" t="str">
        <f>IF($F484&lt;&gt;"", [1]FX!D483, "")</f>
        <v/>
      </c>
      <c r="J484" s="56" t="str">
        <f>IF($F484&lt;&gt;"", [1]FX!E483, "")</f>
        <v/>
      </c>
      <c r="K484" s="56" t="str">
        <f>IF($F484&lt;&gt;"", [1]FX!F483, "")</f>
        <v/>
      </c>
      <c r="L484" s="56" t="str">
        <f>IF($F484&lt;&gt;"", [1]FX!G483, "")</f>
        <v/>
      </c>
    </row>
    <row r="485" spans="6:12" x14ac:dyDescent="0.2">
      <c r="F485" s="57" t="str">
        <f>IF([1]FX!A484&gt;1, [1]FX!A484, "")</f>
        <v/>
      </c>
      <c r="G485" s="56" t="str">
        <f>IF($F485&lt;&gt;"", [1]FX!B484, "")</f>
        <v/>
      </c>
      <c r="H485" s="56" t="str">
        <f>IF($F485&lt;&gt;"", [1]FX!C484, "")</f>
        <v/>
      </c>
      <c r="I485" s="56" t="str">
        <f>IF($F485&lt;&gt;"", [1]FX!D484, "")</f>
        <v/>
      </c>
      <c r="J485" s="56" t="str">
        <f>IF($F485&lt;&gt;"", [1]FX!E484, "")</f>
        <v/>
      </c>
      <c r="K485" s="56" t="str">
        <f>IF($F485&lt;&gt;"", [1]FX!F484, "")</f>
        <v/>
      </c>
      <c r="L485" s="56" t="str">
        <f>IF($F485&lt;&gt;"", [1]FX!G484, "")</f>
        <v/>
      </c>
    </row>
    <row r="486" spans="6:12" x14ac:dyDescent="0.2">
      <c r="F486" s="57" t="str">
        <f>IF([1]FX!A485&gt;1, [1]FX!A485, "")</f>
        <v/>
      </c>
      <c r="G486" s="56" t="str">
        <f>IF($F486&lt;&gt;"", [1]FX!B485, "")</f>
        <v/>
      </c>
      <c r="H486" s="56" t="str">
        <f>IF($F486&lt;&gt;"", [1]FX!C485, "")</f>
        <v/>
      </c>
      <c r="I486" s="56" t="str">
        <f>IF($F486&lt;&gt;"", [1]FX!D485, "")</f>
        <v/>
      </c>
      <c r="J486" s="56" t="str">
        <f>IF($F486&lt;&gt;"", [1]FX!E485, "")</f>
        <v/>
      </c>
      <c r="K486" s="56" t="str">
        <f>IF($F486&lt;&gt;"", [1]FX!F485, "")</f>
        <v/>
      </c>
      <c r="L486" s="56" t="str">
        <f>IF($F486&lt;&gt;"", [1]FX!G485, "")</f>
        <v/>
      </c>
    </row>
    <row r="487" spans="6:12" x14ac:dyDescent="0.2">
      <c r="F487" s="57" t="str">
        <f>IF([1]FX!A486&gt;1, [1]FX!A486, "")</f>
        <v/>
      </c>
      <c r="G487" s="56" t="str">
        <f>IF($F487&lt;&gt;"", [1]FX!B486, "")</f>
        <v/>
      </c>
      <c r="H487" s="56" t="str">
        <f>IF($F487&lt;&gt;"", [1]FX!C486, "")</f>
        <v/>
      </c>
      <c r="I487" s="56" t="str">
        <f>IF($F487&lt;&gt;"", [1]FX!D486, "")</f>
        <v/>
      </c>
      <c r="J487" s="56" t="str">
        <f>IF($F487&lt;&gt;"", [1]FX!E486, "")</f>
        <v/>
      </c>
      <c r="K487" s="56" t="str">
        <f>IF($F487&lt;&gt;"", [1]FX!F486, "")</f>
        <v/>
      </c>
      <c r="L487" s="56" t="str">
        <f>IF($F487&lt;&gt;"", [1]FX!G486, "")</f>
        <v/>
      </c>
    </row>
    <row r="488" spans="6:12" x14ac:dyDescent="0.2">
      <c r="F488" s="57" t="str">
        <f>IF([1]FX!A487&gt;1, [1]FX!A487, "")</f>
        <v/>
      </c>
      <c r="G488" s="56" t="str">
        <f>IF($F488&lt;&gt;"", [1]FX!B487, "")</f>
        <v/>
      </c>
      <c r="H488" s="56" t="str">
        <f>IF($F488&lt;&gt;"", [1]FX!C487, "")</f>
        <v/>
      </c>
      <c r="I488" s="56" t="str">
        <f>IF($F488&lt;&gt;"", [1]FX!D487, "")</f>
        <v/>
      </c>
      <c r="J488" s="56" t="str">
        <f>IF($F488&lt;&gt;"", [1]FX!E487, "")</f>
        <v/>
      </c>
      <c r="K488" s="56" t="str">
        <f>IF($F488&lt;&gt;"", [1]FX!F487, "")</f>
        <v/>
      </c>
      <c r="L488" s="56" t="str">
        <f>IF($F488&lt;&gt;"", [1]FX!G487, "")</f>
        <v/>
      </c>
    </row>
    <row r="489" spans="6:12" x14ac:dyDescent="0.2">
      <c r="F489" s="57" t="str">
        <f>IF([1]FX!A488&gt;1, [1]FX!A488, "")</f>
        <v/>
      </c>
      <c r="G489" s="56" t="str">
        <f>IF($F489&lt;&gt;"", [1]FX!B488, "")</f>
        <v/>
      </c>
      <c r="H489" s="56" t="str">
        <f>IF($F489&lt;&gt;"", [1]FX!C488, "")</f>
        <v/>
      </c>
      <c r="I489" s="56" t="str">
        <f>IF($F489&lt;&gt;"", [1]FX!D488, "")</f>
        <v/>
      </c>
      <c r="J489" s="56" t="str">
        <f>IF($F489&lt;&gt;"", [1]FX!E488, "")</f>
        <v/>
      </c>
      <c r="K489" s="56" t="str">
        <f>IF($F489&lt;&gt;"", [1]FX!F488, "")</f>
        <v/>
      </c>
      <c r="L489" s="56" t="str">
        <f>IF($F489&lt;&gt;"", [1]FX!G488, "")</f>
        <v/>
      </c>
    </row>
    <row r="490" spans="6:12" x14ac:dyDescent="0.2">
      <c r="F490" s="57" t="str">
        <f>IF([1]FX!A489&gt;1, [1]FX!A489, "")</f>
        <v/>
      </c>
      <c r="G490" s="56" t="str">
        <f>IF($F490&lt;&gt;"", [1]FX!B489, "")</f>
        <v/>
      </c>
      <c r="H490" s="56" t="str">
        <f>IF($F490&lt;&gt;"", [1]FX!C489, "")</f>
        <v/>
      </c>
      <c r="I490" s="56" t="str">
        <f>IF($F490&lt;&gt;"", [1]FX!D489, "")</f>
        <v/>
      </c>
      <c r="J490" s="56" t="str">
        <f>IF($F490&lt;&gt;"", [1]FX!E489, "")</f>
        <v/>
      </c>
      <c r="K490" s="56" t="str">
        <f>IF($F490&lt;&gt;"", [1]FX!F489, "")</f>
        <v/>
      </c>
      <c r="L490" s="56" t="str">
        <f>IF($F490&lt;&gt;"", [1]FX!G489, "")</f>
        <v/>
      </c>
    </row>
    <row r="491" spans="6:12" x14ac:dyDescent="0.2">
      <c r="F491" s="57" t="str">
        <f>IF([1]FX!A490&gt;1, [1]FX!A490, "")</f>
        <v/>
      </c>
      <c r="G491" s="56" t="str">
        <f>IF($F491&lt;&gt;"", [1]FX!B490, "")</f>
        <v/>
      </c>
      <c r="H491" s="56" t="str">
        <f>IF($F491&lt;&gt;"", [1]FX!C490, "")</f>
        <v/>
      </c>
      <c r="I491" s="56" t="str">
        <f>IF($F491&lt;&gt;"", [1]FX!D490, "")</f>
        <v/>
      </c>
      <c r="J491" s="56" t="str">
        <f>IF($F491&lt;&gt;"", [1]FX!E490, "")</f>
        <v/>
      </c>
      <c r="K491" s="56" t="str">
        <f>IF($F491&lt;&gt;"", [1]FX!F490, "")</f>
        <v/>
      </c>
      <c r="L491" s="56" t="str">
        <f>IF($F491&lt;&gt;"", [1]FX!G490, "")</f>
        <v/>
      </c>
    </row>
    <row r="492" spans="6:12" x14ac:dyDescent="0.2">
      <c r="F492" s="57" t="str">
        <f>IF([1]FX!A491&gt;1, [1]FX!A491, "")</f>
        <v/>
      </c>
      <c r="G492" s="56" t="str">
        <f>IF($F492&lt;&gt;"", [1]FX!B491, "")</f>
        <v/>
      </c>
      <c r="H492" s="56" t="str">
        <f>IF($F492&lt;&gt;"", [1]FX!C491, "")</f>
        <v/>
      </c>
      <c r="I492" s="56" t="str">
        <f>IF($F492&lt;&gt;"", [1]FX!D491, "")</f>
        <v/>
      </c>
      <c r="J492" s="56" t="str">
        <f>IF($F492&lt;&gt;"", [1]FX!E491, "")</f>
        <v/>
      </c>
      <c r="K492" s="56" t="str">
        <f>IF($F492&lt;&gt;"", [1]FX!F491, "")</f>
        <v/>
      </c>
      <c r="L492" s="56" t="str">
        <f>IF($F492&lt;&gt;"", [1]FX!G491, "")</f>
        <v/>
      </c>
    </row>
    <row r="493" spans="6:12" x14ac:dyDescent="0.2">
      <c r="F493" s="57" t="str">
        <f>IF([1]FX!A492&gt;1, [1]FX!A492, "")</f>
        <v/>
      </c>
      <c r="G493" s="56" t="str">
        <f>IF($F493&lt;&gt;"", [1]FX!B492, "")</f>
        <v/>
      </c>
      <c r="H493" s="56" t="str">
        <f>IF($F493&lt;&gt;"", [1]FX!C492, "")</f>
        <v/>
      </c>
      <c r="I493" s="56" t="str">
        <f>IF($F493&lt;&gt;"", [1]FX!D492, "")</f>
        <v/>
      </c>
      <c r="J493" s="56" t="str">
        <f>IF($F493&lt;&gt;"", [1]FX!E492, "")</f>
        <v/>
      </c>
      <c r="K493" s="56" t="str">
        <f>IF($F493&lt;&gt;"", [1]FX!F492, "")</f>
        <v/>
      </c>
      <c r="L493" s="56" t="str">
        <f>IF($F493&lt;&gt;"", [1]FX!G492, "")</f>
        <v/>
      </c>
    </row>
    <row r="494" spans="6:12" x14ac:dyDescent="0.2">
      <c r="F494" s="57" t="str">
        <f>IF([1]FX!A493&gt;1, [1]FX!A493, "")</f>
        <v/>
      </c>
      <c r="G494" s="56" t="str">
        <f>IF($F494&lt;&gt;"", [1]FX!B493, "")</f>
        <v/>
      </c>
      <c r="H494" s="56" t="str">
        <f>IF($F494&lt;&gt;"", [1]FX!C493, "")</f>
        <v/>
      </c>
      <c r="I494" s="56" t="str">
        <f>IF($F494&lt;&gt;"", [1]FX!D493, "")</f>
        <v/>
      </c>
      <c r="J494" s="56" t="str">
        <f>IF($F494&lt;&gt;"", [1]FX!E493, "")</f>
        <v/>
      </c>
      <c r="K494" s="56" t="str">
        <f>IF($F494&lt;&gt;"", [1]FX!F493, "")</f>
        <v/>
      </c>
      <c r="L494" s="56" t="str">
        <f>IF($F494&lt;&gt;"", [1]FX!G493, "")</f>
        <v/>
      </c>
    </row>
    <row r="495" spans="6:12" x14ac:dyDescent="0.2">
      <c r="F495" s="57" t="str">
        <f>IF([1]FX!A494&gt;1, [1]FX!A494, "")</f>
        <v/>
      </c>
      <c r="G495" s="56" t="str">
        <f>IF($F495&lt;&gt;"", [1]FX!B494, "")</f>
        <v/>
      </c>
      <c r="H495" s="56" t="str">
        <f>IF($F495&lt;&gt;"", [1]FX!C494, "")</f>
        <v/>
      </c>
      <c r="I495" s="56" t="str">
        <f>IF($F495&lt;&gt;"", [1]FX!D494, "")</f>
        <v/>
      </c>
      <c r="J495" s="56" t="str">
        <f>IF($F495&lt;&gt;"", [1]FX!E494, "")</f>
        <v/>
      </c>
      <c r="K495" s="56" t="str">
        <f>IF($F495&lt;&gt;"", [1]FX!F494, "")</f>
        <v/>
      </c>
      <c r="L495" s="56" t="str">
        <f>IF($F495&lt;&gt;"", [1]FX!G494, "")</f>
        <v/>
      </c>
    </row>
    <row r="496" spans="6:12" x14ac:dyDescent="0.2">
      <c r="F496" s="57" t="str">
        <f>IF([1]FX!A495&gt;1, [1]FX!A495, "")</f>
        <v/>
      </c>
      <c r="G496" s="56" t="str">
        <f>IF($F496&lt;&gt;"", [1]FX!B495, "")</f>
        <v/>
      </c>
      <c r="H496" s="56" t="str">
        <f>IF($F496&lt;&gt;"", [1]FX!C495, "")</f>
        <v/>
      </c>
      <c r="I496" s="56" t="str">
        <f>IF($F496&lt;&gt;"", [1]FX!D495, "")</f>
        <v/>
      </c>
      <c r="J496" s="56" t="str">
        <f>IF($F496&lt;&gt;"", [1]FX!E495, "")</f>
        <v/>
      </c>
      <c r="K496" s="56" t="str">
        <f>IF($F496&lt;&gt;"", [1]FX!F495, "")</f>
        <v/>
      </c>
      <c r="L496" s="56" t="str">
        <f>IF($F496&lt;&gt;"", [1]FX!G495, "")</f>
        <v/>
      </c>
    </row>
    <row r="497" spans="6:12" x14ac:dyDescent="0.2">
      <c r="F497" s="57" t="str">
        <f>IF([1]FX!A496&gt;1, [1]FX!A496, "")</f>
        <v/>
      </c>
      <c r="G497" s="56" t="str">
        <f>IF($F497&lt;&gt;"", [1]FX!B496, "")</f>
        <v/>
      </c>
      <c r="H497" s="56" t="str">
        <f>IF($F497&lt;&gt;"", [1]FX!C496, "")</f>
        <v/>
      </c>
      <c r="I497" s="56" t="str">
        <f>IF($F497&lt;&gt;"", [1]FX!D496, "")</f>
        <v/>
      </c>
      <c r="J497" s="56" t="str">
        <f>IF($F497&lt;&gt;"", [1]FX!E496, "")</f>
        <v/>
      </c>
      <c r="K497" s="56" t="str">
        <f>IF($F497&lt;&gt;"", [1]FX!F496, "")</f>
        <v/>
      </c>
      <c r="L497" s="56" t="str">
        <f>IF($F497&lt;&gt;"", [1]FX!G496, "")</f>
        <v/>
      </c>
    </row>
    <row r="498" spans="6:12" x14ac:dyDescent="0.2">
      <c r="F498" s="57" t="str">
        <f>IF([1]FX!A497&gt;1, [1]FX!A497, "")</f>
        <v/>
      </c>
      <c r="G498" s="56" t="str">
        <f>IF($F498&lt;&gt;"", [1]FX!B497, "")</f>
        <v/>
      </c>
      <c r="H498" s="56" t="str">
        <f>IF($F498&lt;&gt;"", [1]FX!C497, "")</f>
        <v/>
      </c>
      <c r="I498" s="56" t="str">
        <f>IF($F498&lt;&gt;"", [1]FX!D497, "")</f>
        <v/>
      </c>
      <c r="J498" s="56" t="str">
        <f>IF($F498&lt;&gt;"", [1]FX!E497, "")</f>
        <v/>
      </c>
      <c r="K498" s="56" t="str">
        <f>IF($F498&lt;&gt;"", [1]FX!F497, "")</f>
        <v/>
      </c>
      <c r="L498" s="56" t="str">
        <f>IF($F498&lt;&gt;"", [1]FX!G497, "")</f>
        <v/>
      </c>
    </row>
    <row r="499" spans="6:12" x14ac:dyDescent="0.2">
      <c r="F499" s="57" t="str">
        <f>IF([1]FX!A498&gt;1, [1]FX!A498, "")</f>
        <v/>
      </c>
      <c r="G499" s="56" t="str">
        <f>IF($F499&lt;&gt;"", [1]FX!B498, "")</f>
        <v/>
      </c>
      <c r="H499" s="56" t="str">
        <f>IF($F499&lt;&gt;"", [1]FX!C498, "")</f>
        <v/>
      </c>
      <c r="I499" s="56" t="str">
        <f>IF($F499&lt;&gt;"", [1]FX!D498, "")</f>
        <v/>
      </c>
      <c r="J499" s="56" t="str">
        <f>IF($F499&lt;&gt;"", [1]FX!E498, "")</f>
        <v/>
      </c>
      <c r="K499" s="56" t="str">
        <f>IF($F499&lt;&gt;"", [1]FX!F498, "")</f>
        <v/>
      </c>
      <c r="L499" s="56" t="str">
        <f>IF($F499&lt;&gt;"", [1]FX!G498, "")</f>
        <v/>
      </c>
    </row>
    <row r="500" spans="6:12" x14ac:dyDescent="0.2">
      <c r="F500" s="57" t="str">
        <f>IF([1]FX!A499&gt;1, [1]FX!A499, "")</f>
        <v/>
      </c>
      <c r="G500" s="56" t="str">
        <f>IF($F500&lt;&gt;"", [1]FX!B499, "")</f>
        <v/>
      </c>
      <c r="H500" s="56" t="str">
        <f>IF($F500&lt;&gt;"", [1]FX!C499, "")</f>
        <v/>
      </c>
      <c r="I500" s="56" t="str">
        <f>IF($F500&lt;&gt;"", [1]FX!D499, "")</f>
        <v/>
      </c>
      <c r="J500" s="56" t="str">
        <f>IF($F500&lt;&gt;"", [1]FX!E499, "")</f>
        <v/>
      </c>
      <c r="K500" s="56" t="str">
        <f>IF($F500&lt;&gt;"", [1]FX!F499, "")</f>
        <v/>
      </c>
      <c r="L500" s="56" t="str">
        <f>IF($F500&lt;&gt;"", [1]FX!G499, "")</f>
        <v/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0F7F-94D3-0440-AFB4-04CC55C8827E}">
  <dimension ref="A1:J96"/>
  <sheetViews>
    <sheetView workbookViewId="0">
      <selection activeCell="B6" sqref="B6"/>
    </sheetView>
  </sheetViews>
  <sheetFormatPr baseColWidth="10" defaultRowHeight="16" x14ac:dyDescent="0.2"/>
  <cols>
    <col min="1" max="1" width="10.83203125" style="79"/>
    <col min="2" max="10" width="10.83203125" style="80"/>
  </cols>
  <sheetData>
    <row r="1" spans="1:2" x14ac:dyDescent="0.2">
      <c r="A1" s="79">
        <f ca="1">TODAY()</f>
        <v>45836</v>
      </c>
      <c r="B1" s="80" t="s">
        <v>3</v>
      </c>
    </row>
    <row r="2" spans="1:2" x14ac:dyDescent="0.2">
      <c r="B2" s="80" t="str">
        <f ca="1">INDEX(Summary!$C$3:$C$100, MATCH(B$1,Summary!$A$3:$A$100,0))</f>
        <v>AUD</v>
      </c>
    </row>
    <row r="3" spans="1:2" x14ac:dyDescent="0.2">
      <c r="B3" s="80" t="str">
        <f ca="1">INDEX(Summary!$D$3:$D$100, MATCH(B$1,Summary!$A$3:$A$100,0))</f>
        <v>Property</v>
      </c>
    </row>
    <row r="4" spans="1:2" x14ac:dyDescent="0.2">
      <c r="B4" s="80" t="str">
        <f ca="1">INDEX(Summary!$E$3:$E$100, MATCH(B$1,Summary!$A$3:$A$100,0))</f>
        <v>Shaun Reichman</v>
      </c>
    </row>
    <row r="5" spans="1:2" x14ac:dyDescent="0.2">
      <c r="B5" s="80" t="s">
        <v>148</v>
      </c>
    </row>
    <row r="6" spans="1:2" x14ac:dyDescent="0.2">
      <c r="B6" s="80" t="s">
        <v>24</v>
      </c>
    </row>
    <row r="7" spans="1:2" x14ac:dyDescent="0.2">
      <c r="A7" s="79">
        <v>43496</v>
      </c>
      <c r="B7" s="80">
        <f ca="1">IF($A7&gt;$A$1, 0, IFERROR(IF(B$6="Balance", INDEX(INDIRECT("'"&amp;B$1&amp;"'!"&amp;B$5&amp;":"&amp;B$5), MATCH($A7,INDIRECT("'"&amp;B$1&amp;"'!A:A"),1)), IF(B$6="Update", SUMIFS(INDIRECT("'"&amp;B$1&amp;"'!"&amp;B$5&amp;":"&amp;B$5), INDIRECT("'"&amp;B$1&amp;"'!A:A"),$A7), "")) / INDEX(Inputs!$G$3:$Z$500, MATCH($A7,Inputs!$F$3:$F$500,0), MATCH(B$2,Inputs!$G$2:$Y$2,0)), 0))</f>
        <v>0</v>
      </c>
    </row>
    <row r="8" spans="1:2" x14ac:dyDescent="0.2">
      <c r="A8" s="79">
        <v>43524</v>
      </c>
      <c r="B8" s="80">
        <f ca="1">IF($A8&gt;$A$1, 0, IFERROR(IF(B$6="Balance", INDEX(INDIRECT("'"&amp;B$1&amp;"'!"&amp;B$5&amp;":"&amp;B$5), MATCH($A8,INDIRECT("'"&amp;B$1&amp;"'!A:A"),1)), IF(B$6="Update", SUMIFS(INDIRECT("'"&amp;B$1&amp;"'!"&amp;B$5&amp;":"&amp;B$5), INDIRECT("'"&amp;B$1&amp;"'!A:A"),$A8), "")) / INDEX(Inputs!$G$3:$Z$500, MATCH($A8,Inputs!$F$3:$F$500,0), MATCH(B$2,Inputs!$G$2:$Y$2,0)), 0))</f>
        <v>0</v>
      </c>
    </row>
    <row r="9" spans="1:2" x14ac:dyDescent="0.2">
      <c r="A9" s="79">
        <v>43555</v>
      </c>
      <c r="B9" s="80">
        <f ca="1">IF($A9&gt;$A$1, 0, IFERROR(IF(B$6="Balance", INDEX(INDIRECT("'"&amp;B$1&amp;"'!"&amp;B$5&amp;":"&amp;B$5), MATCH($A9,INDIRECT("'"&amp;B$1&amp;"'!A:A"),1)), IF(B$6="Update", SUMIFS(INDIRECT("'"&amp;B$1&amp;"'!"&amp;B$5&amp;":"&amp;B$5), INDIRECT("'"&amp;B$1&amp;"'!A:A"),$A9), "")) / INDEX(Inputs!$G$3:$Z$500, MATCH($A9,Inputs!$F$3:$F$500,0), MATCH(B$2,Inputs!$G$2:$Y$2,0)), 0))</f>
        <v>0</v>
      </c>
    </row>
    <row r="10" spans="1:2" x14ac:dyDescent="0.2">
      <c r="A10" s="79">
        <v>43585</v>
      </c>
      <c r="B10" s="80">
        <f ca="1">IF($A10&gt;$A$1, 0, IFERROR(IF(B$6="Balance", INDEX(INDIRECT("'"&amp;B$1&amp;"'!"&amp;B$5&amp;":"&amp;B$5), MATCH($A10,INDIRECT("'"&amp;B$1&amp;"'!A:A"),1)), IF(B$6="Update", SUMIFS(INDIRECT("'"&amp;B$1&amp;"'!"&amp;B$5&amp;":"&amp;B$5), INDIRECT("'"&amp;B$1&amp;"'!A:A"),$A10), "")) / INDEX(Inputs!$G$3:$Z$500, MATCH($A10,Inputs!$F$3:$F$500,0), MATCH(B$2,Inputs!$G$2:$Y$2,0)), 0))</f>
        <v>0</v>
      </c>
    </row>
    <row r="11" spans="1:2" x14ac:dyDescent="0.2">
      <c r="A11" s="79">
        <v>43616</v>
      </c>
      <c r="B11" s="80">
        <f ca="1">IF($A11&gt;$A$1, 0, IFERROR(IF(B$6="Balance", INDEX(INDIRECT("'"&amp;B$1&amp;"'!"&amp;B$5&amp;":"&amp;B$5), MATCH($A11,INDIRECT("'"&amp;B$1&amp;"'!A:A"),1)), IF(B$6="Update", SUMIFS(INDIRECT("'"&amp;B$1&amp;"'!"&amp;B$5&amp;":"&amp;B$5), INDIRECT("'"&amp;B$1&amp;"'!A:A"),$A11), "")) / INDEX(Inputs!$G$3:$Z$500, MATCH($A11,Inputs!$F$3:$F$500,0), MATCH(B$2,Inputs!$G$2:$Y$2,0)), 0))</f>
        <v>0</v>
      </c>
    </row>
    <row r="12" spans="1:2" x14ac:dyDescent="0.2">
      <c r="A12" s="79">
        <v>43646</v>
      </c>
      <c r="B12" s="80">
        <f ca="1">IF($A12&gt;$A$1, 0, IFERROR(IF(B$6="Balance", INDEX(INDIRECT("'"&amp;B$1&amp;"'!"&amp;B$5&amp;":"&amp;B$5), MATCH($A12,INDIRECT("'"&amp;B$1&amp;"'!A:A"),1)), IF(B$6="Update", SUMIFS(INDIRECT("'"&amp;B$1&amp;"'!"&amp;B$5&amp;":"&amp;B$5), INDIRECT("'"&amp;B$1&amp;"'!A:A"),$A12), "")) / INDEX(Inputs!$G$3:$Z$500, MATCH($A12,Inputs!$F$3:$F$500,0), MATCH(B$2,Inputs!$G$2:$Y$2,0)), 0))</f>
        <v>0</v>
      </c>
    </row>
    <row r="13" spans="1:2" x14ac:dyDescent="0.2">
      <c r="A13" s="79">
        <v>43677</v>
      </c>
      <c r="B13" s="80">
        <f ca="1">IF($A13&gt;$A$1, 0, IFERROR(IF(B$6="Balance", INDEX(INDIRECT("'"&amp;B$1&amp;"'!"&amp;B$5&amp;":"&amp;B$5), MATCH($A13,INDIRECT("'"&amp;B$1&amp;"'!A:A"),1)), IF(B$6="Update", SUMIFS(INDIRECT("'"&amp;B$1&amp;"'!"&amp;B$5&amp;":"&amp;B$5), INDIRECT("'"&amp;B$1&amp;"'!A:A"),$A13), "")) / INDEX(Inputs!$G$3:$Z$500, MATCH($A13,Inputs!$F$3:$F$500,0), MATCH(B$2,Inputs!$G$2:$Y$2,0)), 0))</f>
        <v>0</v>
      </c>
    </row>
    <row r="14" spans="1:2" x14ac:dyDescent="0.2">
      <c r="A14" s="79">
        <v>43708</v>
      </c>
      <c r="B14" s="80">
        <f ca="1">IF($A14&gt;$A$1, 0, IFERROR(IF(B$6="Balance", INDEX(INDIRECT("'"&amp;B$1&amp;"'!"&amp;B$5&amp;":"&amp;B$5), MATCH($A14,INDIRECT("'"&amp;B$1&amp;"'!A:A"),1)), IF(B$6="Update", SUMIFS(INDIRECT("'"&amp;B$1&amp;"'!"&amp;B$5&amp;":"&amp;B$5), INDIRECT("'"&amp;B$1&amp;"'!A:A"),$A14), "")) / INDEX(Inputs!$G$3:$Z$500, MATCH($A14,Inputs!$F$3:$F$500,0), MATCH(B$2,Inputs!$G$2:$Y$2,0)), 0))</f>
        <v>0</v>
      </c>
    </row>
    <row r="15" spans="1:2" x14ac:dyDescent="0.2">
      <c r="A15" s="79">
        <v>43738</v>
      </c>
      <c r="B15" s="80">
        <f ca="1">IF($A15&gt;$A$1, 0, IFERROR(IF(B$6="Balance", INDEX(INDIRECT("'"&amp;B$1&amp;"'!"&amp;B$5&amp;":"&amp;B$5), MATCH($A15,INDIRECT("'"&amp;B$1&amp;"'!A:A"),1)), IF(B$6="Update", SUMIFS(INDIRECT("'"&amp;B$1&amp;"'!"&amp;B$5&amp;":"&amp;B$5), INDIRECT("'"&amp;B$1&amp;"'!A:A"),$A15), "")) / INDEX(Inputs!$G$3:$Z$500, MATCH($A15,Inputs!$F$3:$F$500,0), MATCH(B$2,Inputs!$G$2:$Y$2,0)), 0))</f>
        <v>0</v>
      </c>
    </row>
    <row r="16" spans="1:2" x14ac:dyDescent="0.2">
      <c r="A16" s="79">
        <v>43769</v>
      </c>
      <c r="B16" s="80">
        <f ca="1">IF($A16&gt;$A$1, 0, IFERROR(IF(B$6="Balance", INDEX(INDIRECT("'"&amp;B$1&amp;"'!"&amp;B$5&amp;":"&amp;B$5), MATCH($A16,INDIRECT("'"&amp;B$1&amp;"'!A:A"),1)), IF(B$6="Update", SUMIFS(INDIRECT("'"&amp;B$1&amp;"'!"&amp;B$5&amp;":"&amp;B$5), INDIRECT("'"&amp;B$1&amp;"'!A:A"),$A16), "")) / INDEX(Inputs!$G$3:$Z$500, MATCH($A16,Inputs!$F$3:$F$500,0), MATCH(B$2,Inputs!$G$2:$Y$2,0)), 0))</f>
        <v>0</v>
      </c>
    </row>
    <row r="17" spans="1:2" x14ac:dyDescent="0.2">
      <c r="A17" s="79">
        <v>43799</v>
      </c>
      <c r="B17" s="80">
        <f ca="1">IF($A17&gt;$A$1, 0, IFERROR(IF(B$6="Balance", INDEX(INDIRECT("'"&amp;B$1&amp;"'!"&amp;B$5&amp;":"&amp;B$5), MATCH($A17,INDIRECT("'"&amp;B$1&amp;"'!A:A"),1)), IF(B$6="Update", SUMIFS(INDIRECT("'"&amp;B$1&amp;"'!"&amp;B$5&amp;":"&amp;B$5), INDIRECT("'"&amp;B$1&amp;"'!A:A"),$A17), "")) / INDEX(Inputs!$G$3:$Z$500, MATCH($A17,Inputs!$F$3:$F$500,0), MATCH(B$2,Inputs!$G$2:$Y$2,0)), 0))</f>
        <v>0</v>
      </c>
    </row>
    <row r="18" spans="1:2" x14ac:dyDescent="0.2">
      <c r="A18" s="79">
        <v>43830</v>
      </c>
      <c r="B18" s="80">
        <f ca="1">IF($A18&gt;$A$1, 0, IFERROR(IF(B$6="Balance", INDEX(INDIRECT("'"&amp;B$1&amp;"'!"&amp;B$5&amp;":"&amp;B$5), MATCH($A18,INDIRECT("'"&amp;B$1&amp;"'!A:A"),1)), IF(B$6="Update", SUMIFS(INDIRECT("'"&amp;B$1&amp;"'!"&amp;B$5&amp;":"&amp;B$5), INDIRECT("'"&amp;B$1&amp;"'!A:A"),$A18), "")) / INDEX(Inputs!$G$3:$Z$500, MATCH($A18,Inputs!$F$3:$F$500,0), MATCH(B$2,Inputs!$G$2:$Y$2,0)), 0))</f>
        <v>0</v>
      </c>
    </row>
    <row r="19" spans="1:2" x14ac:dyDescent="0.2">
      <c r="A19" s="79">
        <v>43861</v>
      </c>
      <c r="B19" s="80">
        <f ca="1">IF($A19&gt;$A$1, 0, IFERROR(IF(B$6="Balance", INDEX(INDIRECT("'"&amp;B$1&amp;"'!"&amp;B$5&amp;":"&amp;B$5), MATCH($A19,INDIRECT("'"&amp;B$1&amp;"'!A:A"),1)), IF(B$6="Update", SUMIFS(INDIRECT("'"&amp;B$1&amp;"'!"&amp;B$5&amp;":"&amp;B$5), INDIRECT("'"&amp;B$1&amp;"'!A:A"),$A19), "")) / INDEX(Inputs!$G$3:$Z$500, MATCH($A19,Inputs!$F$3:$F$500,0), MATCH(B$2,Inputs!$G$2:$Y$2,0)), 0))</f>
        <v>0</v>
      </c>
    </row>
    <row r="20" spans="1:2" x14ac:dyDescent="0.2">
      <c r="A20" s="79">
        <v>43890</v>
      </c>
      <c r="B20" s="80">
        <f ca="1">IF($A20&gt;$A$1, 0, IFERROR(IF(B$6="Balance", INDEX(INDIRECT("'"&amp;B$1&amp;"'!"&amp;B$5&amp;":"&amp;B$5), MATCH($A20,INDIRECT("'"&amp;B$1&amp;"'!A:A"),1)), IF(B$6="Update", SUMIFS(INDIRECT("'"&amp;B$1&amp;"'!"&amp;B$5&amp;":"&amp;B$5), INDIRECT("'"&amp;B$1&amp;"'!A:A"),$A20), "")) / INDEX(Inputs!$G$3:$Z$500, MATCH($A20,Inputs!$F$3:$F$500,0), MATCH(B$2,Inputs!$G$2:$Y$2,0)), 0))</f>
        <v>0</v>
      </c>
    </row>
    <row r="21" spans="1:2" x14ac:dyDescent="0.2">
      <c r="A21" s="79">
        <v>43921</v>
      </c>
      <c r="B21" s="80">
        <f ca="1">IF($A21&gt;$A$1, 0, IFERROR(IF(B$6="Balance", INDEX(INDIRECT("'"&amp;B$1&amp;"'!"&amp;B$5&amp;":"&amp;B$5), MATCH($A21,INDIRECT("'"&amp;B$1&amp;"'!A:A"),1)), IF(B$6="Update", SUMIFS(INDIRECT("'"&amp;B$1&amp;"'!"&amp;B$5&amp;":"&amp;B$5), INDIRECT("'"&amp;B$1&amp;"'!A:A"),$A21), "")) / INDEX(Inputs!$G$3:$Z$500, MATCH($A21,Inputs!$F$3:$F$500,0), MATCH(B$2,Inputs!$G$2:$Y$2,0)), 0))</f>
        <v>0</v>
      </c>
    </row>
    <row r="22" spans="1:2" x14ac:dyDescent="0.2">
      <c r="A22" s="79">
        <v>43951</v>
      </c>
      <c r="B22" s="80">
        <f ca="1">IF($A22&gt;$A$1, 0, IFERROR(IF(B$6="Balance", INDEX(INDIRECT("'"&amp;B$1&amp;"'!"&amp;B$5&amp;":"&amp;B$5), MATCH($A22,INDIRECT("'"&amp;B$1&amp;"'!A:A"),1)), IF(B$6="Update", SUMIFS(INDIRECT("'"&amp;B$1&amp;"'!"&amp;B$5&amp;":"&amp;B$5), INDIRECT("'"&amp;B$1&amp;"'!A:A"),$A22), "")) / INDEX(Inputs!$G$3:$Z$500, MATCH($A22,Inputs!$F$3:$F$500,0), MATCH(B$2,Inputs!$G$2:$Y$2,0)), 0))</f>
        <v>0</v>
      </c>
    </row>
    <row r="23" spans="1:2" x14ac:dyDescent="0.2">
      <c r="A23" s="79">
        <v>43982</v>
      </c>
      <c r="B23" s="80">
        <f ca="1">IF($A23&gt;$A$1, 0, IFERROR(IF(B$6="Balance", INDEX(INDIRECT("'"&amp;B$1&amp;"'!"&amp;B$5&amp;":"&amp;B$5), MATCH($A23,INDIRECT("'"&amp;B$1&amp;"'!A:A"),1)), IF(B$6="Update", SUMIFS(INDIRECT("'"&amp;B$1&amp;"'!"&amp;B$5&amp;":"&amp;B$5), INDIRECT("'"&amp;B$1&amp;"'!A:A"),$A23), "")) / INDEX(Inputs!$G$3:$Z$500, MATCH($A23,Inputs!$F$3:$F$500,0), MATCH(B$2,Inputs!$G$2:$Y$2,0)), 0))</f>
        <v>0</v>
      </c>
    </row>
    <row r="24" spans="1:2" x14ac:dyDescent="0.2">
      <c r="A24" s="79">
        <v>44012</v>
      </c>
      <c r="B24" s="80">
        <f ca="1">IF($A24&gt;$A$1, 0, IFERROR(IF(B$6="Balance", INDEX(INDIRECT("'"&amp;B$1&amp;"'!"&amp;B$5&amp;":"&amp;B$5), MATCH($A24,INDIRECT("'"&amp;B$1&amp;"'!A:A"),1)), IF(B$6="Update", SUMIFS(INDIRECT("'"&amp;B$1&amp;"'!"&amp;B$5&amp;":"&amp;B$5), INDIRECT("'"&amp;B$1&amp;"'!A:A"),$A24), "")) / INDEX(Inputs!$G$3:$Z$500, MATCH($A24,Inputs!$F$3:$F$500,0), MATCH(B$2,Inputs!$G$2:$Y$2,0)), 0))</f>
        <v>0</v>
      </c>
    </row>
    <row r="25" spans="1:2" x14ac:dyDescent="0.2">
      <c r="A25" s="79">
        <v>44043</v>
      </c>
      <c r="B25" s="80">
        <f ca="1">IF($A25&gt;$A$1, 0, IFERROR(IF(B$6="Balance", INDEX(INDIRECT("'"&amp;B$1&amp;"'!"&amp;B$5&amp;":"&amp;B$5), MATCH($A25,INDIRECT("'"&amp;B$1&amp;"'!A:A"),1)), IF(B$6="Update", SUMIFS(INDIRECT("'"&amp;B$1&amp;"'!"&amp;B$5&amp;":"&amp;B$5), INDIRECT("'"&amp;B$1&amp;"'!A:A"),$A25), "")) / INDEX(Inputs!$G$3:$Z$500, MATCH($A25,Inputs!$F$3:$F$500,0), MATCH(B$2,Inputs!$G$2:$Y$2,0)), 0))</f>
        <v>0</v>
      </c>
    </row>
    <row r="26" spans="1:2" x14ac:dyDescent="0.2">
      <c r="A26" s="79">
        <v>44074</v>
      </c>
      <c r="B26" s="80">
        <f ca="1">IF($A26&gt;$A$1, 0, IFERROR(IF(B$6="Balance", INDEX(INDIRECT("'"&amp;B$1&amp;"'!"&amp;B$5&amp;":"&amp;B$5), MATCH($A26,INDIRECT("'"&amp;B$1&amp;"'!A:A"),1)), IF(B$6="Update", SUMIFS(INDIRECT("'"&amp;B$1&amp;"'!"&amp;B$5&amp;":"&amp;B$5), INDIRECT("'"&amp;B$1&amp;"'!A:A"),$A26), "")) / INDEX(Inputs!$G$3:$Z$500, MATCH($A26,Inputs!$F$3:$F$500,0), MATCH(B$2,Inputs!$G$2:$Y$2,0)), 0))</f>
        <v>0</v>
      </c>
    </row>
    <row r="27" spans="1:2" x14ac:dyDescent="0.2">
      <c r="A27" s="79">
        <v>44104</v>
      </c>
      <c r="B27" s="80">
        <f ca="1">IF($A27&gt;$A$1, 0, IFERROR(IF(B$6="Balance", INDEX(INDIRECT("'"&amp;B$1&amp;"'!"&amp;B$5&amp;":"&amp;B$5), MATCH($A27,INDIRECT("'"&amp;B$1&amp;"'!A:A"),1)), IF(B$6="Update", SUMIFS(INDIRECT("'"&amp;B$1&amp;"'!"&amp;B$5&amp;":"&amp;B$5), INDIRECT("'"&amp;B$1&amp;"'!A:A"),$A27), "")) / INDEX(Inputs!$G$3:$Z$500, MATCH($A27,Inputs!$F$3:$F$500,0), MATCH(B$2,Inputs!$G$2:$Y$2,0)), 0))</f>
        <v>0</v>
      </c>
    </row>
    <row r="28" spans="1:2" x14ac:dyDescent="0.2">
      <c r="A28" s="79">
        <v>44135</v>
      </c>
      <c r="B28" s="80">
        <f ca="1">IF($A28&gt;$A$1, 0, IFERROR(IF(B$6="Balance", INDEX(INDIRECT("'"&amp;B$1&amp;"'!"&amp;B$5&amp;":"&amp;B$5), MATCH($A28,INDIRECT("'"&amp;B$1&amp;"'!A:A"),1)), IF(B$6="Update", SUMIFS(INDIRECT("'"&amp;B$1&amp;"'!"&amp;B$5&amp;":"&amp;B$5), INDIRECT("'"&amp;B$1&amp;"'!A:A"),$A28), "")) / INDEX(Inputs!$G$3:$Z$500, MATCH($A28,Inputs!$F$3:$F$500,0), MATCH(B$2,Inputs!$G$2:$Y$2,0)), 0))</f>
        <v>0</v>
      </c>
    </row>
    <row r="29" spans="1:2" x14ac:dyDescent="0.2">
      <c r="A29" s="79">
        <v>44165</v>
      </c>
      <c r="B29" s="80">
        <f ca="1">IF($A29&gt;$A$1, 0, IFERROR(IF(B$6="Balance", INDEX(INDIRECT("'"&amp;B$1&amp;"'!"&amp;B$5&amp;":"&amp;B$5), MATCH($A29,INDIRECT("'"&amp;B$1&amp;"'!A:A"),1)), IF(B$6="Update", SUMIFS(INDIRECT("'"&amp;B$1&amp;"'!"&amp;B$5&amp;":"&amp;B$5), INDIRECT("'"&amp;B$1&amp;"'!A:A"),$A29), "")) / INDEX(Inputs!$G$3:$Z$500, MATCH($A29,Inputs!$F$3:$F$500,0), MATCH(B$2,Inputs!$G$2:$Y$2,0)), 0))</f>
        <v>0</v>
      </c>
    </row>
    <row r="30" spans="1:2" x14ac:dyDescent="0.2">
      <c r="A30" s="79">
        <v>44196</v>
      </c>
      <c r="B30" s="80">
        <f ca="1">IF($A30&gt;$A$1, 0, IFERROR(IF(B$6="Balance", INDEX(INDIRECT("'"&amp;B$1&amp;"'!"&amp;B$5&amp;":"&amp;B$5), MATCH($A30,INDIRECT("'"&amp;B$1&amp;"'!A:A"),1)), IF(B$6="Update", SUMIFS(INDIRECT("'"&amp;B$1&amp;"'!"&amp;B$5&amp;":"&amp;B$5), INDIRECT("'"&amp;B$1&amp;"'!A:A"),$A30), "")) / INDEX(Inputs!$G$3:$Z$500, MATCH($A30,Inputs!$F$3:$F$500,0), MATCH(B$2,Inputs!$G$2:$Y$2,0)), 0))</f>
        <v>0</v>
      </c>
    </row>
    <row r="31" spans="1:2" x14ac:dyDescent="0.2">
      <c r="A31" s="79">
        <v>44227</v>
      </c>
      <c r="B31" s="80">
        <f ca="1">IF($A31&gt;$A$1, 0, IFERROR(IF(B$6="Balance", INDEX(INDIRECT("'"&amp;B$1&amp;"'!"&amp;B$5&amp;":"&amp;B$5), MATCH($A31,INDIRECT("'"&amp;B$1&amp;"'!A:A"),1)), IF(B$6="Update", SUMIFS(INDIRECT("'"&amp;B$1&amp;"'!"&amp;B$5&amp;":"&amp;B$5), INDIRECT("'"&amp;B$1&amp;"'!A:A"),$A31), "")) / INDEX(Inputs!$G$3:$Z$500, MATCH($A31,Inputs!$F$3:$F$500,0), MATCH(B$2,Inputs!$G$2:$Y$2,0)), 0))</f>
        <v>0</v>
      </c>
    </row>
    <row r="32" spans="1:2" x14ac:dyDescent="0.2">
      <c r="A32" s="79">
        <v>44255</v>
      </c>
      <c r="B32" s="80">
        <f ca="1">IF($A32&gt;$A$1, 0, IFERROR(IF(B$6="Balance", INDEX(INDIRECT("'"&amp;B$1&amp;"'!"&amp;B$5&amp;":"&amp;B$5), MATCH($A32,INDIRECT("'"&amp;B$1&amp;"'!A:A"),1)), IF(B$6="Update", SUMIFS(INDIRECT("'"&amp;B$1&amp;"'!"&amp;B$5&amp;":"&amp;B$5), INDIRECT("'"&amp;B$1&amp;"'!A:A"),$A32), "")) / INDEX(Inputs!$G$3:$Z$500, MATCH($A32,Inputs!$F$3:$F$500,0), MATCH(B$2,Inputs!$G$2:$Y$2,0)), 0))</f>
        <v>0</v>
      </c>
    </row>
    <row r="33" spans="1:2" x14ac:dyDescent="0.2">
      <c r="A33" s="79">
        <v>44286</v>
      </c>
      <c r="B33" s="80">
        <f ca="1">IF($A33&gt;$A$1, 0, IFERROR(IF(B$6="Balance", INDEX(INDIRECT("'"&amp;B$1&amp;"'!"&amp;B$5&amp;":"&amp;B$5), MATCH($A33,INDIRECT("'"&amp;B$1&amp;"'!A:A"),1)), IF(B$6="Update", SUMIFS(INDIRECT("'"&amp;B$1&amp;"'!"&amp;B$5&amp;":"&amp;B$5), INDIRECT("'"&amp;B$1&amp;"'!A:A"),$A33), "")) / INDEX(Inputs!$G$3:$Z$500, MATCH($A33,Inputs!$F$3:$F$500,0), MATCH(B$2,Inputs!$G$2:$Y$2,0)), 0))</f>
        <v>0</v>
      </c>
    </row>
    <row r="34" spans="1:2" x14ac:dyDescent="0.2">
      <c r="A34" s="79">
        <v>44316</v>
      </c>
      <c r="B34" s="80">
        <f ca="1">IF($A34&gt;$A$1, 0, IFERROR(IF(B$6="Balance", INDEX(INDIRECT("'"&amp;B$1&amp;"'!"&amp;B$5&amp;":"&amp;B$5), MATCH($A34,INDIRECT("'"&amp;B$1&amp;"'!A:A"),1)), IF(B$6="Update", SUMIFS(INDIRECT("'"&amp;B$1&amp;"'!"&amp;B$5&amp;":"&amp;B$5), INDIRECT("'"&amp;B$1&amp;"'!A:A"),$A34), "")) / INDEX(Inputs!$G$3:$Z$500, MATCH($A34,Inputs!$F$3:$F$500,0), MATCH(B$2,Inputs!$G$2:$Y$2,0)), 0))</f>
        <v>0</v>
      </c>
    </row>
    <row r="35" spans="1:2" x14ac:dyDescent="0.2">
      <c r="A35" s="79">
        <v>44347</v>
      </c>
      <c r="B35" s="80">
        <f ca="1">IF($A35&gt;$A$1, 0, IFERROR(IF(B$6="Balance", INDEX(INDIRECT("'"&amp;B$1&amp;"'!"&amp;B$5&amp;":"&amp;B$5), MATCH($A35,INDIRECT("'"&amp;B$1&amp;"'!A:A"),1)), IF(B$6="Update", SUMIFS(INDIRECT("'"&amp;B$1&amp;"'!"&amp;B$5&amp;":"&amp;B$5), INDIRECT("'"&amp;B$1&amp;"'!A:A"),$A35), "")) / INDEX(Inputs!$G$3:$Z$500, MATCH($A35,Inputs!$F$3:$F$500,0), MATCH(B$2,Inputs!$G$2:$Y$2,0)), 0))</f>
        <v>0</v>
      </c>
    </row>
    <row r="36" spans="1:2" x14ac:dyDescent="0.2">
      <c r="A36" s="79">
        <v>44377</v>
      </c>
      <c r="B36" s="80">
        <f ca="1">IF($A36&gt;$A$1, 0, IFERROR(IF(B$6="Balance", INDEX(INDIRECT("'"&amp;B$1&amp;"'!"&amp;B$5&amp;":"&amp;B$5), MATCH($A36,INDIRECT("'"&amp;B$1&amp;"'!A:A"),1)), IF(B$6="Update", SUMIFS(INDIRECT("'"&amp;B$1&amp;"'!"&amp;B$5&amp;":"&amp;B$5), INDIRECT("'"&amp;B$1&amp;"'!A:A"),$A36), "")) / INDEX(Inputs!$G$3:$Z$500, MATCH($A36,Inputs!$F$3:$F$500,0), MATCH(B$2,Inputs!$G$2:$Y$2,0)), 0))</f>
        <v>172500</v>
      </c>
    </row>
    <row r="37" spans="1:2" x14ac:dyDescent="0.2">
      <c r="A37" s="79">
        <v>44408</v>
      </c>
      <c r="B37" s="80">
        <f ca="1">IF($A37&gt;$A$1, 0, IFERROR(IF(B$6="Balance", INDEX(INDIRECT("'"&amp;B$1&amp;"'!"&amp;B$5&amp;":"&amp;B$5), MATCH($A37,INDIRECT("'"&amp;B$1&amp;"'!A:A"),1)), IF(B$6="Update", SUMIFS(INDIRECT("'"&amp;B$1&amp;"'!"&amp;B$5&amp;":"&amp;B$5), INDIRECT("'"&amp;B$1&amp;"'!A:A"),$A37), "")) / INDEX(Inputs!$G$3:$Z$500, MATCH($A37,Inputs!$F$3:$F$500,0), MATCH(B$2,Inputs!$G$2:$Y$2,0)), 0))</f>
        <v>3450000</v>
      </c>
    </row>
    <row r="38" spans="1:2" x14ac:dyDescent="0.2">
      <c r="A38" s="79">
        <v>44439</v>
      </c>
      <c r="B38" s="80">
        <f ca="1">IF($A38&gt;$A$1, 0, IFERROR(IF(B$6="Balance", INDEX(INDIRECT("'"&amp;B$1&amp;"'!"&amp;B$5&amp;":"&amp;B$5), MATCH($A38,INDIRECT("'"&amp;B$1&amp;"'!A:A"),1)), IF(B$6="Update", SUMIFS(INDIRECT("'"&amp;B$1&amp;"'!"&amp;B$5&amp;":"&amp;B$5), INDIRECT("'"&amp;B$1&amp;"'!A:A"),$A38), "")) / INDEX(Inputs!$G$3:$Z$500, MATCH($A38,Inputs!$F$3:$F$500,0), MATCH(B$2,Inputs!$G$2:$Y$2,0)), 0))</f>
        <v>3450000</v>
      </c>
    </row>
    <row r="39" spans="1:2" x14ac:dyDescent="0.2">
      <c r="A39" s="79">
        <v>44469</v>
      </c>
      <c r="B39" s="80">
        <f ca="1">IF($A39&gt;$A$1, 0, IFERROR(IF(B$6="Balance", INDEX(INDIRECT("'"&amp;B$1&amp;"'!"&amp;B$5&amp;":"&amp;B$5), MATCH($A39,INDIRECT("'"&amp;B$1&amp;"'!A:A"),1)), IF(B$6="Update", SUMIFS(INDIRECT("'"&amp;B$1&amp;"'!"&amp;B$5&amp;":"&amp;B$5), INDIRECT("'"&amp;B$1&amp;"'!A:A"),$A39), "")) / INDEX(Inputs!$G$3:$Z$500, MATCH($A39,Inputs!$F$3:$F$500,0), MATCH(B$2,Inputs!$G$2:$Y$2,0)), 0))</f>
        <v>3450000</v>
      </c>
    </row>
    <row r="40" spans="1:2" x14ac:dyDescent="0.2">
      <c r="A40" s="79">
        <v>44500</v>
      </c>
      <c r="B40" s="80">
        <f ca="1">IF($A40&gt;$A$1, 0, IFERROR(IF(B$6="Balance", INDEX(INDIRECT("'"&amp;B$1&amp;"'!"&amp;B$5&amp;":"&amp;B$5), MATCH($A40,INDIRECT("'"&amp;B$1&amp;"'!A:A"),1)), IF(B$6="Update", SUMIFS(INDIRECT("'"&amp;B$1&amp;"'!"&amp;B$5&amp;":"&amp;B$5), INDIRECT("'"&amp;B$1&amp;"'!A:A"),$A40), "")) / INDEX(Inputs!$G$3:$Z$500, MATCH($A40,Inputs!$F$3:$F$500,0), MATCH(B$2,Inputs!$G$2:$Y$2,0)), 0))</f>
        <v>3450000</v>
      </c>
    </row>
    <row r="41" spans="1:2" x14ac:dyDescent="0.2">
      <c r="A41" s="79">
        <v>44530</v>
      </c>
      <c r="B41" s="80">
        <f ca="1">IF($A41&gt;$A$1, 0, IFERROR(IF(B$6="Balance", INDEX(INDIRECT("'"&amp;B$1&amp;"'!"&amp;B$5&amp;":"&amp;B$5), MATCH($A41,INDIRECT("'"&amp;B$1&amp;"'!A:A"),1)), IF(B$6="Update", SUMIFS(INDIRECT("'"&amp;B$1&amp;"'!"&amp;B$5&amp;":"&amp;B$5), INDIRECT("'"&amp;B$1&amp;"'!A:A"),$A41), "")) / INDEX(Inputs!$G$3:$Z$500, MATCH($A41,Inputs!$F$3:$F$500,0), MATCH(B$2,Inputs!$G$2:$Y$2,0)), 0))</f>
        <v>3450000</v>
      </c>
    </row>
    <row r="42" spans="1:2" x14ac:dyDescent="0.2">
      <c r="A42" s="79">
        <v>44561</v>
      </c>
      <c r="B42" s="80">
        <f ca="1">IF($A42&gt;$A$1, 0, IFERROR(IF(B$6="Balance", INDEX(INDIRECT("'"&amp;B$1&amp;"'!"&amp;B$5&amp;":"&amp;B$5), MATCH($A42,INDIRECT("'"&amp;B$1&amp;"'!A:A"),1)), IF(B$6="Update", SUMIFS(INDIRECT("'"&amp;B$1&amp;"'!"&amp;B$5&amp;":"&amp;B$5), INDIRECT("'"&amp;B$1&amp;"'!A:A"),$A42), "")) / INDEX(Inputs!$G$3:$Z$500, MATCH($A42,Inputs!$F$3:$F$500,0), MATCH(B$2,Inputs!$G$2:$Y$2,0)), 0))</f>
        <v>3450000</v>
      </c>
    </row>
    <row r="43" spans="1:2" x14ac:dyDescent="0.2">
      <c r="A43" s="79">
        <v>44592</v>
      </c>
      <c r="B43" s="80">
        <f ca="1">IF($A43&gt;$A$1, 0, IFERROR(IF(B$6="Balance", INDEX(INDIRECT("'"&amp;B$1&amp;"'!"&amp;B$5&amp;":"&amp;B$5), MATCH($A43,INDIRECT("'"&amp;B$1&amp;"'!A:A"),1)), IF(B$6="Update", SUMIFS(INDIRECT("'"&amp;B$1&amp;"'!"&amp;B$5&amp;":"&amp;B$5), INDIRECT("'"&amp;B$1&amp;"'!A:A"),$A43), "")) / INDEX(Inputs!$G$3:$Z$500, MATCH($A43,Inputs!$F$3:$F$500,0), MATCH(B$2,Inputs!$G$2:$Y$2,0)), 0))</f>
        <v>3450000</v>
      </c>
    </row>
    <row r="44" spans="1:2" x14ac:dyDescent="0.2">
      <c r="A44" s="79">
        <v>44620</v>
      </c>
      <c r="B44" s="80">
        <f ca="1">IF($A44&gt;$A$1, 0, IFERROR(IF(B$6="Balance", INDEX(INDIRECT("'"&amp;B$1&amp;"'!"&amp;B$5&amp;":"&amp;B$5), MATCH($A44,INDIRECT("'"&amp;B$1&amp;"'!A:A"),1)), IF(B$6="Update", SUMIFS(INDIRECT("'"&amp;B$1&amp;"'!"&amp;B$5&amp;":"&amp;B$5), INDIRECT("'"&amp;B$1&amp;"'!A:A"),$A44), "")) / INDEX(Inputs!$G$3:$Z$500, MATCH($A44,Inputs!$F$3:$F$500,0), MATCH(B$2,Inputs!$G$2:$Y$2,0)), 0))</f>
        <v>3450000</v>
      </c>
    </row>
    <row r="45" spans="1:2" x14ac:dyDescent="0.2">
      <c r="A45" s="79">
        <v>44651</v>
      </c>
      <c r="B45" s="80">
        <f ca="1">IF($A45&gt;$A$1, 0, IFERROR(IF(B$6="Balance", INDEX(INDIRECT("'"&amp;B$1&amp;"'!"&amp;B$5&amp;":"&amp;B$5), MATCH($A45,INDIRECT("'"&amp;B$1&amp;"'!A:A"),1)), IF(B$6="Update", SUMIFS(INDIRECT("'"&amp;B$1&amp;"'!"&amp;B$5&amp;":"&amp;B$5), INDIRECT("'"&amp;B$1&amp;"'!A:A"),$A45), "")) / INDEX(Inputs!$G$3:$Z$500, MATCH($A45,Inputs!$F$3:$F$500,0), MATCH(B$2,Inputs!$G$2:$Y$2,0)), 0))</f>
        <v>3450000</v>
      </c>
    </row>
    <row r="46" spans="1:2" x14ac:dyDescent="0.2">
      <c r="A46" s="79">
        <v>44681</v>
      </c>
      <c r="B46" s="80">
        <f ca="1">IF($A46&gt;$A$1, 0, IFERROR(IF(B$6="Balance", INDEX(INDIRECT("'"&amp;B$1&amp;"'!"&amp;B$5&amp;":"&amp;B$5), MATCH($A46,INDIRECT("'"&amp;B$1&amp;"'!A:A"),1)), IF(B$6="Update", SUMIFS(INDIRECT("'"&amp;B$1&amp;"'!"&amp;B$5&amp;":"&amp;B$5), INDIRECT("'"&amp;B$1&amp;"'!A:A"),$A46), "")) / INDEX(Inputs!$G$3:$Z$500, MATCH($A46,Inputs!$F$3:$F$500,0), MATCH(B$2,Inputs!$G$2:$Y$2,0)), 0))</f>
        <v>3450000</v>
      </c>
    </row>
    <row r="47" spans="1:2" x14ac:dyDescent="0.2">
      <c r="A47" s="79">
        <v>44712</v>
      </c>
      <c r="B47" s="80">
        <f ca="1">IF($A47&gt;$A$1, 0, IFERROR(IF(B$6="Balance", INDEX(INDIRECT("'"&amp;B$1&amp;"'!"&amp;B$5&amp;":"&amp;B$5), MATCH($A47,INDIRECT("'"&amp;B$1&amp;"'!A:A"),1)), IF(B$6="Update", SUMIFS(INDIRECT("'"&amp;B$1&amp;"'!"&amp;B$5&amp;":"&amp;B$5), INDIRECT("'"&amp;B$1&amp;"'!A:A"),$A47), "")) / INDEX(Inputs!$G$3:$Z$500, MATCH($A47,Inputs!$F$3:$F$500,0), MATCH(B$2,Inputs!$G$2:$Y$2,0)), 0))</f>
        <v>3450000</v>
      </c>
    </row>
    <row r="48" spans="1:2" x14ac:dyDescent="0.2">
      <c r="A48" s="79">
        <v>44742</v>
      </c>
      <c r="B48" s="80">
        <f ca="1">IF($A48&gt;$A$1, 0, IFERROR(IF(B$6="Balance", INDEX(INDIRECT("'"&amp;B$1&amp;"'!"&amp;B$5&amp;":"&amp;B$5), MATCH($A48,INDIRECT("'"&amp;B$1&amp;"'!A:A"),1)), IF(B$6="Update", SUMIFS(INDIRECT("'"&amp;B$1&amp;"'!"&amp;B$5&amp;":"&amp;B$5), INDIRECT("'"&amp;B$1&amp;"'!A:A"),$A48), "")) / INDEX(Inputs!$G$3:$Z$500, MATCH($A48,Inputs!$F$3:$F$500,0), MATCH(B$2,Inputs!$G$2:$Y$2,0)), 0))</f>
        <v>3450000</v>
      </c>
    </row>
    <row r="49" spans="1:2" x14ac:dyDescent="0.2">
      <c r="A49" s="79">
        <v>44773</v>
      </c>
      <c r="B49" s="80">
        <f ca="1">IF($A49&gt;$A$1, 0, IFERROR(IF(B$6="Balance", INDEX(INDIRECT("'"&amp;B$1&amp;"'!"&amp;B$5&amp;":"&amp;B$5), MATCH($A49,INDIRECT("'"&amp;B$1&amp;"'!A:A"),1)), IF(B$6="Update", SUMIFS(INDIRECT("'"&amp;B$1&amp;"'!"&amp;B$5&amp;":"&amp;B$5), INDIRECT("'"&amp;B$1&amp;"'!A:A"),$A49), "")) / INDEX(Inputs!$G$3:$Z$500, MATCH($A49,Inputs!$F$3:$F$500,0), MATCH(B$2,Inputs!$G$2:$Y$2,0)), 0))</f>
        <v>3450000</v>
      </c>
    </row>
    <row r="50" spans="1:2" x14ac:dyDescent="0.2">
      <c r="A50" s="79">
        <v>44804</v>
      </c>
      <c r="B50" s="80">
        <f ca="1">IF($A50&gt;$A$1, 0, IFERROR(IF(B$6="Balance", INDEX(INDIRECT("'"&amp;B$1&amp;"'!"&amp;B$5&amp;":"&amp;B$5), MATCH($A50,INDIRECT("'"&amp;B$1&amp;"'!A:A"),1)), IF(B$6="Update", SUMIFS(INDIRECT("'"&amp;B$1&amp;"'!"&amp;B$5&amp;":"&amp;B$5), INDIRECT("'"&amp;B$1&amp;"'!A:A"),$A50), "")) / INDEX(Inputs!$G$3:$Z$500, MATCH($A50,Inputs!$F$3:$F$500,0), MATCH(B$2,Inputs!$G$2:$Y$2,0)), 0))</f>
        <v>3450000</v>
      </c>
    </row>
    <row r="51" spans="1:2" x14ac:dyDescent="0.2">
      <c r="A51" s="79">
        <v>44834</v>
      </c>
      <c r="B51" s="80">
        <f ca="1">IF($A51&gt;$A$1, 0, IFERROR(IF(B$6="Balance", INDEX(INDIRECT("'"&amp;B$1&amp;"'!"&amp;B$5&amp;":"&amp;B$5), MATCH($A51,INDIRECT("'"&amp;B$1&amp;"'!A:A"),1)), IF(B$6="Update", SUMIFS(INDIRECT("'"&amp;B$1&amp;"'!"&amp;B$5&amp;":"&amp;B$5), INDIRECT("'"&amp;B$1&amp;"'!A:A"),$A51), "")) / INDEX(Inputs!$G$3:$Z$500, MATCH($A51,Inputs!$F$3:$F$500,0), MATCH(B$2,Inputs!$G$2:$Y$2,0)), 0))</f>
        <v>3450000</v>
      </c>
    </row>
    <row r="52" spans="1:2" x14ac:dyDescent="0.2">
      <c r="A52" s="79">
        <v>44865</v>
      </c>
      <c r="B52" s="80">
        <f ca="1">IF($A52&gt;$A$1, 0, IFERROR(IF(B$6="Balance", INDEX(INDIRECT("'"&amp;B$1&amp;"'!"&amp;B$5&amp;":"&amp;B$5), MATCH($A52,INDIRECT("'"&amp;B$1&amp;"'!A:A"),1)), IF(B$6="Update", SUMIFS(INDIRECT("'"&amp;B$1&amp;"'!"&amp;B$5&amp;":"&amp;B$5), INDIRECT("'"&amp;B$1&amp;"'!A:A"),$A52), "")) / INDEX(Inputs!$G$3:$Z$500, MATCH($A52,Inputs!$F$3:$F$500,0), MATCH(B$2,Inputs!$G$2:$Y$2,0)), 0))</f>
        <v>3450000</v>
      </c>
    </row>
    <row r="53" spans="1:2" x14ac:dyDescent="0.2">
      <c r="A53" s="79">
        <v>44895</v>
      </c>
      <c r="B53" s="80">
        <f ca="1">IF($A53&gt;$A$1, 0, IFERROR(IF(B$6="Balance", INDEX(INDIRECT("'"&amp;B$1&amp;"'!"&amp;B$5&amp;":"&amp;B$5), MATCH($A53,INDIRECT("'"&amp;B$1&amp;"'!A:A"),1)), IF(B$6="Update", SUMIFS(INDIRECT("'"&amp;B$1&amp;"'!"&amp;B$5&amp;":"&amp;B$5), INDIRECT("'"&amp;B$1&amp;"'!A:A"),$A53), "")) / INDEX(Inputs!$G$3:$Z$500, MATCH($A53,Inputs!$F$3:$F$500,0), MATCH(B$2,Inputs!$G$2:$Y$2,0)), 0))</f>
        <v>3450000</v>
      </c>
    </row>
    <row r="54" spans="1:2" x14ac:dyDescent="0.2">
      <c r="A54" s="79">
        <v>44926</v>
      </c>
      <c r="B54" s="80">
        <f ca="1">IF($A54&gt;$A$1, 0, IFERROR(IF(B$6="Balance", INDEX(INDIRECT("'"&amp;B$1&amp;"'!"&amp;B$5&amp;":"&amp;B$5), MATCH($A54,INDIRECT("'"&amp;B$1&amp;"'!A:A"),1)), IF(B$6="Update", SUMIFS(INDIRECT("'"&amp;B$1&amp;"'!"&amp;B$5&amp;":"&amp;B$5), INDIRECT("'"&amp;B$1&amp;"'!A:A"),$A54), "")) / INDEX(Inputs!$G$3:$Z$500, MATCH($A54,Inputs!$F$3:$F$500,0), MATCH(B$2,Inputs!$G$2:$Y$2,0)), 0))</f>
        <v>3450000</v>
      </c>
    </row>
    <row r="55" spans="1:2" x14ac:dyDescent="0.2">
      <c r="A55" s="79">
        <v>44957</v>
      </c>
      <c r="B55" s="80">
        <f ca="1">IF($A55&gt;$A$1, 0, IFERROR(IF(B$6="Balance", INDEX(INDIRECT("'"&amp;B$1&amp;"'!"&amp;B$5&amp;":"&amp;B$5), MATCH($A55,INDIRECT("'"&amp;B$1&amp;"'!A:A"),1)), IF(B$6="Update", SUMIFS(INDIRECT("'"&amp;B$1&amp;"'!"&amp;B$5&amp;":"&amp;B$5), INDIRECT("'"&amp;B$1&amp;"'!A:A"),$A55), "")) / INDEX(Inputs!$G$3:$Z$500, MATCH($A55,Inputs!$F$3:$F$500,0), MATCH(B$2,Inputs!$G$2:$Y$2,0)), 0))</f>
        <v>3450000</v>
      </c>
    </row>
    <row r="56" spans="1:2" x14ac:dyDescent="0.2">
      <c r="A56" s="79">
        <v>44985</v>
      </c>
      <c r="B56" s="80">
        <f ca="1">IF($A56&gt;$A$1, 0, IFERROR(IF(B$6="Balance", INDEX(INDIRECT("'"&amp;B$1&amp;"'!"&amp;B$5&amp;":"&amp;B$5), MATCH($A56,INDIRECT("'"&amp;B$1&amp;"'!A:A"),1)), IF(B$6="Update", SUMIFS(INDIRECT("'"&amp;B$1&amp;"'!"&amp;B$5&amp;":"&amp;B$5), INDIRECT("'"&amp;B$1&amp;"'!A:A"),$A56), "")) / INDEX(Inputs!$G$3:$Z$500, MATCH($A56,Inputs!$F$3:$F$500,0), MATCH(B$2,Inputs!$G$2:$Y$2,0)), 0))</f>
        <v>3450000</v>
      </c>
    </row>
    <row r="57" spans="1:2" x14ac:dyDescent="0.2">
      <c r="A57" s="79">
        <v>45016</v>
      </c>
      <c r="B57" s="80">
        <f ca="1">IF($A57&gt;$A$1, 0, IFERROR(IF(B$6="Balance", INDEX(INDIRECT("'"&amp;B$1&amp;"'!"&amp;B$5&amp;":"&amp;B$5), MATCH($A57,INDIRECT("'"&amp;B$1&amp;"'!A:A"),1)), IF(B$6="Update", SUMIFS(INDIRECT("'"&amp;B$1&amp;"'!"&amp;B$5&amp;":"&amp;B$5), INDIRECT("'"&amp;B$1&amp;"'!A:A"),$A57), "")) / INDEX(Inputs!$G$3:$Z$500, MATCH($A57,Inputs!$F$3:$F$500,0), MATCH(B$2,Inputs!$G$2:$Y$2,0)), 0))</f>
        <v>3450000</v>
      </c>
    </row>
    <row r="58" spans="1:2" x14ac:dyDescent="0.2">
      <c r="A58" s="79">
        <v>45046</v>
      </c>
      <c r="B58" s="80">
        <f ca="1">IF($A58&gt;$A$1, 0, IFERROR(IF(B$6="Balance", INDEX(INDIRECT("'"&amp;B$1&amp;"'!"&amp;B$5&amp;":"&amp;B$5), MATCH($A58,INDIRECT("'"&amp;B$1&amp;"'!A:A"),1)), IF(B$6="Update", SUMIFS(INDIRECT("'"&amp;B$1&amp;"'!"&amp;B$5&amp;":"&amp;B$5), INDIRECT("'"&amp;B$1&amp;"'!A:A"),$A58), "")) / INDEX(Inputs!$G$3:$Z$500, MATCH($A58,Inputs!$F$3:$F$500,0), MATCH(B$2,Inputs!$G$2:$Y$2,0)), 0))</f>
        <v>3450000</v>
      </c>
    </row>
    <row r="59" spans="1:2" x14ac:dyDescent="0.2">
      <c r="A59" s="79">
        <v>45077</v>
      </c>
      <c r="B59" s="80">
        <f ca="1">IF($A59&gt;$A$1, 0, IFERROR(IF(B$6="Balance", INDEX(INDIRECT("'"&amp;B$1&amp;"'!"&amp;B$5&amp;":"&amp;B$5), MATCH($A59,INDIRECT("'"&amp;B$1&amp;"'!A:A"),1)), IF(B$6="Update", SUMIFS(INDIRECT("'"&amp;B$1&amp;"'!"&amp;B$5&amp;":"&amp;B$5), INDIRECT("'"&amp;B$1&amp;"'!A:A"),$A59), "")) / INDEX(Inputs!$G$3:$Z$500, MATCH($A59,Inputs!$F$3:$F$500,0), MATCH(B$2,Inputs!$G$2:$Y$2,0)), 0))</f>
        <v>3450000</v>
      </c>
    </row>
    <row r="60" spans="1:2" x14ac:dyDescent="0.2">
      <c r="A60" s="79">
        <v>45107</v>
      </c>
      <c r="B60" s="80">
        <f ca="1">IF($A60&gt;$A$1, 0, IFERROR(IF(B$6="Balance", INDEX(INDIRECT("'"&amp;B$1&amp;"'!"&amp;B$5&amp;":"&amp;B$5), MATCH($A60,INDIRECT("'"&amp;B$1&amp;"'!A:A"),1)), IF(B$6="Update", SUMIFS(INDIRECT("'"&amp;B$1&amp;"'!"&amp;B$5&amp;":"&amp;B$5), INDIRECT("'"&amp;B$1&amp;"'!A:A"),$A60), "")) / INDEX(Inputs!$G$3:$Z$500, MATCH($A60,Inputs!$F$3:$F$500,0), MATCH(B$2,Inputs!$G$2:$Y$2,0)), 0))</f>
        <v>3450000</v>
      </c>
    </row>
    <row r="61" spans="1:2" x14ac:dyDescent="0.2">
      <c r="A61" s="79">
        <v>45138</v>
      </c>
      <c r="B61" s="80">
        <f ca="1">IF($A61&gt;$A$1, 0, IFERROR(IF(B$6="Balance", INDEX(INDIRECT("'"&amp;B$1&amp;"'!"&amp;B$5&amp;":"&amp;B$5), MATCH($A61,INDIRECT("'"&amp;B$1&amp;"'!A:A"),1)), IF(B$6="Update", SUMIFS(INDIRECT("'"&amp;B$1&amp;"'!"&amp;B$5&amp;":"&amp;B$5), INDIRECT("'"&amp;B$1&amp;"'!A:A"),$A61), "")) / INDEX(Inputs!$G$3:$Z$500, MATCH($A61,Inputs!$F$3:$F$500,0), MATCH(B$2,Inputs!$G$2:$Y$2,0)), 0))</f>
        <v>3450000</v>
      </c>
    </row>
    <row r="62" spans="1:2" x14ac:dyDescent="0.2">
      <c r="A62" s="79">
        <v>45169</v>
      </c>
      <c r="B62" s="80">
        <f ca="1">IF($A62&gt;$A$1, 0, IFERROR(IF(B$6="Balance", INDEX(INDIRECT("'"&amp;B$1&amp;"'!"&amp;B$5&amp;":"&amp;B$5), MATCH($A62,INDIRECT("'"&amp;B$1&amp;"'!A:A"),1)), IF(B$6="Update", SUMIFS(INDIRECT("'"&amp;B$1&amp;"'!"&amp;B$5&amp;":"&amp;B$5), INDIRECT("'"&amp;B$1&amp;"'!A:A"),$A62), "")) / INDEX(Inputs!$G$3:$Z$500, MATCH($A62,Inputs!$F$3:$F$500,0), MATCH(B$2,Inputs!$G$2:$Y$2,0)), 0))</f>
        <v>3450000</v>
      </c>
    </row>
    <row r="63" spans="1:2" x14ac:dyDescent="0.2">
      <c r="A63" s="79">
        <v>45199</v>
      </c>
      <c r="B63" s="80">
        <f ca="1">IF($A63&gt;$A$1, 0, IFERROR(IF(B$6="Balance", INDEX(INDIRECT("'"&amp;B$1&amp;"'!"&amp;B$5&amp;":"&amp;B$5), MATCH($A63,INDIRECT("'"&amp;B$1&amp;"'!A:A"),1)), IF(B$6="Update", SUMIFS(INDIRECT("'"&amp;B$1&amp;"'!"&amp;B$5&amp;":"&amp;B$5), INDIRECT("'"&amp;B$1&amp;"'!A:A"),$A63), "")) / INDEX(Inputs!$G$3:$Z$500, MATCH($A63,Inputs!$F$3:$F$500,0), MATCH(B$2,Inputs!$G$2:$Y$2,0)), 0))</f>
        <v>3450000</v>
      </c>
    </row>
    <row r="64" spans="1:2" x14ac:dyDescent="0.2">
      <c r="A64" s="79">
        <v>45230</v>
      </c>
      <c r="B64" s="80">
        <f ca="1">IF($A64&gt;$A$1, 0, IFERROR(IF(B$6="Balance", INDEX(INDIRECT("'"&amp;B$1&amp;"'!"&amp;B$5&amp;":"&amp;B$5), MATCH($A64,INDIRECT("'"&amp;B$1&amp;"'!A:A"),1)), IF(B$6="Update", SUMIFS(INDIRECT("'"&amp;B$1&amp;"'!"&amp;B$5&amp;":"&amp;B$5), INDIRECT("'"&amp;B$1&amp;"'!A:A"),$A64), "")) / INDEX(Inputs!$G$3:$Z$500, MATCH($A64,Inputs!$F$3:$F$500,0), MATCH(B$2,Inputs!$G$2:$Y$2,0)), 0))</f>
        <v>3450000</v>
      </c>
    </row>
    <row r="65" spans="1:2" x14ac:dyDescent="0.2">
      <c r="A65" s="79">
        <v>45260</v>
      </c>
      <c r="B65" s="80">
        <f ca="1">IF($A65&gt;$A$1, 0, IFERROR(IF(B$6="Balance", INDEX(INDIRECT("'"&amp;B$1&amp;"'!"&amp;B$5&amp;":"&amp;B$5), MATCH($A65,INDIRECT("'"&amp;B$1&amp;"'!A:A"),1)), IF(B$6="Update", SUMIFS(INDIRECT("'"&amp;B$1&amp;"'!"&amp;B$5&amp;":"&amp;B$5), INDIRECT("'"&amp;B$1&amp;"'!A:A"),$A65), "")) / INDEX(Inputs!$G$3:$Z$500, MATCH($A65,Inputs!$F$3:$F$500,0), MATCH(B$2,Inputs!$G$2:$Y$2,0)), 0))</f>
        <v>3450000</v>
      </c>
    </row>
    <row r="66" spans="1:2" x14ac:dyDescent="0.2">
      <c r="A66" s="79">
        <v>45291</v>
      </c>
      <c r="B66" s="80">
        <f ca="1">IF($A66&gt;$A$1, 0, IFERROR(IF(B$6="Balance", INDEX(INDIRECT("'"&amp;B$1&amp;"'!"&amp;B$5&amp;":"&amp;B$5), MATCH($A66,INDIRECT("'"&amp;B$1&amp;"'!A:A"),1)), IF(B$6="Update", SUMIFS(INDIRECT("'"&amp;B$1&amp;"'!"&amp;B$5&amp;":"&amp;B$5), INDIRECT("'"&amp;B$1&amp;"'!A:A"),$A66), "")) / INDEX(Inputs!$G$3:$Z$500, MATCH($A66,Inputs!$F$3:$F$500,0), MATCH(B$2,Inputs!$G$2:$Y$2,0)), 0))</f>
        <v>3450000</v>
      </c>
    </row>
    <row r="67" spans="1:2" x14ac:dyDescent="0.2">
      <c r="A67" s="79">
        <v>45322</v>
      </c>
      <c r="B67" s="80">
        <f ca="1">IF($A67&gt;$A$1, 0, IFERROR(IF(B$6="Balance", INDEX(INDIRECT("'"&amp;B$1&amp;"'!"&amp;B$5&amp;":"&amp;B$5), MATCH($A67,INDIRECT("'"&amp;B$1&amp;"'!A:A"),1)), IF(B$6="Update", SUMIFS(INDIRECT("'"&amp;B$1&amp;"'!"&amp;B$5&amp;":"&amp;B$5), INDIRECT("'"&amp;B$1&amp;"'!A:A"),$A67), "")) / INDEX(Inputs!$G$3:$Z$500, MATCH($A67,Inputs!$F$3:$F$500,0), MATCH(B$2,Inputs!$G$2:$Y$2,0)), 0))</f>
        <v>3450000</v>
      </c>
    </row>
    <row r="68" spans="1:2" x14ac:dyDescent="0.2">
      <c r="A68" s="79">
        <v>45351</v>
      </c>
      <c r="B68" s="80">
        <f ca="1">IF($A68&gt;$A$1, 0, IFERROR(IF(B$6="Balance", INDEX(INDIRECT("'"&amp;B$1&amp;"'!"&amp;B$5&amp;":"&amp;B$5), MATCH($A68,INDIRECT("'"&amp;B$1&amp;"'!A:A"),1)), IF(B$6="Update", SUMIFS(INDIRECT("'"&amp;B$1&amp;"'!"&amp;B$5&amp;":"&amp;B$5), INDIRECT("'"&amp;B$1&amp;"'!A:A"),$A68), "")) / INDEX(Inputs!$G$3:$Z$500, MATCH($A68,Inputs!$F$3:$F$500,0), MATCH(B$2,Inputs!$G$2:$Y$2,0)), 0))</f>
        <v>3450000</v>
      </c>
    </row>
    <row r="69" spans="1:2" x14ac:dyDescent="0.2">
      <c r="A69" s="79">
        <v>45382</v>
      </c>
      <c r="B69" s="80">
        <f ca="1">IF($A69&gt;$A$1, 0, IFERROR(IF(B$6="Balance", INDEX(INDIRECT("'"&amp;B$1&amp;"'!"&amp;B$5&amp;":"&amp;B$5), MATCH($A69,INDIRECT("'"&amp;B$1&amp;"'!A:A"),1)), IF(B$6="Update", SUMIFS(INDIRECT("'"&amp;B$1&amp;"'!"&amp;B$5&amp;":"&amp;B$5), INDIRECT("'"&amp;B$1&amp;"'!A:A"),$A69), "")) / INDEX(Inputs!$G$3:$Z$500, MATCH($A69,Inputs!$F$3:$F$500,0), MATCH(B$2,Inputs!$G$2:$Y$2,0)), 0))</f>
        <v>3450000</v>
      </c>
    </row>
    <row r="70" spans="1:2" x14ac:dyDescent="0.2">
      <c r="A70" s="79">
        <v>45412</v>
      </c>
      <c r="B70" s="80">
        <f ca="1">IF($A70&gt;$A$1, 0, IFERROR(IF(B$6="Balance", INDEX(INDIRECT("'"&amp;B$1&amp;"'!"&amp;B$5&amp;":"&amp;B$5), MATCH($A70,INDIRECT("'"&amp;B$1&amp;"'!A:A"),1)), IF(B$6="Update", SUMIFS(INDIRECT("'"&amp;B$1&amp;"'!"&amp;B$5&amp;":"&amp;B$5), INDIRECT("'"&amp;B$1&amp;"'!A:A"),$A70), "")) / INDEX(Inputs!$G$3:$Z$500, MATCH($A70,Inputs!$F$3:$F$500,0), MATCH(B$2,Inputs!$G$2:$Y$2,0)), 0))</f>
        <v>3450000</v>
      </c>
    </row>
    <row r="71" spans="1:2" x14ac:dyDescent="0.2">
      <c r="A71" s="79">
        <v>45443</v>
      </c>
      <c r="B71" s="80">
        <f ca="1">IF($A71&gt;$A$1, 0, IFERROR(IF(B$6="Balance", INDEX(INDIRECT("'"&amp;B$1&amp;"'!"&amp;B$5&amp;":"&amp;B$5), MATCH($A71,INDIRECT("'"&amp;B$1&amp;"'!A:A"),1)), IF(B$6="Update", SUMIFS(INDIRECT("'"&amp;B$1&amp;"'!"&amp;B$5&amp;":"&amp;B$5), INDIRECT("'"&amp;B$1&amp;"'!A:A"),$A71), "")) / INDEX(Inputs!$G$3:$Z$500, MATCH($A71,Inputs!$F$3:$F$500,0), MATCH(B$2,Inputs!$G$2:$Y$2,0)), 0))</f>
        <v>3450000</v>
      </c>
    </row>
    <row r="72" spans="1:2" x14ac:dyDescent="0.2">
      <c r="A72" s="79">
        <v>45473</v>
      </c>
      <c r="B72" s="80">
        <f ca="1">IF($A72&gt;$A$1, 0, IFERROR(IF(B$6="Balance", INDEX(INDIRECT("'"&amp;B$1&amp;"'!"&amp;B$5&amp;":"&amp;B$5), MATCH($A72,INDIRECT("'"&amp;B$1&amp;"'!A:A"),1)), IF(B$6="Update", SUMIFS(INDIRECT("'"&amp;B$1&amp;"'!"&amp;B$5&amp;":"&amp;B$5), INDIRECT("'"&amp;B$1&amp;"'!A:A"),$A72), "")) / INDEX(Inputs!$G$3:$Z$500, MATCH($A72,Inputs!$F$3:$F$500,0), MATCH(B$2,Inputs!$G$2:$Y$2,0)), 0))</f>
        <v>3450000</v>
      </c>
    </row>
    <row r="73" spans="1:2" x14ac:dyDescent="0.2">
      <c r="A73" s="79">
        <v>45504</v>
      </c>
      <c r="B73" s="80">
        <f ca="1">IF($A73&gt;$A$1, 0, IFERROR(IF(B$6="Balance", INDEX(INDIRECT("'"&amp;B$1&amp;"'!"&amp;B$5&amp;":"&amp;B$5), MATCH($A73,INDIRECT("'"&amp;B$1&amp;"'!A:A"),1)), IF(B$6="Update", SUMIFS(INDIRECT("'"&amp;B$1&amp;"'!"&amp;B$5&amp;":"&amp;B$5), INDIRECT("'"&amp;B$1&amp;"'!A:A"),$A73), "")) / INDEX(Inputs!$G$3:$Z$500, MATCH($A73,Inputs!$F$3:$F$500,0), MATCH(B$2,Inputs!$G$2:$Y$2,0)), 0))</f>
        <v>3450000</v>
      </c>
    </row>
    <row r="74" spans="1:2" x14ac:dyDescent="0.2">
      <c r="A74" s="79">
        <v>45535</v>
      </c>
      <c r="B74" s="80">
        <f ca="1">IF($A74&gt;$A$1, 0, IFERROR(IF(B$6="Balance", INDEX(INDIRECT("'"&amp;B$1&amp;"'!"&amp;B$5&amp;":"&amp;B$5), MATCH($A74,INDIRECT("'"&amp;B$1&amp;"'!A:A"),1)), IF(B$6="Update", SUMIFS(INDIRECT("'"&amp;B$1&amp;"'!"&amp;B$5&amp;":"&amp;B$5), INDIRECT("'"&amp;B$1&amp;"'!A:A"),$A74), "")) / INDEX(Inputs!$G$3:$Z$500, MATCH($A74,Inputs!$F$3:$F$500,0), MATCH(B$2,Inputs!$G$2:$Y$2,0)), 0))</f>
        <v>3450000</v>
      </c>
    </row>
    <row r="75" spans="1:2" x14ac:dyDescent="0.2">
      <c r="A75" s="79">
        <v>45565</v>
      </c>
      <c r="B75" s="80">
        <f ca="1">IF($A75&gt;$A$1, 0, IFERROR(IF(B$6="Balance", INDEX(INDIRECT("'"&amp;B$1&amp;"'!"&amp;B$5&amp;":"&amp;B$5), MATCH($A75,INDIRECT("'"&amp;B$1&amp;"'!A:A"),1)), IF(B$6="Update", SUMIFS(INDIRECT("'"&amp;B$1&amp;"'!"&amp;B$5&amp;":"&amp;B$5), INDIRECT("'"&amp;B$1&amp;"'!A:A"),$A75), "")) / INDEX(Inputs!$G$3:$Z$500, MATCH($A75,Inputs!$F$3:$F$500,0), MATCH(B$2,Inputs!$G$2:$Y$2,0)), 0))</f>
        <v>3450000</v>
      </c>
    </row>
    <row r="76" spans="1:2" x14ac:dyDescent="0.2">
      <c r="A76" s="79">
        <v>45596</v>
      </c>
      <c r="B76" s="80">
        <f ca="1">IF($A76&gt;$A$1, 0, IFERROR(IF(B$6="Balance", INDEX(INDIRECT("'"&amp;B$1&amp;"'!"&amp;B$5&amp;":"&amp;B$5), MATCH($A76,INDIRECT("'"&amp;B$1&amp;"'!A:A"),1)), IF(B$6="Update", SUMIFS(INDIRECT("'"&amp;B$1&amp;"'!"&amp;B$5&amp;":"&amp;B$5), INDIRECT("'"&amp;B$1&amp;"'!A:A"),$A76), "")) / INDEX(Inputs!$G$3:$Z$500, MATCH($A76,Inputs!$F$3:$F$500,0), MATCH(B$2,Inputs!$G$2:$Y$2,0)), 0))</f>
        <v>3450000</v>
      </c>
    </row>
    <row r="77" spans="1:2" x14ac:dyDescent="0.2">
      <c r="A77" s="79">
        <v>45626</v>
      </c>
      <c r="B77" s="80">
        <f ca="1">IF($A77&gt;$A$1, 0, IFERROR(IF(B$6="Balance", INDEX(INDIRECT("'"&amp;B$1&amp;"'!"&amp;B$5&amp;":"&amp;B$5), MATCH($A77,INDIRECT("'"&amp;B$1&amp;"'!A:A"),1)), IF(B$6="Update", SUMIFS(INDIRECT("'"&amp;B$1&amp;"'!"&amp;B$5&amp;":"&amp;B$5), INDIRECT("'"&amp;B$1&amp;"'!A:A"),$A77), "")) / INDEX(Inputs!$G$3:$Z$500, MATCH($A77,Inputs!$F$3:$F$500,0), MATCH(B$2,Inputs!$G$2:$Y$2,0)), 0))</f>
        <v>3450000</v>
      </c>
    </row>
    <row r="78" spans="1:2" x14ac:dyDescent="0.2">
      <c r="A78" s="79">
        <v>45657</v>
      </c>
      <c r="B78" s="80">
        <f ca="1">IF($A78&gt;$A$1, 0, IFERROR(IF(B$6="Balance", INDEX(INDIRECT("'"&amp;B$1&amp;"'!"&amp;B$5&amp;":"&amp;B$5), MATCH($A78,INDIRECT("'"&amp;B$1&amp;"'!A:A"),1)), IF(B$6="Update", SUMIFS(INDIRECT("'"&amp;B$1&amp;"'!"&amp;B$5&amp;":"&amp;B$5), INDIRECT("'"&amp;B$1&amp;"'!A:A"),$A78), "")) / INDEX(Inputs!$G$3:$Z$500, MATCH($A78,Inputs!$F$3:$F$500,0), MATCH(B$2,Inputs!$G$2:$Y$2,0)), 0))</f>
        <v>3450000</v>
      </c>
    </row>
    <row r="79" spans="1:2" x14ac:dyDescent="0.2">
      <c r="A79" s="79">
        <v>45688</v>
      </c>
      <c r="B79" s="80">
        <f ca="1">IF($A79&gt;$A$1, 0, IFERROR(IF(B$6="Balance", INDEX(INDIRECT("'"&amp;B$1&amp;"'!"&amp;B$5&amp;":"&amp;B$5), MATCH($A79,INDIRECT("'"&amp;B$1&amp;"'!A:A"),1)), IF(B$6="Update", SUMIFS(INDIRECT("'"&amp;B$1&amp;"'!"&amp;B$5&amp;":"&amp;B$5), INDIRECT("'"&amp;B$1&amp;"'!A:A"),$A79), "")) / INDEX(Inputs!$G$3:$Z$500, MATCH($A79,Inputs!$F$3:$F$500,0), MATCH(B$2,Inputs!$G$2:$Y$2,0)), 0))</f>
        <v>3450000</v>
      </c>
    </row>
    <row r="80" spans="1:2" x14ac:dyDescent="0.2">
      <c r="A80" s="79">
        <v>45716</v>
      </c>
      <c r="B80" s="80">
        <f ca="1">IF($A80&gt;$A$1, 0, IFERROR(IF(B$6="Balance", INDEX(INDIRECT("'"&amp;B$1&amp;"'!"&amp;B$5&amp;":"&amp;B$5), MATCH($A80,INDIRECT("'"&amp;B$1&amp;"'!A:A"),1)), IF(B$6="Update", SUMIFS(INDIRECT("'"&amp;B$1&amp;"'!"&amp;B$5&amp;":"&amp;B$5), INDIRECT("'"&amp;B$1&amp;"'!A:A"),$A80), "")) / INDEX(Inputs!$G$3:$Z$500, MATCH($A80,Inputs!$F$3:$F$500,0), MATCH(B$2,Inputs!$G$2:$Y$2,0)), 0))</f>
        <v>3450000</v>
      </c>
    </row>
    <row r="81" spans="1:2" x14ac:dyDescent="0.2">
      <c r="A81" s="79">
        <v>45747</v>
      </c>
      <c r="B81" s="80">
        <f ca="1">IF($A81&gt;$A$1, 0, IFERROR(IF(B$6="Balance", INDEX(INDIRECT("'"&amp;B$1&amp;"'!"&amp;B$5&amp;":"&amp;B$5), MATCH($A81,INDIRECT("'"&amp;B$1&amp;"'!A:A"),1)), IF(B$6="Update", SUMIFS(INDIRECT("'"&amp;B$1&amp;"'!"&amp;B$5&amp;":"&amp;B$5), INDIRECT("'"&amp;B$1&amp;"'!A:A"),$A81), "")) / INDEX(Inputs!$G$3:$Z$500, MATCH($A81,Inputs!$F$3:$F$500,0), MATCH(B$2,Inputs!$G$2:$Y$2,0)), 0))</f>
        <v>3450000</v>
      </c>
    </row>
    <row r="82" spans="1:2" x14ac:dyDescent="0.2">
      <c r="A82" s="79">
        <v>45777</v>
      </c>
      <c r="B82" s="80">
        <f ca="1">IF($A82&gt;$A$1, 0, IFERROR(IF(B$6="Balance", INDEX(INDIRECT("'"&amp;B$1&amp;"'!"&amp;B$5&amp;":"&amp;B$5), MATCH($A82,INDIRECT("'"&amp;B$1&amp;"'!A:A"),1)), IF(B$6="Update", SUMIFS(INDIRECT("'"&amp;B$1&amp;"'!"&amp;B$5&amp;":"&amp;B$5), INDIRECT("'"&amp;B$1&amp;"'!A:A"),$A82), "")) / INDEX(Inputs!$G$3:$Z$500, MATCH($A82,Inputs!$F$3:$F$500,0), MATCH(B$2,Inputs!$G$2:$Y$2,0)), 0))</f>
        <v>3450000</v>
      </c>
    </row>
    <row r="83" spans="1:2" x14ac:dyDescent="0.2">
      <c r="A83" s="79">
        <v>45808</v>
      </c>
      <c r="B83" s="80">
        <f ca="1">IF($A83&gt;$A$1, 0, IFERROR(IF(B$6="Balance", INDEX(INDIRECT("'"&amp;B$1&amp;"'!"&amp;B$5&amp;":"&amp;B$5), MATCH($A83,INDIRECT("'"&amp;B$1&amp;"'!A:A"),1)), IF(B$6="Update", SUMIFS(INDIRECT("'"&amp;B$1&amp;"'!"&amp;B$5&amp;":"&amp;B$5), INDIRECT("'"&amp;B$1&amp;"'!A:A"),$A83), "")) / INDEX(Inputs!$G$3:$Z$500, MATCH($A83,Inputs!$F$3:$F$500,0), MATCH(B$2,Inputs!$G$2:$Y$2,0)), 0))</f>
        <v>3450000</v>
      </c>
    </row>
    <row r="84" spans="1:2" x14ac:dyDescent="0.2">
      <c r="A84" s="79">
        <v>45838</v>
      </c>
      <c r="B84" s="80">
        <f ca="1">IF($A84&gt;$A$1, 0, IFERROR(IF(B$6="Balance", INDEX(INDIRECT("'"&amp;B$1&amp;"'!"&amp;B$5&amp;":"&amp;B$5), MATCH($A84,INDIRECT("'"&amp;B$1&amp;"'!A:A"),1)), IF(B$6="Update", SUMIFS(INDIRECT("'"&amp;B$1&amp;"'!"&amp;B$5&amp;":"&amp;B$5), INDIRECT("'"&amp;B$1&amp;"'!A:A"),$A84), "")) / INDEX(Inputs!$G$3:$Z$500, MATCH($A84,Inputs!$F$3:$F$500,0), MATCH(B$2,Inputs!$G$2:$Y$2,0)), 0))</f>
        <v>0</v>
      </c>
    </row>
    <row r="85" spans="1:2" x14ac:dyDescent="0.2">
      <c r="A85" s="79">
        <v>45869</v>
      </c>
      <c r="B85" s="80">
        <f ca="1">IF($A85&gt;$A$1, 0, IFERROR(IF(B$6="Balance", INDEX(INDIRECT("'"&amp;B$1&amp;"'!"&amp;B$5&amp;":"&amp;B$5), MATCH($A85,INDIRECT("'"&amp;B$1&amp;"'!A:A"),1)), IF(B$6="Update", SUMIFS(INDIRECT("'"&amp;B$1&amp;"'!"&amp;B$5&amp;":"&amp;B$5), INDIRECT("'"&amp;B$1&amp;"'!A:A"),$A85), "")) / INDEX(Inputs!$G$3:$Z$500, MATCH($A85,Inputs!$F$3:$F$500,0), MATCH(B$2,Inputs!$G$2:$Y$2,0)), 0))</f>
        <v>0</v>
      </c>
    </row>
    <row r="86" spans="1:2" x14ac:dyDescent="0.2">
      <c r="A86" s="79">
        <v>45900</v>
      </c>
      <c r="B86" s="80">
        <f ca="1">IF($A86&gt;$A$1, 0, IFERROR(IF(B$6="Balance", INDEX(INDIRECT("'"&amp;B$1&amp;"'!"&amp;B$5&amp;":"&amp;B$5), MATCH($A86,INDIRECT("'"&amp;B$1&amp;"'!A:A"),1)), IF(B$6="Update", SUMIFS(INDIRECT("'"&amp;B$1&amp;"'!"&amp;B$5&amp;":"&amp;B$5), INDIRECT("'"&amp;B$1&amp;"'!A:A"),$A86), "")) / INDEX(Inputs!$G$3:$Z$500, MATCH($A86,Inputs!$F$3:$F$500,0), MATCH(B$2,Inputs!$G$2:$Y$2,0)), 0))</f>
        <v>0</v>
      </c>
    </row>
    <row r="87" spans="1:2" x14ac:dyDescent="0.2">
      <c r="A87" s="79">
        <v>45930</v>
      </c>
      <c r="B87" s="80">
        <f ca="1">IF($A87&gt;$A$1, 0, IFERROR(IF(B$6="Balance", INDEX(INDIRECT("'"&amp;B$1&amp;"'!"&amp;B$5&amp;":"&amp;B$5), MATCH($A87,INDIRECT("'"&amp;B$1&amp;"'!A:A"),1)), IF(B$6="Update", SUMIFS(INDIRECT("'"&amp;B$1&amp;"'!"&amp;B$5&amp;":"&amp;B$5), INDIRECT("'"&amp;B$1&amp;"'!A:A"),$A87), "")) / INDEX(Inputs!$G$3:$Z$500, MATCH($A87,Inputs!$F$3:$F$500,0), MATCH(B$2,Inputs!$G$2:$Y$2,0)), 0))</f>
        <v>0</v>
      </c>
    </row>
    <row r="88" spans="1:2" x14ac:dyDescent="0.2">
      <c r="A88" s="79">
        <v>45961</v>
      </c>
      <c r="B88" s="80">
        <f ca="1">IF($A88&gt;$A$1, 0, IFERROR(IF(B$6="Balance", INDEX(INDIRECT("'"&amp;B$1&amp;"'!"&amp;B$5&amp;":"&amp;B$5), MATCH($A88,INDIRECT("'"&amp;B$1&amp;"'!A:A"),1)), IF(B$6="Update", SUMIFS(INDIRECT("'"&amp;B$1&amp;"'!"&amp;B$5&amp;":"&amp;B$5), INDIRECT("'"&amp;B$1&amp;"'!A:A"),$A88), "")) / INDEX(Inputs!$G$3:$Z$500, MATCH($A88,Inputs!$F$3:$F$500,0), MATCH(B$2,Inputs!$G$2:$Y$2,0)), 0))</f>
        <v>0</v>
      </c>
    </row>
    <row r="89" spans="1:2" x14ac:dyDescent="0.2">
      <c r="A89" s="79">
        <v>45991</v>
      </c>
      <c r="B89" s="80">
        <f ca="1">IF($A89&gt;$A$1, 0, IFERROR(IF(B$6="Balance", INDEX(INDIRECT("'"&amp;B$1&amp;"'!"&amp;B$5&amp;":"&amp;B$5), MATCH($A89,INDIRECT("'"&amp;B$1&amp;"'!A:A"),1)), IF(B$6="Update", SUMIFS(INDIRECT("'"&amp;B$1&amp;"'!"&amp;B$5&amp;":"&amp;B$5), INDIRECT("'"&amp;B$1&amp;"'!A:A"),$A89), "")) / INDEX(Inputs!$G$3:$Z$500, MATCH($A89,Inputs!$F$3:$F$500,0), MATCH(B$2,Inputs!$G$2:$Y$2,0)), 0))</f>
        <v>0</v>
      </c>
    </row>
    <row r="90" spans="1:2" x14ac:dyDescent="0.2">
      <c r="A90" s="79">
        <v>46022</v>
      </c>
      <c r="B90" s="80">
        <f ca="1">IF($A90&gt;$A$1, 0, IFERROR(IF(B$6="Balance", INDEX(INDIRECT("'"&amp;B$1&amp;"'!"&amp;B$5&amp;":"&amp;B$5), MATCH($A90,INDIRECT("'"&amp;B$1&amp;"'!A:A"),1)), IF(B$6="Update", SUMIFS(INDIRECT("'"&amp;B$1&amp;"'!"&amp;B$5&amp;":"&amp;B$5), INDIRECT("'"&amp;B$1&amp;"'!A:A"),$A90), "")) / INDEX(Inputs!$G$3:$Z$500, MATCH($A90,Inputs!$F$3:$F$500,0), MATCH(B$2,Inputs!$G$2:$Y$2,0)), 0))</f>
        <v>0</v>
      </c>
    </row>
    <row r="91" spans="1:2" x14ac:dyDescent="0.2">
      <c r="A91" s="79">
        <v>46053</v>
      </c>
      <c r="B91" s="80">
        <f ca="1">IF($A91&gt;$A$1, 0, IFERROR(IF(B$6="Balance", INDEX(INDIRECT("'"&amp;B$1&amp;"'!"&amp;B$5&amp;":"&amp;B$5), MATCH($A91,INDIRECT("'"&amp;B$1&amp;"'!A:A"),1)), IF(B$6="Update", SUMIFS(INDIRECT("'"&amp;B$1&amp;"'!"&amp;B$5&amp;":"&amp;B$5), INDIRECT("'"&amp;B$1&amp;"'!A:A"),$A91), "")) / INDEX(Inputs!$G$3:$Z$500, MATCH($A91,Inputs!$F$3:$F$500,0), MATCH(B$2,Inputs!$G$2:$Y$2,0)), 0))</f>
        <v>0</v>
      </c>
    </row>
    <row r="92" spans="1:2" x14ac:dyDescent="0.2">
      <c r="A92" s="79">
        <v>46081</v>
      </c>
      <c r="B92" s="80">
        <f ca="1">IF($A92&gt;$A$1, 0, IFERROR(IF(B$6="Balance", INDEX(INDIRECT("'"&amp;B$1&amp;"'!"&amp;B$5&amp;":"&amp;B$5), MATCH($A92,INDIRECT("'"&amp;B$1&amp;"'!A:A"),1)), IF(B$6="Update", SUMIFS(INDIRECT("'"&amp;B$1&amp;"'!"&amp;B$5&amp;":"&amp;B$5), INDIRECT("'"&amp;B$1&amp;"'!A:A"),$A92), "")) / INDEX(Inputs!$G$3:$Z$500, MATCH($A92,Inputs!$F$3:$F$500,0), MATCH(B$2,Inputs!$G$2:$Y$2,0)), 0))</f>
        <v>0</v>
      </c>
    </row>
    <row r="93" spans="1:2" x14ac:dyDescent="0.2">
      <c r="A93" s="79">
        <v>46112</v>
      </c>
      <c r="B93" s="80">
        <f ca="1">IF($A93&gt;$A$1, 0, IFERROR(IF(B$6="Balance", INDEX(INDIRECT("'"&amp;B$1&amp;"'!"&amp;B$5&amp;":"&amp;B$5), MATCH($A93,INDIRECT("'"&amp;B$1&amp;"'!A:A"),1)), IF(B$6="Update", SUMIFS(INDIRECT("'"&amp;B$1&amp;"'!"&amp;B$5&amp;":"&amp;B$5), INDIRECT("'"&amp;B$1&amp;"'!A:A"),$A93), "")) / INDEX(Inputs!$G$3:$Z$500, MATCH($A93,Inputs!$F$3:$F$500,0), MATCH(B$2,Inputs!$G$2:$Y$2,0)), 0))</f>
        <v>0</v>
      </c>
    </row>
    <row r="94" spans="1:2" x14ac:dyDescent="0.2">
      <c r="A94" s="79">
        <v>46142</v>
      </c>
      <c r="B94" s="80">
        <f ca="1">IF($A94&gt;$A$1, 0, IFERROR(IF(B$6="Balance", INDEX(INDIRECT("'"&amp;B$1&amp;"'!"&amp;B$5&amp;":"&amp;B$5), MATCH($A94,INDIRECT("'"&amp;B$1&amp;"'!A:A"),1)), IF(B$6="Update", SUMIFS(INDIRECT("'"&amp;B$1&amp;"'!"&amp;B$5&amp;":"&amp;B$5), INDIRECT("'"&amp;B$1&amp;"'!A:A"),$A94), "")) / INDEX(Inputs!$G$3:$Z$500, MATCH($A94,Inputs!$F$3:$F$500,0), MATCH(B$2,Inputs!$G$2:$Y$2,0)), 0))</f>
        <v>0</v>
      </c>
    </row>
    <row r="95" spans="1:2" x14ac:dyDescent="0.2">
      <c r="A95" s="79">
        <v>46173</v>
      </c>
      <c r="B95" s="80">
        <f ca="1">IF($A95&gt;$A$1, 0, IFERROR(IF(B$6="Balance", INDEX(INDIRECT("'"&amp;B$1&amp;"'!"&amp;B$5&amp;":"&amp;B$5), MATCH($A95,INDIRECT("'"&amp;B$1&amp;"'!A:A"),1)), IF(B$6="Update", SUMIFS(INDIRECT("'"&amp;B$1&amp;"'!"&amp;B$5&amp;":"&amp;B$5), INDIRECT("'"&amp;B$1&amp;"'!A:A"),$A95), "")) / INDEX(Inputs!$G$3:$Z$500, MATCH($A95,Inputs!$F$3:$F$500,0), MATCH(B$2,Inputs!$G$2:$Y$2,0)), 0))</f>
        <v>0</v>
      </c>
    </row>
    <row r="96" spans="1:2" x14ac:dyDescent="0.2">
      <c r="A96" s="79">
        <v>46203</v>
      </c>
      <c r="B96" s="80">
        <f ca="1">IF($A96&gt;$A$1, 0, IFERROR(IF(B$6="Balance", INDEX(INDIRECT("'"&amp;B$1&amp;"'!"&amp;B$5&amp;":"&amp;B$5), MATCH($A96,INDIRECT("'"&amp;B$1&amp;"'!A:A"),1)), IF(B$6="Update", SUMIFS(INDIRECT("'"&amp;B$1&amp;"'!"&amp;B$5&amp;":"&amp;B$5), INDIRECT("'"&amp;B$1&amp;"'!A:A"),$A96), "")) / INDEX(Inputs!$G$3:$Z$500, MATCH($A96,Inputs!$F$3:$F$500,0), MATCH(B$2,Inputs!$G$2:$Y$2,0)), 0))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BC09-5A32-6D4E-BD1F-3D25AE03E97A}">
  <dimension ref="A1:T10"/>
  <sheetViews>
    <sheetView workbookViewId="0">
      <selection activeCell="L4" sqref="L4"/>
    </sheetView>
  </sheetViews>
  <sheetFormatPr baseColWidth="10" defaultRowHeight="16" x14ac:dyDescent="0.2"/>
  <cols>
    <col min="1" max="1" width="11.33203125" style="56" bestFit="1" customWidth="1"/>
    <col min="2" max="2" width="4.83203125" style="71" customWidth="1"/>
    <col min="3" max="11" width="10.83203125" style="71"/>
    <col min="12" max="12" width="4.83203125" style="71" customWidth="1"/>
    <col min="13" max="20" width="10.83203125" style="83"/>
    <col min="21" max="16384" width="10.83203125" style="56"/>
  </cols>
  <sheetData>
    <row r="1" spans="1:20" x14ac:dyDescent="0.2">
      <c r="C1" s="71">
        <v>3</v>
      </c>
      <c r="D1" s="71">
        <v>4</v>
      </c>
      <c r="E1" s="71">
        <v>5</v>
      </c>
      <c r="F1" s="71">
        <v>6</v>
      </c>
      <c r="G1" s="71">
        <v>7</v>
      </c>
      <c r="H1" s="71">
        <v>8</v>
      </c>
      <c r="I1" s="71">
        <v>9</v>
      </c>
      <c r="J1" s="71">
        <v>10</v>
      </c>
      <c r="M1" s="83">
        <v>3</v>
      </c>
      <c r="N1" s="83">
        <v>4</v>
      </c>
      <c r="O1" s="83">
        <v>5</v>
      </c>
      <c r="P1" s="83">
        <v>6</v>
      </c>
      <c r="Q1" s="83">
        <v>7</v>
      </c>
      <c r="R1" s="83">
        <v>8</v>
      </c>
      <c r="S1" s="83">
        <v>9</v>
      </c>
      <c r="T1" s="83">
        <v>10</v>
      </c>
    </row>
    <row r="2" spans="1:20" x14ac:dyDescent="0.2">
      <c r="C2" s="71" t="s">
        <v>125</v>
      </c>
      <c r="D2" s="71" t="s">
        <v>126</v>
      </c>
      <c r="E2" s="71" t="s">
        <v>127</v>
      </c>
      <c r="F2" s="71" t="s">
        <v>128</v>
      </c>
      <c r="G2" s="71" t="s">
        <v>129</v>
      </c>
      <c r="H2" s="71" t="s">
        <v>130</v>
      </c>
      <c r="I2" s="71" t="s">
        <v>131</v>
      </c>
      <c r="J2" s="71" t="s">
        <v>132</v>
      </c>
      <c r="M2" s="83" t="s">
        <v>125</v>
      </c>
      <c r="N2" s="83" t="s">
        <v>126</v>
      </c>
      <c r="O2" s="83" t="s">
        <v>127</v>
      </c>
      <c r="P2" s="83" t="s">
        <v>128</v>
      </c>
      <c r="Q2" s="83" t="s">
        <v>129</v>
      </c>
      <c r="R2" s="83" t="s">
        <v>130</v>
      </c>
      <c r="S2" s="83" t="s">
        <v>131</v>
      </c>
      <c r="T2" s="83" t="s">
        <v>132</v>
      </c>
    </row>
    <row r="3" spans="1:20" x14ac:dyDescent="0.2">
      <c r="A3" s="56" t="str">
        <f>Summary!A3</f>
        <v>17|34 Hamilton St</v>
      </c>
      <c r="B3" s="71" t="s">
        <v>133</v>
      </c>
      <c r="C3" s="71" t="str" cm="1">
        <f t="array" aca="1" ref="C3" ca="1">IF(INDIRECT("'"&amp;$A3&amp;"'!"&amp;$B3&amp;C$1)&lt;&gt;0, INDIRECT("'"&amp;$A3&amp;"'!"&amp;$B3&amp;C$1), "")</f>
        <v/>
      </c>
      <c r="D3" s="71" t="str" cm="1">
        <f t="array" aca="1" ref="D3" ca="1">IF(INDIRECT("'"&amp;$A3&amp;"'!"&amp;$B3&amp;D$1)&lt;&gt;0, INDIRECT("'"&amp;$A3&amp;"'!"&amp;$B3&amp;D$1), "")</f>
        <v/>
      </c>
      <c r="E3" s="71" t="str" cm="1">
        <f t="array" aca="1" ref="E3" ca="1">IF(INDIRECT("'"&amp;$A3&amp;"'!"&amp;$B3&amp;E$1)&lt;&gt;0, INDIRECT("'"&amp;$A3&amp;"'!"&amp;$B3&amp;E$1), "")</f>
        <v/>
      </c>
      <c r="F3" s="71" cm="1">
        <f t="array" aca="1" ref="F3" ca="1">IF(INDIRECT("'"&amp;$A3&amp;"'!"&amp;$B3&amp;F$1)&lt;&gt;0, INDIRECT("'"&amp;$A3&amp;"'!"&amp;$B3&amp;F$1), "")</f>
        <v>27</v>
      </c>
      <c r="G3" s="71" cm="1">
        <f t="array" aca="1" ref="G3" ca="1">IF(INDIRECT("'"&amp;$A3&amp;"'!"&amp;$B3&amp;G$1)&lt;&gt;0, INDIRECT("'"&amp;$A3&amp;"'!"&amp;$B3&amp;G$1), "")</f>
        <v>365</v>
      </c>
      <c r="H3" s="71" cm="1">
        <f t="array" aca="1" ref="H3" ca="1">IF(INDIRECT("'"&amp;$A3&amp;"'!"&amp;$B3&amp;H$1)&lt;&gt;0, INDIRECT("'"&amp;$A3&amp;"'!"&amp;$B3&amp;H$1), "")</f>
        <v>365</v>
      </c>
      <c r="I3" s="71" cm="1">
        <f t="array" aca="1" ref="I3" ca="1">IF(INDIRECT("'"&amp;$A3&amp;"'!"&amp;$B3&amp;I$1)&lt;&gt;0, INDIRECT("'"&amp;$A3&amp;"'!"&amp;$B3&amp;I$1), "")</f>
        <v>366</v>
      </c>
      <c r="J3" s="71" cm="1">
        <f t="array" aca="1" ref="J3" ca="1">IF(INDIRECT("'"&amp;$A3&amp;"'!"&amp;$B3&amp;J$1)&lt;&gt;0, INDIRECT("'"&amp;$A3&amp;"'!"&amp;$B3&amp;J$1), "")</f>
        <v>363</v>
      </c>
      <c r="L3" s="71" t="s">
        <v>147</v>
      </c>
      <c r="M3" s="83" t="str" cm="1">
        <f t="array" aca="1" ref="M3" ca="1">IFERROR(INDIRECT("'"&amp;$A3&amp;"'!"&amp;$L3&amp;C$1), "")</f>
        <v/>
      </c>
      <c r="N3" s="83" t="str" cm="1">
        <f t="array" aca="1" ref="N3" ca="1">IFERROR(INDIRECT("'"&amp;$A3&amp;"'!"&amp;$L3&amp;D$1), "")</f>
        <v/>
      </c>
      <c r="O3" s="83" t="str" cm="1">
        <f t="array" aca="1" ref="O3" ca="1">IFERROR(INDIRECT("'"&amp;$A3&amp;"'!"&amp;$L3&amp;E$1), "")</f>
        <v/>
      </c>
      <c r="P3" s="83" cm="1">
        <f t="array" aca="1" ref="P3" ca="1">IFERROR(INDIRECT("'"&amp;$A3&amp;"'!"&amp;$L3&amp;F$1), "")</f>
        <v>172500</v>
      </c>
      <c r="Q3" s="83" cm="1">
        <f t="array" aca="1" ref="Q3" ca="1">IFERROR(INDIRECT("'"&amp;$A3&amp;"'!"&amp;$L3&amp;G$1), "")</f>
        <v>540545.37838356197</v>
      </c>
      <c r="R3" s="83" cm="1">
        <f t="array" aca="1" ref="R3" ca="1">IFERROR(INDIRECT("'"&amp;$A3&amp;"'!"&amp;$L3&amp;H$1), "")</f>
        <v>636306.99709589023</v>
      </c>
      <c r="S3" s="83" cm="1">
        <f t="array" aca="1" ref="S3" ca="1">IFERROR(INDIRECT("'"&amp;$A3&amp;"'!"&amp;$L3&amp;I$1), "")</f>
        <v>729079.83874317072</v>
      </c>
      <c r="T3" s="83" cm="1">
        <f t="array" aca="1" ref="T3" ca="1">IFERROR(INDIRECT("'"&amp;$A3&amp;"'!"&amp;$L3&amp;J$1), "")</f>
        <v>562311.4813774107</v>
      </c>
    </row>
    <row r="4" spans="1:20" x14ac:dyDescent="0.2">
      <c r="A4" s="56">
        <f>Summary!A4</f>
        <v>0</v>
      </c>
    </row>
    <row r="5" spans="1:20" x14ac:dyDescent="0.2">
      <c r="A5" s="56">
        <f>Summary!A5</f>
        <v>0</v>
      </c>
    </row>
    <row r="6" spans="1:20" x14ac:dyDescent="0.2">
      <c r="A6" s="56">
        <f>Summary!A6</f>
        <v>0</v>
      </c>
    </row>
    <row r="7" spans="1:20" x14ac:dyDescent="0.2">
      <c r="A7" s="56">
        <f>Summary!A7</f>
        <v>0</v>
      </c>
    </row>
    <row r="8" spans="1:20" x14ac:dyDescent="0.2">
      <c r="A8" s="56">
        <f>Summary!A8</f>
        <v>0</v>
      </c>
    </row>
    <row r="9" spans="1:20" x14ac:dyDescent="0.2">
      <c r="A9" s="56">
        <f>Summary!A9</f>
        <v>0</v>
      </c>
    </row>
    <row r="10" spans="1:20" x14ac:dyDescent="0.2">
      <c r="A10" s="56">
        <f>Summary!A10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17|34 Hamilton St</vt:lpstr>
      <vt:lpstr>Inputs</vt:lpstr>
      <vt:lpstr>Monthly</vt:lpstr>
      <vt:lpstr>Yearly Balances</vt:lpstr>
      <vt:lpstr>CompoundingRate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2021-06-30T13:50:23Z</dcterms:created>
  <dcterms:modified xsi:type="dcterms:W3CDTF">2025-06-28T13:32:45Z</dcterms:modified>
</cp:coreProperties>
</file>